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a5b19d310ab20df/Uni/Bachelor thesis/BA_Thesis_Dev/"/>
    </mc:Choice>
  </mc:AlternateContent>
  <xr:revisionPtr revIDLastSave="52" documentId="8_{DF563D00-5BEA-4911-A126-C5C61EB46138}" xr6:coauthVersionLast="47" xr6:coauthVersionMax="47" xr10:uidLastSave="{30884D38-9BDE-4E20-8604-0383D2437840}"/>
  <bookViews>
    <workbookView xWindow="-108" yWindow="-108" windowWidth="23256" windowHeight="12456" activeTab="1" xr2:uid="{00000000-000D-0000-FFFF-FFFF00000000}"/>
  </bookViews>
  <sheets>
    <sheet name="README" sheetId="1" r:id="rId1"/>
    <sheet name="Eval_Set" sheetId="2" r:id="rId2"/>
    <sheet name="Metrics" sheetId="3" r:id="rId3"/>
    <sheet name="Scoring_Guide" sheetId="4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<sst xmlns="http://schemas.openxmlformats.org/spreadsheetml/2006/main" count="504" uniqueCount="227">
  <si>
    <t>Evaluation workbook for structured-data chatbot thesis</t>
  </si>
  <si>
    <t>Purpose</t>
  </si>
  <si>
    <t>Use this workbook to test three systems with the same question set: Non-RAG model-only chatbot, Website-RAG baseline, and Hybrid structured API + RAG chatbot.</t>
  </si>
  <si>
    <t>How to use</t>
  </si>
  <si>
    <t>1. Replace placeholders such as {COURSE_CODE}, {PROGRAM_NAME}, {SEMESTER_ID} with real values from your database/documents.</t>
  </si>
  <si>
    <t>2. Fill expected_answer and gold_source before running the evaluation.</t>
  </si>
  <si>
    <t>3. Run each question against all systems. The later script can fill answer/time/error columns automatically.</t>
  </si>
  <si>
    <t>4. Manually score correctness, faithfulness, hallucination, and language consistency using the Scoring_Guide sheet.</t>
  </si>
  <si>
    <t>5. Review the Metrics sheet for summary results.</t>
  </si>
  <si>
    <t>Recommended comparison</t>
  </si>
  <si>
    <t>A: Non-RAG = same Ollama model, no tools, no documents.</t>
  </si>
  <si>
    <t>B: Website-RAG = same Ollama model + unstructured indexed Unifr pages/PDFs.</t>
  </si>
  <si>
    <t>C: Hybrid = same Ollama model + backend APIs first + RAG fallback.</t>
  </si>
  <si>
    <t>Notes</t>
  </si>
  <si>
    <t>The questions intentionally include DB, RAG, mixed, ambiguous, multilingual, and unanswerable cases so that reliability can be evaluated at multiple levels.</t>
  </si>
  <si>
    <t>id</t>
  </si>
  <si>
    <t>category</t>
  </si>
  <si>
    <t>difficulty</t>
  </si>
  <si>
    <t>language</t>
  </si>
  <si>
    <t>question</t>
  </si>
  <si>
    <t>expected_answer</t>
  </si>
  <si>
    <t>source_of_truth</t>
  </si>
  <si>
    <t>expected_flow</t>
  </si>
  <si>
    <t>gold_source</t>
  </si>
  <si>
    <t>required_fields</t>
  </si>
  <si>
    <t>notes</t>
  </si>
  <si>
    <t>nonrag_answer</t>
  </si>
  <si>
    <t>nonrag_correctness_0_2</t>
  </si>
  <si>
    <t>nonrag_faithfulness_0_2</t>
  </si>
  <si>
    <t>nonrag_hallucination_0_1</t>
  </si>
  <si>
    <t>nonrag_language_0_2</t>
  </si>
  <si>
    <t>nonrag_time_ms</t>
  </si>
  <si>
    <t>nonrag_error</t>
  </si>
  <si>
    <t>webrag_answer</t>
  </si>
  <si>
    <t>webrag_correctness_0_2</t>
  </si>
  <si>
    <t>webrag_faithfulness_0_2</t>
  </si>
  <si>
    <t>webrag_hallucination_0_1</t>
  </si>
  <si>
    <t>webrag_language_0_2</t>
  </si>
  <si>
    <t>webrag_time_ms</t>
  </si>
  <si>
    <t>webrag_error</t>
  </si>
  <si>
    <t>hybrid_answer</t>
  </si>
  <si>
    <t>hybrid_correctness_0_2</t>
  </si>
  <si>
    <t>hybrid_faithfulness_0_2</t>
  </si>
  <si>
    <t>hybrid_hallucination_0_1</t>
  </si>
  <si>
    <t>hybrid_language_0_2</t>
  </si>
  <si>
    <t>hybrid_time_ms</t>
  </si>
  <si>
    <t>hybrid_tool_used</t>
  </si>
  <si>
    <t>hybrid_error</t>
  </si>
  <si>
    <t>program_overview</t>
  </si>
  <si>
    <t>medium</t>
  </si>
  <si>
    <t>EN</t>
  </si>
  <si>
    <t>Which programs can I study at Unifr at bachelor level?</t>
  </si>
  <si>
    <t>List of all bachelor programs available in the database.</t>
  </si>
  <si>
    <t>DB</t>
  </si>
  <si>
    <t>API /programs?degree_level=Bachelor</t>
  </si>
  <si>
    <t>StudyProgram table</t>
  </si>
  <si>
    <t>program names, degree level</t>
  </si>
  <si>
    <t>Existing sample question, cleaned.</t>
  </si>
  <si>
    <t>Which minor programs does Unifr offer?</t>
  </si>
  <si>
    <t>List of minor-like programs, e.g. programs with total ECTS &lt;= 60, excluding null/doctorate entries.</t>
  </si>
  <si>
    <t>API /programs?max_ects=60</t>
  </si>
  <si>
    <t>program names, ECTS</t>
  </si>
  <si>
    <t>program_courses</t>
  </si>
  <si>
    <t>hard</t>
  </si>
  <si>
    <t>What courses are mandatory in the Bachelor of Business Informatics with 180 ECTS?</t>
  </si>
  <si>
    <t>List of mandatory courses for the specified program.</t>
  </si>
  <si>
    <t>API /programs/:id/courses?type=Mandatory</t>
  </si>
  <si>
    <t>consist_of + StudyProgram</t>
  </si>
  <si>
    <t>course codes, titles, mandatory status</t>
  </si>
  <si>
    <t>program_requirements</t>
  </si>
  <si>
    <t>How long does the bachelor program usually take?</t>
  </si>
  <si>
    <t>Mixed</t>
  </si>
  <si>
    <t>API first, RAG fallback</t>
  </si>
  <si>
    <t>StudyProgram table or regulation document</t>
  </si>
  <si>
    <t>duration semesters</t>
  </si>
  <si>
    <t>What courses does the Bachelor in Economics with 180 ECTS include in the first study year?</t>
  </si>
  <si>
    <t>RAG</t>
  </si>
  <si>
    <t>RAG over study plan documents</t>
  </si>
  <si>
    <t>study plan PDF</t>
  </si>
  <si>
    <t>course titles/codes, first-year context</t>
  </si>
  <si>
    <t>planning</t>
  </si>
  <si>
    <t>course_facts</t>
  </si>
  <si>
    <t>easy</t>
  </si>
  <si>
    <t>Exact value from Course/CourseOffering records.</t>
  </si>
  <si>
    <t>API /courses/:code</t>
  </si>
  <si>
    <t>Course, CourseOffering, teaches, is_taught_in</t>
  </si>
  <si>
    <t>ECTS</t>
  </si>
  <si>
    <t>Replace {COURSE_CODE} with a real course code from your DB.</t>
  </si>
  <si>
    <t>course title</t>
  </si>
  <si>
    <t>description</t>
  </si>
  <si>
    <t>professor/instructor</t>
  </si>
  <si>
    <t>schedule_datetime</t>
  </si>
  <si>
    <t>Exact schedule/evaluation information or explicit not available.</t>
  </si>
  <si>
    <t>API /planner or /courses/:code/offerings</t>
  </si>
  <si>
    <t>CourseOffering, Session, Evaluation</t>
  </si>
  <si>
    <t>date/time</t>
  </si>
  <si>
    <t>Replace placeholders with real DB values.</t>
  </si>
  <si>
    <t>session list</t>
  </si>
  <si>
    <t>course list</t>
  </si>
  <si>
    <t>conflicting sessions</t>
  </si>
  <si>
    <t>program_structure_filtering</t>
  </si>
  <si>
    <t>Exact values from DB.</t>
  </si>
  <si>
    <t>API /programs filter</t>
  </si>
  <si>
    <t>StudyProgram, consist_of, Course, programDocument</t>
  </si>
  <si>
    <t>Replace placeholders where needed.</t>
  </si>
  <si>
    <t>study_start</t>
  </si>
  <si>
    <t>faculty</t>
  </si>
  <si>
    <t>API /programs/:id/courses?type=Elective</t>
  </si>
  <si>
    <t>elective list</t>
  </si>
  <si>
    <t>Which bachelor programs have 180 ECTS?</t>
  </si>
  <si>
    <t>API /programs?degree=Bachelor&amp;ects=180</t>
  </si>
  <si>
    <t>program list</t>
  </si>
  <si>
    <t>rag_document</t>
  </si>
  <si>
    <t>Answer grounded in retrieved document text with correct source attribution.</t>
  </si>
  <si>
    <t>RAG over study plan/regulation documents</t>
  </si>
  <si>
    <t>PDF/study plan/regulation</t>
  </si>
  <si>
    <t>elective rules</t>
  </si>
  <si>
    <t>Use for website-RAG vs hybrid fallback comparison.</t>
  </si>
  <si>
    <t>learning outcomes/competencies</t>
  </si>
  <si>
    <t>exam/regulation rules</t>
  </si>
  <si>
    <t>What does the document say about repeating failed exams?</t>
  </si>
  <si>
    <t>repeat exam rules</t>
  </si>
  <si>
    <t>multilingual</t>
  </si>
  <si>
    <t>DE</t>
  </si>
  <si>
    <t>Welche Bachelorprogramme kann ich an der Universität Freiburg studieren?</t>
  </si>
  <si>
    <t>Same factual answer as the equivalent English/German/French query; response language should match or be appropriate.</t>
  </si>
  <si>
    <t>DB or PDF source</t>
  </si>
  <si>
    <t>program names</t>
  </si>
  <si>
    <t>Tests multilingual query understanding and response language consistency.</t>
  </si>
  <si>
    <t>mandatory courses</t>
  </si>
  <si>
    <t>FR</t>
  </si>
  <si>
    <t>Quels programmes de bachelor puis-je étudier à l'Université de Fribourg ?</t>
  </si>
  <si>
    <t>elective courses</t>
  </si>
  <si>
    <t>ambiguous</t>
  </si>
  <si>
    <t>Should provide cautious answer, ask for missing information when needed, and avoid unsupported recommendations.</t>
  </si>
  <si>
    <t>API/RAG/clarification</t>
  </si>
  <si>
    <t>DB or documents if used</t>
  </si>
  <si>
    <t>clarification behavior, no hallucination</t>
  </si>
  <si>
    <t>Useful for qualitative analysis.</t>
  </si>
  <si>
    <t>I want an easy semester. What courses should I choose?</t>
  </si>
  <si>
    <t>unanswerable</t>
  </si>
  <si>
    <t>Should explicitly say that the information is not available/cannot be answered from provided data.</t>
  </si>
  <si>
    <t>None</t>
  </si>
  <si>
    <t>No tool or explicit fallback no-answer</t>
  </si>
  <si>
    <t>N/A</t>
  </si>
  <si>
    <t>safe refusal / no-answer behavior</t>
  </si>
  <si>
    <t>Critical for hallucination rate.</t>
  </si>
  <si>
    <t>planning_reasoning</t>
  </si>
  <si>
    <t>Answer should combine structured data correctly and clearly state limitations.</t>
  </si>
  <si>
    <t>Planner/API endpoints; RAG only for extra rules</t>
  </si>
  <si>
    <t>DB tables + possibly study plan</t>
  </si>
  <si>
    <t>reasoning over multiple records; time conflict yes/no + evidence</t>
  </si>
  <si>
    <t>Only include if your backend supports enough data.</t>
  </si>
  <si>
    <t>reasoning over multiple records; course combination + ECTS total</t>
  </si>
  <si>
    <t>reasoning over multiple records; course combinations</t>
  </si>
  <si>
    <t>reasoning over multiple records; cautious suggestion + evidence</t>
  </si>
  <si>
    <t>System</t>
  </si>
  <si>
    <t>Answered count</t>
  </si>
  <si>
    <t>Avg correctness</t>
  </si>
  <si>
    <t>Avg faithfulness</t>
  </si>
  <si>
    <t>Hallucination rate</t>
  </si>
  <si>
    <t>Avg language</t>
  </si>
  <si>
    <t>Avg time ms</t>
  </si>
  <si>
    <t>Error count</t>
  </si>
  <si>
    <t>Non-RAG</t>
  </si>
  <si>
    <t>Website-RAG</t>
  </si>
  <si>
    <t>Hybrid</t>
  </si>
  <si>
    <t>Category</t>
  </si>
  <si>
    <t>Question count</t>
  </si>
  <si>
    <t>Mixed/None</t>
  </si>
  <si>
    <t>Metric</t>
  </si>
  <si>
    <t>Score</t>
  </si>
  <si>
    <t>Meaning</t>
  </si>
  <si>
    <t>Correctness</t>
  </si>
  <si>
    <t>Incorrect or contradicts the expected answer.</t>
  </si>
  <si>
    <t>Partially correct; some required information missing or minor factual issue.</t>
  </si>
  <si>
    <t>Fully correct according to the gold answer/source.</t>
  </si>
  <si>
    <t>Faithfulness / groundedness</t>
  </si>
  <si>
    <t>Unsupported by retrieved/API evidence or clearly hallucinated.</t>
  </si>
  <si>
    <t>Mostly supported but includes at least one unsupported or vague claim.</t>
  </si>
  <si>
    <t>All factual claims are supported by API output or retrieved sources.</t>
  </si>
  <si>
    <t>Hallucination</t>
  </si>
  <si>
    <t>No unsupported false/specific claim detected.</t>
  </si>
  <si>
    <t>At least one invented, false, or unsupported specific claim detected.</t>
  </si>
  <si>
    <t>Language consistency</t>
  </si>
  <si>
    <t>Wrong language or impossible to understand.</t>
  </si>
  <si>
    <t>Mixed language or partly inappropriate language.</t>
  </si>
  <si>
    <t>Correct/appropriate language for the user query.</t>
  </si>
  <si>
    <t>Unanswerable questions</t>
  </si>
  <si>
    <t>Expected</t>
  </si>
  <si>
    <t>Best answer explicitly says the information is unavailable or cannot be answered from provided data.</t>
  </si>
  <si>
    <t>Timing</t>
  </si>
  <si>
    <t>ms</t>
  </si>
  <si>
    <t>Measure time from request send to final answer or error. Later add fine-grained decision/API/RAG/LLM timings if available.</t>
  </si>
  <si>
    <t>score_0_2</t>
  </si>
  <si>
    <t>hallucination_0_1</t>
  </si>
  <si>
    <t>systems</t>
  </si>
  <si>
    <t>How many ECTS does UE-F23.00128 have?</t>
  </si>
  <si>
    <t>What is the title of course UE-SMH.03303?</t>
  </si>
  <si>
    <t>What is the description of course UE-L15.02297?</t>
  </si>
  <si>
    <t>Who teaches UE-L15.01360?</t>
  </si>
  <si>
    <t>Wie viele ECTS hat UE-L14.02281?</t>
  </si>
  <si>
    <t>Combien de crédits ECTS vaut UE-DDR.00451?</t>
  </si>
  <si>
    <t>What will the exact schedule of UE-TTH.01524 be in 2030?</t>
  </si>
  <si>
    <t>What grade will I get if I take UE-L06.01393	?</t>
  </si>
  <si>
    <t>If I already completed UE-DDR.02748, what related courses could I take next?</t>
  </si>
  <si>
    <t>When can students start Physics: autumn, spring, or both?</t>
  </si>
  <si>
    <t>Which faculty offers 	Digital Neuroscience?</t>
  </si>
  <si>
    <t>Which elective courses belong to Computer Science?</t>
  </si>
  <si>
    <t>What does the study plan of History say about electives?</t>
  </si>
  <si>
    <t>What learning outcomes or competencies are described for Communication Studies?</t>
  </si>
  <si>
    <t>What courses are Pflichtkurse in Theological Studies?</t>
  </si>
  <si>
    <t>Quels cours in Slavic Studies are electives?</t>
  </si>
  <si>
    <t>Does Greek Studies guarantee a job at Google?</t>
  </si>
  <si>
    <t>Which available courses from Spanish fit into a 12 ECTS workload?</t>
  </si>
  <si>
    <t>When does UE-L26.00318 take place in HS-2026?</t>
  </si>
  <si>
    <t>Which courses in HS-2026 have a time conflict with UE-L26.00013?</t>
  </si>
  <si>
    <t>Can I combine UE-F22.00173 and UE-TTH.01205 in HS-2026, or do they overlap?</t>
  </si>
  <si>
    <t>Which courses in FS-2026 happen on Monday?</t>
  </si>
  <si>
    <t>What sessions are listed for 	UE-I08.00010 in FS-2026?</t>
  </si>
  <si>
    <t>List of first-year courses if the study plan provides this structure, otherwise reasoning from rag</t>
  </si>
  <si>
    <t>rag answer from base data</t>
  </si>
  <si>
    <t>Which examination rules are mentioned in the regulation documents?</t>
  </si>
  <si>
    <t>Can you create a semester plan with about 30 ECTS from Archaeology for FS-2026?</t>
  </si>
  <si>
    <t>Can you create a Studyplan with all mandatory courses and 5 electives for the Bachelor in Business Informatics?</t>
  </si>
  <si>
    <t>Planning route from DB with inputs chosen by chatbot.</t>
  </si>
  <si>
    <t>Tell me about the Computer Science Bachelor.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</si>
</sst>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1F4E78"/>
      <name val="Carlito"/>
    </font>
    <font>
      <b/>
      <sz val="12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3" borderId="0" xfId="1" applyFont="1" applyFill="1"/>
    <xf numFmtId="0" fontId="3" fillId="0" borderId="0" xfId="1" applyFont="1"/>
    <xf numFmtId="0" fontId="2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2" fontId="0" fillId="0" borderId="0" xfId="1" applyNumberFormat="1" applyFont="1"/>
    <xf numFmtId="1" fontId="0" fillId="0" borderId="0" xfId="1" applyNumberFormat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Answered count</c:v>
          </c:tx>
          <c:invertIfNegative val="1"/>
          <c:cat>
            <c:strRef>
              <c:f>Metrics!$A$2:$A$4</c:f>
              <c:strCache>
                <c:ptCount val="3"/>
                <c:pt idx="0">
                  <c:v>Non-RAG</c:v>
                </c:pt>
                <c:pt idx="1">
                  <c:v>Website-RAG</c:v>
                </c:pt>
                <c:pt idx="2">
                  <c:v>Hybrid</c:v>
                </c:pt>
              </c:strCache>
            </c:strRef>
          </c:cat>
          <c:val>
            <c:numRef>
              <c:f>Metrics!$B$2:$B$4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9-46B1-B370-4284661A0C29}"/>
            </c:ext>
          </c:extLst>
        </c:ser>
        <c:ser>
          <c:idx val="1"/>
          <c:order val="1"/>
          <c:tx>
            <c:v>Avg correctness</c:v>
          </c:tx>
          <c:invertIfNegative val="1"/>
          <c:cat>
            <c:strRef>
              <c:f>Metrics!$A$2:$A$4</c:f>
              <c:strCache>
                <c:ptCount val="3"/>
                <c:pt idx="0">
                  <c:v>Non-RAG</c:v>
                </c:pt>
                <c:pt idx="1">
                  <c:v>Website-RAG</c:v>
                </c:pt>
                <c:pt idx="2">
                  <c:v>Hybrid</c:v>
                </c:pt>
              </c:strCache>
            </c:strRef>
          </c:cat>
          <c:val>
            <c:numRef>
              <c:f>Metrics!$C$2:$C$4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9-46B1-B370-4284661A0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aluationTable" displayName="EvaluationTable" ref="A1:AG38">
  <tableColumns count="33">
    <tableColumn id="1" xr3:uid="{00000000-0010-0000-0000-000001000000}" name="id"/>
    <tableColumn id="2" xr3:uid="{00000000-0010-0000-0000-000002000000}" name="category"/>
    <tableColumn id="3" xr3:uid="{00000000-0010-0000-0000-000003000000}" name="difficulty"/>
    <tableColumn id="4" xr3:uid="{00000000-0010-0000-0000-000004000000}" name="language"/>
    <tableColumn id="5" xr3:uid="{00000000-0010-0000-0000-000005000000}" name="question"/>
    <tableColumn id="6" xr3:uid="{00000000-0010-0000-0000-000006000000}" name="expected_answer"/>
    <tableColumn id="7" xr3:uid="{00000000-0010-0000-0000-000007000000}" name="source_of_truth"/>
    <tableColumn id="8" xr3:uid="{00000000-0010-0000-0000-000008000000}" name="expected_flow"/>
    <tableColumn id="9" xr3:uid="{00000000-0010-0000-0000-000009000000}" name="gold_source"/>
    <tableColumn id="10" xr3:uid="{00000000-0010-0000-0000-00000A000000}" name="required_fields"/>
    <tableColumn id="11" xr3:uid="{00000000-0010-0000-0000-00000B000000}" name="notes"/>
    <tableColumn id="12" xr3:uid="{00000000-0010-0000-0000-00000C000000}" name="nonrag_answer"/>
    <tableColumn id="13" xr3:uid="{00000000-0010-0000-0000-00000D000000}" name="nonrag_correctness_0_2"/>
    <tableColumn id="14" xr3:uid="{00000000-0010-0000-0000-00000E000000}" name="nonrag_faithfulness_0_2"/>
    <tableColumn id="15" xr3:uid="{00000000-0010-0000-0000-00000F000000}" name="nonrag_hallucination_0_1"/>
    <tableColumn id="16" xr3:uid="{00000000-0010-0000-0000-000010000000}" name="nonrag_language_0_2"/>
    <tableColumn id="17" xr3:uid="{00000000-0010-0000-0000-000011000000}" name="nonrag_time_ms"/>
    <tableColumn id="18" xr3:uid="{00000000-0010-0000-0000-000012000000}" name="nonrag_error"/>
    <tableColumn id="19" xr3:uid="{00000000-0010-0000-0000-000013000000}" name="webrag_answer"/>
    <tableColumn id="20" xr3:uid="{00000000-0010-0000-0000-000014000000}" name="webrag_correctness_0_2"/>
    <tableColumn id="21" xr3:uid="{00000000-0010-0000-0000-000015000000}" name="webrag_faithfulness_0_2"/>
    <tableColumn id="22" xr3:uid="{00000000-0010-0000-0000-000016000000}" name="webrag_hallucination_0_1"/>
    <tableColumn id="23" xr3:uid="{00000000-0010-0000-0000-000017000000}" name="webrag_language_0_2"/>
    <tableColumn id="24" xr3:uid="{00000000-0010-0000-0000-000018000000}" name="webrag_time_ms"/>
    <tableColumn id="25" xr3:uid="{00000000-0010-0000-0000-000019000000}" name="webrag_error"/>
    <tableColumn id="26" xr3:uid="{00000000-0010-0000-0000-00001A000000}" name="hybrid_answer"/>
    <tableColumn id="27" xr3:uid="{00000000-0010-0000-0000-00001B000000}" name="hybrid_correctness_0_2"/>
    <tableColumn id="28" xr3:uid="{00000000-0010-0000-0000-00001C000000}" name="hybrid_faithfulness_0_2"/>
    <tableColumn id="29" xr3:uid="{00000000-0010-0000-0000-00001D000000}" name="hybrid_hallucination_0_1"/>
    <tableColumn id="30" xr3:uid="{00000000-0010-0000-0000-00001E000000}" name="hybrid_language_0_2"/>
    <tableColumn id="31" xr3:uid="{00000000-0010-0000-0000-00001F000000}" name="hybrid_time_ms"/>
    <tableColumn id="32" xr3:uid="{00000000-0010-0000-0000-000020000000}" name="hybrid_tool_used"/>
    <tableColumn id="33" xr3:uid="{00000000-0010-0000-0000-000021000000}" name="hybrid_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etricsTable" displayName="MetricsTable" ref="A1:H4">
  <tableColumns count="8">
    <tableColumn id="1" xr3:uid="{00000000-0010-0000-0100-000001000000}" name="System"/>
    <tableColumn id="2" xr3:uid="{00000000-0010-0000-0100-000002000000}" name="Answered count"/>
    <tableColumn id="3" xr3:uid="{00000000-0010-0000-0100-000003000000}" name="Avg correctness"/>
    <tableColumn id="4" xr3:uid="{00000000-0010-0000-0100-000004000000}" name="Avg faithfulness"/>
    <tableColumn id="5" xr3:uid="{00000000-0010-0000-0100-000005000000}" name="Hallucination rate"/>
    <tableColumn id="6" xr3:uid="{00000000-0010-0000-0100-000006000000}" name="Avg language"/>
    <tableColumn id="7" xr3:uid="{00000000-0010-0000-0100-000007000000}" name="Avg time ms"/>
    <tableColumn id="8" xr3:uid="{00000000-0010-0000-0100-000008000000}" name="Error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coringGuideTable" displayName="ScoringGuideTable" ref="A1:C14">
  <tableColumns count="3">
    <tableColumn id="1" xr3:uid="{00000000-0010-0000-0200-000001000000}" name="Metric"/>
    <tableColumn id="2" xr3:uid="{00000000-0010-0000-0200-000002000000}" name="Score"/>
    <tableColumn id="3" xr3:uid="{00000000-0010-0000-0200-000003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7" sqref="A7"/>
    </sheetView>
  </sheetViews>
  <sheetFormatPr baseColWidth="10" defaultColWidth="8.796875" defaultRowHeight="13.8"/>
  <cols>
    <col min="1" max="1" width="120" customWidth="1"/>
  </cols>
  <sheetData>
    <row r="1" spans="1:1" ht="21">
      <c r="A1" s="6" t="s">
        <v>0</v>
      </c>
    </row>
    <row r="3" spans="1:1" ht="15.6">
      <c r="A3" s="5" t="s">
        <v>1</v>
      </c>
    </row>
    <row r="4" spans="1:1">
      <c r="A4" t="s">
        <v>2</v>
      </c>
    </row>
    <row r="6" spans="1:1" ht="15.6">
      <c r="A6" s="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3" spans="1:1" ht="15.6">
      <c r="A13" s="5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8" spans="1:1" ht="15.6">
      <c r="A18" s="5" t="s">
        <v>13</v>
      </c>
    </row>
    <row r="19" spans="1:1">
      <c r="A1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8"/>
  <sheetViews>
    <sheetView tabSelected="1" topLeftCell="A28" workbookViewId="0">
      <selection activeCell="D31" sqref="D31"/>
    </sheetView>
  </sheetViews>
  <sheetFormatPr baseColWidth="10" defaultColWidth="8.796875" defaultRowHeight="13.8"/>
  <cols>
    <col min="1" max="1" width="6" customWidth="1"/>
    <col min="2" max="2" width="24" customWidth="1"/>
    <col min="3" max="3" width="12" customWidth="1"/>
    <col min="4" max="4" width="10" customWidth="1"/>
    <col min="5" max="5" width="48" customWidth="1"/>
    <col min="6" max="6" width="42" customWidth="1"/>
    <col min="7" max="7" width="14" customWidth="1"/>
    <col min="8" max="8" width="32" customWidth="1"/>
    <col min="9" max="10" width="28" customWidth="1"/>
    <col min="11" max="11" width="36" customWidth="1"/>
    <col min="12" max="12" width="42" customWidth="1"/>
    <col min="13" max="17" width="14" customWidth="1"/>
    <col min="18" max="18" width="18" customWidth="1"/>
    <col min="19" max="19" width="42" customWidth="1"/>
    <col min="20" max="24" width="14" customWidth="1"/>
    <col min="25" max="25" width="18" customWidth="1"/>
    <col min="26" max="26" width="42" customWidth="1"/>
    <col min="27" max="31" width="14" customWidth="1"/>
    <col min="32" max="33" width="18" customWidth="1"/>
  </cols>
  <sheetData>
    <row r="1" spans="1:33" ht="24" customHeight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</row>
    <row r="2" spans="1:33" ht="27.6">
      <c r="A2" s="3">
        <v>1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27.6">
      <c r="A3" s="3">
        <v>2</v>
      </c>
      <c r="B3" s="3" t="s">
        <v>48</v>
      </c>
      <c r="C3" s="3" t="s">
        <v>49</v>
      </c>
      <c r="D3" s="3" t="s">
        <v>50</v>
      </c>
      <c r="E3" s="3" t="s">
        <v>58</v>
      </c>
      <c r="F3" s="3" t="s">
        <v>59</v>
      </c>
      <c r="G3" s="3" t="s">
        <v>53</v>
      </c>
      <c r="H3" s="3" t="s">
        <v>60</v>
      </c>
      <c r="I3" s="3" t="s">
        <v>55</v>
      </c>
      <c r="J3" s="3" t="s">
        <v>61</v>
      </c>
      <c r="K3" s="3" t="s">
        <v>57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41.4">
      <c r="A4" s="3">
        <v>3</v>
      </c>
      <c r="B4" s="3" t="s">
        <v>62</v>
      </c>
      <c r="C4" s="3" t="s">
        <v>63</v>
      </c>
      <c r="D4" s="3" t="s">
        <v>50</v>
      </c>
      <c r="E4" s="3" t="s">
        <v>64</v>
      </c>
      <c r="F4" s="3" t="s">
        <v>65</v>
      </c>
      <c r="G4" s="3" t="s">
        <v>53</v>
      </c>
      <c r="H4" s="3" t="s">
        <v>66</v>
      </c>
      <c r="I4" s="3" t="s">
        <v>67</v>
      </c>
      <c r="J4" s="3" t="s">
        <v>68</v>
      </c>
      <c r="K4" s="3" t="s">
        <v>57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27.6">
      <c r="A5" s="3">
        <v>4</v>
      </c>
      <c r="B5" s="3" t="s">
        <v>69</v>
      </c>
      <c r="C5" s="3" t="s">
        <v>49</v>
      </c>
      <c r="D5" s="3" t="s">
        <v>50</v>
      </c>
      <c r="E5" s="3" t="s">
        <v>70</v>
      </c>
      <c r="F5" s="3" t="s">
        <v>221</v>
      </c>
      <c r="G5" s="3" t="s">
        <v>76</v>
      </c>
      <c r="H5" s="3" t="s">
        <v>72</v>
      </c>
      <c r="I5" s="3" t="s">
        <v>73</v>
      </c>
      <c r="J5" s="3" t="s">
        <v>74</v>
      </c>
      <c r="K5" s="3" t="s">
        <v>57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27.6">
      <c r="A6" s="3">
        <v>5</v>
      </c>
      <c r="B6" s="3" t="s">
        <v>62</v>
      </c>
      <c r="C6" s="3" t="s">
        <v>63</v>
      </c>
      <c r="D6" s="3" t="s">
        <v>50</v>
      </c>
      <c r="E6" s="3" t="s">
        <v>75</v>
      </c>
      <c r="F6" s="3" t="s">
        <v>220</v>
      </c>
      <c r="G6" s="3" t="s">
        <v>71</v>
      </c>
      <c r="H6" s="3" t="s">
        <v>77</v>
      </c>
      <c r="I6" s="3" t="s">
        <v>78</v>
      </c>
      <c r="J6" s="3" t="s">
        <v>79</v>
      </c>
      <c r="K6" s="3" t="s">
        <v>57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27.6">
      <c r="A7" s="3">
        <v>6</v>
      </c>
      <c r="B7" s="3" t="s">
        <v>81</v>
      </c>
      <c r="C7" s="3" t="s">
        <v>82</v>
      </c>
      <c r="D7" s="3" t="s">
        <v>50</v>
      </c>
      <c r="E7" s="3" t="s">
        <v>197</v>
      </c>
      <c r="F7" s="3" t="s">
        <v>83</v>
      </c>
      <c r="G7" s="3" t="s">
        <v>53</v>
      </c>
      <c r="H7" s="3" t="s">
        <v>84</v>
      </c>
      <c r="I7" s="3" t="s">
        <v>85</v>
      </c>
      <c r="J7" s="3" t="s">
        <v>86</v>
      </c>
      <c r="K7" s="3" t="s">
        <v>87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27.6">
      <c r="A8" s="3">
        <v>7</v>
      </c>
      <c r="B8" s="3" t="s">
        <v>81</v>
      </c>
      <c r="C8" s="3" t="s">
        <v>82</v>
      </c>
      <c r="D8" s="3" t="s">
        <v>50</v>
      </c>
      <c r="E8" s="3" t="s">
        <v>198</v>
      </c>
      <c r="F8" s="3" t="s">
        <v>83</v>
      </c>
      <c r="G8" s="3" t="s">
        <v>53</v>
      </c>
      <c r="H8" s="3" t="s">
        <v>84</v>
      </c>
      <c r="I8" s="3" t="s">
        <v>85</v>
      </c>
      <c r="J8" s="3" t="s">
        <v>88</v>
      </c>
      <c r="K8" s="3" t="s">
        <v>87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27.6">
      <c r="A9" s="3">
        <v>8</v>
      </c>
      <c r="B9" s="3" t="s">
        <v>81</v>
      </c>
      <c r="C9" s="3" t="s">
        <v>82</v>
      </c>
      <c r="D9" s="3" t="s">
        <v>50</v>
      </c>
      <c r="E9" s="3" t="s">
        <v>199</v>
      </c>
      <c r="F9" s="3" t="s">
        <v>83</v>
      </c>
      <c r="G9" s="3" t="s">
        <v>53</v>
      </c>
      <c r="H9" s="3" t="s">
        <v>84</v>
      </c>
      <c r="I9" s="3" t="s">
        <v>85</v>
      </c>
      <c r="J9" s="3" t="s">
        <v>89</v>
      </c>
      <c r="K9" s="3" t="s">
        <v>87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27.6">
      <c r="A10" s="3">
        <v>9</v>
      </c>
      <c r="B10" s="3" t="s">
        <v>81</v>
      </c>
      <c r="C10" s="3" t="s">
        <v>82</v>
      </c>
      <c r="D10" s="3" t="s">
        <v>50</v>
      </c>
      <c r="E10" s="3" t="s">
        <v>200</v>
      </c>
      <c r="F10" s="3" t="s">
        <v>83</v>
      </c>
      <c r="G10" s="3" t="s">
        <v>53</v>
      </c>
      <c r="H10" s="3" t="s">
        <v>84</v>
      </c>
      <c r="I10" s="3" t="s">
        <v>85</v>
      </c>
      <c r="J10" s="3" t="s">
        <v>90</v>
      </c>
      <c r="K10" s="3" t="s">
        <v>87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27.6">
      <c r="A11" s="3">
        <v>10</v>
      </c>
      <c r="B11" s="3" t="s">
        <v>91</v>
      </c>
      <c r="C11" s="3" t="s">
        <v>49</v>
      </c>
      <c r="D11" s="3" t="s">
        <v>50</v>
      </c>
      <c r="E11" s="3" t="s">
        <v>215</v>
      </c>
      <c r="F11" s="3" t="s">
        <v>92</v>
      </c>
      <c r="G11" s="3" t="s">
        <v>53</v>
      </c>
      <c r="H11" s="3" t="s">
        <v>93</v>
      </c>
      <c r="I11" s="3" t="s">
        <v>94</v>
      </c>
      <c r="J11" s="3" t="s">
        <v>95</v>
      </c>
      <c r="K11" s="3" t="s">
        <v>96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27.6">
      <c r="A12" s="3">
        <v>11</v>
      </c>
      <c r="B12" s="3" t="s">
        <v>91</v>
      </c>
      <c r="C12" s="3" t="s">
        <v>49</v>
      </c>
      <c r="D12" s="3" t="s">
        <v>50</v>
      </c>
      <c r="E12" s="3" t="s">
        <v>219</v>
      </c>
      <c r="F12" s="3" t="s">
        <v>92</v>
      </c>
      <c r="G12" s="3" t="s">
        <v>53</v>
      </c>
      <c r="H12" s="3" t="s">
        <v>93</v>
      </c>
      <c r="I12" s="3" t="s">
        <v>94</v>
      </c>
      <c r="J12" s="3" t="s">
        <v>97</v>
      </c>
      <c r="K12" s="3" t="s">
        <v>96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27.6">
      <c r="A13" s="3">
        <v>12</v>
      </c>
      <c r="B13" s="3" t="s">
        <v>91</v>
      </c>
      <c r="C13" s="3" t="s">
        <v>49</v>
      </c>
      <c r="D13" s="3" t="s">
        <v>50</v>
      </c>
      <c r="E13" s="3" t="s">
        <v>218</v>
      </c>
      <c r="F13" s="3" t="s">
        <v>92</v>
      </c>
      <c r="G13" s="3" t="s">
        <v>53</v>
      </c>
      <c r="H13" s="3" t="s">
        <v>93</v>
      </c>
      <c r="I13" s="3" t="s">
        <v>94</v>
      </c>
      <c r="J13" s="3" t="s">
        <v>98</v>
      </c>
      <c r="K13" s="3" t="s">
        <v>96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27.6">
      <c r="A14" s="3">
        <v>13</v>
      </c>
      <c r="B14" s="3" t="s">
        <v>91</v>
      </c>
      <c r="C14" s="3" t="s">
        <v>49</v>
      </c>
      <c r="D14" s="3" t="s">
        <v>50</v>
      </c>
      <c r="E14" s="3" t="s">
        <v>216</v>
      </c>
      <c r="F14" s="3" t="s">
        <v>92</v>
      </c>
      <c r="G14" s="3" t="s">
        <v>53</v>
      </c>
      <c r="H14" s="3" t="s">
        <v>93</v>
      </c>
      <c r="I14" s="3" t="s">
        <v>94</v>
      </c>
      <c r="J14" s="3" t="s">
        <v>99</v>
      </c>
      <c r="K14" s="3" t="s">
        <v>96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27.6">
      <c r="A15" s="3">
        <v>14</v>
      </c>
      <c r="B15" s="3" t="s">
        <v>62</v>
      </c>
      <c r="C15" s="3" t="s">
        <v>63</v>
      </c>
      <c r="D15" s="3" t="s">
        <v>50</v>
      </c>
      <c r="E15" s="3" t="s">
        <v>224</v>
      </c>
      <c r="F15" s="3" t="s">
        <v>225</v>
      </c>
      <c r="G15" s="3" t="s">
        <v>53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27.6">
      <c r="A16" s="3">
        <v>15</v>
      </c>
      <c r="B16" s="3" t="s">
        <v>100</v>
      </c>
      <c r="C16" s="3" t="s">
        <v>49</v>
      </c>
      <c r="D16" s="3" t="s">
        <v>50</v>
      </c>
      <c r="E16" s="3" t="s">
        <v>206</v>
      </c>
      <c r="F16" s="3" t="s">
        <v>101</v>
      </c>
      <c r="G16" s="3" t="s">
        <v>53</v>
      </c>
      <c r="H16" s="3" t="s">
        <v>102</v>
      </c>
      <c r="I16" s="3" t="s">
        <v>103</v>
      </c>
      <c r="J16" s="3" t="s">
        <v>105</v>
      </c>
      <c r="K16" s="3" t="s">
        <v>104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27.6">
      <c r="A17" s="3">
        <v>16</v>
      </c>
      <c r="B17" s="3" t="s">
        <v>100</v>
      </c>
      <c r="C17" s="3" t="s">
        <v>49</v>
      </c>
      <c r="D17" s="3" t="s">
        <v>50</v>
      </c>
      <c r="E17" s="3" t="s">
        <v>207</v>
      </c>
      <c r="F17" s="3" t="s">
        <v>101</v>
      </c>
      <c r="G17" s="3" t="s">
        <v>53</v>
      </c>
      <c r="H17" s="3" t="s">
        <v>102</v>
      </c>
      <c r="I17" s="3" t="s">
        <v>103</v>
      </c>
      <c r="J17" s="3" t="s">
        <v>106</v>
      </c>
      <c r="K17" s="3" t="s">
        <v>104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27.6">
      <c r="A18" s="3">
        <v>17</v>
      </c>
      <c r="B18" s="3" t="s">
        <v>100</v>
      </c>
      <c r="C18" s="3" t="s">
        <v>49</v>
      </c>
      <c r="D18" s="3" t="s">
        <v>50</v>
      </c>
      <c r="E18" s="3" t="s">
        <v>208</v>
      </c>
      <c r="F18" s="3" t="s">
        <v>101</v>
      </c>
      <c r="G18" s="3" t="s">
        <v>53</v>
      </c>
      <c r="H18" s="3" t="s">
        <v>107</v>
      </c>
      <c r="I18" s="3" t="s">
        <v>103</v>
      </c>
      <c r="J18" s="3" t="s">
        <v>108</v>
      </c>
      <c r="K18" s="3" t="s">
        <v>104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41.4">
      <c r="A19" s="3">
        <v>18</v>
      </c>
      <c r="B19" s="3" t="s">
        <v>100</v>
      </c>
      <c r="C19" s="3" t="s">
        <v>49</v>
      </c>
      <c r="D19" s="3" t="s">
        <v>50</v>
      </c>
      <c r="E19" s="3" t="s">
        <v>109</v>
      </c>
      <c r="F19" s="3" t="s">
        <v>101</v>
      </c>
      <c r="G19" s="3" t="s">
        <v>53</v>
      </c>
      <c r="H19" s="3" t="s">
        <v>110</v>
      </c>
      <c r="I19" s="3" t="s">
        <v>103</v>
      </c>
      <c r="J19" s="3" t="s">
        <v>111</v>
      </c>
      <c r="K19" s="3" t="s">
        <v>104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27.6">
      <c r="A20" s="3">
        <v>19</v>
      </c>
      <c r="B20" s="3" t="s">
        <v>112</v>
      </c>
      <c r="C20" s="3" t="s">
        <v>63</v>
      </c>
      <c r="D20" s="3" t="s">
        <v>50</v>
      </c>
      <c r="E20" s="3" t="s">
        <v>209</v>
      </c>
      <c r="F20" s="3" t="s">
        <v>113</v>
      </c>
      <c r="G20" s="3" t="s">
        <v>76</v>
      </c>
      <c r="H20" s="3" t="s">
        <v>114</v>
      </c>
      <c r="I20" s="3" t="s">
        <v>115</v>
      </c>
      <c r="J20" s="3" t="s">
        <v>116</v>
      </c>
      <c r="K20" s="3" t="s">
        <v>117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27.6">
      <c r="A21" s="3">
        <v>20</v>
      </c>
      <c r="B21" s="3" t="s">
        <v>112</v>
      </c>
      <c r="C21" s="3" t="s">
        <v>63</v>
      </c>
      <c r="D21" s="3" t="s">
        <v>50</v>
      </c>
      <c r="E21" s="3" t="s">
        <v>210</v>
      </c>
      <c r="F21" s="3" t="s">
        <v>113</v>
      </c>
      <c r="G21" s="3" t="s">
        <v>76</v>
      </c>
      <c r="H21" s="3" t="s">
        <v>114</v>
      </c>
      <c r="I21" s="3" t="s">
        <v>115</v>
      </c>
      <c r="J21" s="3" t="s">
        <v>118</v>
      </c>
      <c r="K21" s="3" t="s">
        <v>117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27.6">
      <c r="A22" s="3">
        <v>21</v>
      </c>
      <c r="B22" s="3" t="s">
        <v>112</v>
      </c>
      <c r="C22" s="3" t="s">
        <v>63</v>
      </c>
      <c r="D22" s="3" t="s">
        <v>50</v>
      </c>
      <c r="E22" s="3" t="s">
        <v>222</v>
      </c>
      <c r="F22" s="3" t="s">
        <v>113</v>
      </c>
      <c r="G22" s="3" t="s">
        <v>76</v>
      </c>
      <c r="H22" s="3" t="s">
        <v>114</v>
      </c>
      <c r="I22" s="3" t="s">
        <v>115</v>
      </c>
      <c r="J22" s="3" t="s">
        <v>119</v>
      </c>
      <c r="K22" s="3" t="s">
        <v>117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27.6">
      <c r="A23" s="3">
        <v>22</v>
      </c>
      <c r="B23" s="3" t="s">
        <v>112</v>
      </c>
      <c r="C23" s="3" t="s">
        <v>63</v>
      </c>
      <c r="D23" s="3" t="s">
        <v>50</v>
      </c>
      <c r="E23" s="3" t="s">
        <v>120</v>
      </c>
      <c r="F23" s="3" t="s">
        <v>113</v>
      </c>
      <c r="G23" s="3" t="s">
        <v>76</v>
      </c>
      <c r="H23" s="3" t="s">
        <v>114</v>
      </c>
      <c r="I23" s="3" t="s">
        <v>115</v>
      </c>
      <c r="J23" s="3" t="s">
        <v>121</v>
      </c>
      <c r="K23" s="3" t="s">
        <v>117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41.4">
      <c r="A24" s="3">
        <v>23</v>
      </c>
      <c r="B24" s="3" t="s">
        <v>122</v>
      </c>
      <c r="C24" s="3" t="s">
        <v>49</v>
      </c>
      <c r="D24" s="3" t="s">
        <v>123</v>
      </c>
      <c r="E24" s="3" t="s">
        <v>124</v>
      </c>
      <c r="F24" s="3" t="s">
        <v>125</v>
      </c>
      <c r="G24" s="3" t="s">
        <v>71</v>
      </c>
      <c r="H24" s="3" t="s">
        <v>72</v>
      </c>
      <c r="I24" s="3" t="s">
        <v>126</v>
      </c>
      <c r="J24" s="3" t="s">
        <v>127</v>
      </c>
      <c r="K24" s="3" t="s">
        <v>128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41.4">
      <c r="A25" s="3">
        <v>24</v>
      </c>
      <c r="B25" s="3" t="s">
        <v>122</v>
      </c>
      <c r="C25" s="3" t="s">
        <v>49</v>
      </c>
      <c r="D25" s="3" t="s">
        <v>123</v>
      </c>
      <c r="E25" s="3" t="s">
        <v>201</v>
      </c>
      <c r="F25" s="3" t="s">
        <v>125</v>
      </c>
      <c r="G25" s="3" t="s">
        <v>71</v>
      </c>
      <c r="H25" s="3" t="s">
        <v>72</v>
      </c>
      <c r="I25" s="3" t="s">
        <v>126</v>
      </c>
      <c r="J25" s="3" t="s">
        <v>86</v>
      </c>
      <c r="K25" s="3" t="s">
        <v>128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41.4">
      <c r="A26" s="3">
        <v>25</v>
      </c>
      <c r="B26" s="3" t="s">
        <v>122</v>
      </c>
      <c r="C26" s="3" t="s">
        <v>49</v>
      </c>
      <c r="D26" s="3" t="s">
        <v>130</v>
      </c>
      <c r="E26" s="3" t="s">
        <v>131</v>
      </c>
      <c r="F26" s="3" t="s">
        <v>125</v>
      </c>
      <c r="G26" s="3" t="s">
        <v>71</v>
      </c>
      <c r="H26" s="3" t="s">
        <v>72</v>
      </c>
      <c r="I26" s="3" t="s">
        <v>126</v>
      </c>
      <c r="J26" s="3" t="s">
        <v>127</v>
      </c>
      <c r="K26" s="3" t="s">
        <v>128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41.4">
      <c r="A27" s="3">
        <v>26</v>
      </c>
      <c r="B27" s="3" t="s">
        <v>122</v>
      </c>
      <c r="C27" s="3" t="s">
        <v>49</v>
      </c>
      <c r="D27" s="3" t="s">
        <v>130</v>
      </c>
      <c r="E27" s="3" t="s">
        <v>202</v>
      </c>
      <c r="F27" s="3" t="s">
        <v>125</v>
      </c>
      <c r="G27" s="3" t="s">
        <v>71</v>
      </c>
      <c r="H27" s="3" t="s">
        <v>72</v>
      </c>
      <c r="I27" s="3" t="s">
        <v>126</v>
      </c>
      <c r="J27" s="3" t="s">
        <v>86</v>
      </c>
      <c r="K27" s="3" t="s">
        <v>128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41.4">
      <c r="A28" s="3">
        <v>27</v>
      </c>
      <c r="B28" s="3" t="s">
        <v>122</v>
      </c>
      <c r="C28" s="3" t="s">
        <v>49</v>
      </c>
      <c r="D28" s="3" t="s">
        <v>50</v>
      </c>
      <c r="E28" s="3" t="s">
        <v>211</v>
      </c>
      <c r="F28" s="3" t="s">
        <v>125</v>
      </c>
      <c r="G28" s="3" t="s">
        <v>71</v>
      </c>
      <c r="H28" s="3" t="s">
        <v>72</v>
      </c>
      <c r="I28" s="3" t="s">
        <v>126</v>
      </c>
      <c r="J28" s="3" t="s">
        <v>129</v>
      </c>
      <c r="K28" s="3" t="s">
        <v>128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41.4">
      <c r="A29" s="3">
        <v>28</v>
      </c>
      <c r="B29" s="3" t="s">
        <v>122</v>
      </c>
      <c r="C29" s="3" t="s">
        <v>49</v>
      </c>
      <c r="D29" s="3" t="s">
        <v>50</v>
      </c>
      <c r="E29" s="3" t="s">
        <v>212</v>
      </c>
      <c r="F29" s="3" t="s">
        <v>125</v>
      </c>
      <c r="G29" s="3" t="s">
        <v>71</v>
      </c>
      <c r="H29" s="3" t="s">
        <v>72</v>
      </c>
      <c r="I29" s="3" t="s">
        <v>126</v>
      </c>
      <c r="J29" s="3" t="s">
        <v>132</v>
      </c>
      <c r="K29" s="3" t="s">
        <v>128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41.4">
      <c r="A30" s="3">
        <v>29</v>
      </c>
      <c r="B30" s="3" t="s">
        <v>133</v>
      </c>
      <c r="C30" s="3" t="s">
        <v>49</v>
      </c>
      <c r="D30" s="3" t="s">
        <v>50</v>
      </c>
      <c r="E30" s="3" t="s">
        <v>226</v>
      </c>
      <c r="F30" s="3" t="s">
        <v>134</v>
      </c>
      <c r="G30" s="3" t="s">
        <v>71</v>
      </c>
      <c r="H30" s="3" t="s">
        <v>135</v>
      </c>
      <c r="I30" s="3" t="s">
        <v>136</v>
      </c>
      <c r="J30" s="3" t="s">
        <v>137</v>
      </c>
      <c r="K30" s="3" t="s">
        <v>138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41.4">
      <c r="A31" s="3">
        <v>30</v>
      </c>
      <c r="B31" s="3" t="s">
        <v>133</v>
      </c>
      <c r="C31" s="3" t="s">
        <v>49</v>
      </c>
      <c r="D31" s="3" t="s">
        <v>50</v>
      </c>
      <c r="E31" s="3" t="s">
        <v>139</v>
      </c>
      <c r="F31" s="3" t="s">
        <v>134</v>
      </c>
      <c r="G31" s="3" t="s">
        <v>71</v>
      </c>
      <c r="H31" s="3" t="s">
        <v>135</v>
      </c>
      <c r="I31" s="3" t="s">
        <v>136</v>
      </c>
      <c r="J31" s="3" t="s">
        <v>137</v>
      </c>
      <c r="K31" s="3" t="s">
        <v>138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27.6">
      <c r="A32" s="3">
        <v>31</v>
      </c>
      <c r="B32" s="3" t="s">
        <v>140</v>
      </c>
      <c r="C32" s="3" t="s">
        <v>49</v>
      </c>
      <c r="D32" s="3" t="s">
        <v>50</v>
      </c>
      <c r="E32" s="3" t="s">
        <v>203</v>
      </c>
      <c r="F32" s="3" t="s">
        <v>141</v>
      </c>
      <c r="G32" s="3" t="s">
        <v>142</v>
      </c>
      <c r="H32" s="3" t="s">
        <v>143</v>
      </c>
      <c r="I32" s="3" t="s">
        <v>144</v>
      </c>
      <c r="J32" s="3" t="s">
        <v>145</v>
      </c>
      <c r="K32" s="3" t="s">
        <v>146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27.6">
      <c r="A33" s="3">
        <v>32</v>
      </c>
      <c r="B33" s="3" t="s">
        <v>140</v>
      </c>
      <c r="C33" s="3" t="s">
        <v>49</v>
      </c>
      <c r="D33" s="3" t="s">
        <v>50</v>
      </c>
      <c r="E33" s="3" t="s">
        <v>204</v>
      </c>
      <c r="F33" s="3" t="s">
        <v>141</v>
      </c>
      <c r="G33" s="3" t="s">
        <v>142</v>
      </c>
      <c r="H33" s="3" t="s">
        <v>143</v>
      </c>
      <c r="I33" s="3" t="s">
        <v>144</v>
      </c>
      <c r="J33" s="3" t="s">
        <v>145</v>
      </c>
      <c r="K33" s="3" t="s">
        <v>146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27.6">
      <c r="A34" s="3">
        <v>33</v>
      </c>
      <c r="B34" s="3" t="s">
        <v>140</v>
      </c>
      <c r="C34" s="3" t="s">
        <v>49</v>
      </c>
      <c r="D34" s="3" t="s">
        <v>50</v>
      </c>
      <c r="E34" s="3" t="s">
        <v>213</v>
      </c>
      <c r="F34" s="3" t="s">
        <v>141</v>
      </c>
      <c r="G34" s="3" t="s">
        <v>142</v>
      </c>
      <c r="H34" s="3" t="s">
        <v>143</v>
      </c>
      <c r="I34" s="3" t="s">
        <v>144</v>
      </c>
      <c r="J34" s="3" t="s">
        <v>145</v>
      </c>
      <c r="K34" s="3" t="s">
        <v>146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27.6">
      <c r="A35" s="3">
        <v>34</v>
      </c>
      <c r="B35" s="3" t="s">
        <v>147</v>
      </c>
      <c r="C35" s="3" t="s">
        <v>63</v>
      </c>
      <c r="D35" s="3" t="s">
        <v>50</v>
      </c>
      <c r="E35" s="3" t="s">
        <v>217</v>
      </c>
      <c r="F35" s="3" t="s">
        <v>148</v>
      </c>
      <c r="G35" s="3" t="s">
        <v>53</v>
      </c>
      <c r="H35" s="3" t="s">
        <v>149</v>
      </c>
      <c r="I35" s="3" t="s">
        <v>150</v>
      </c>
      <c r="J35" s="3" t="s">
        <v>151</v>
      </c>
      <c r="K35" s="3" t="s">
        <v>152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27.6">
      <c r="A36" s="3">
        <v>35</v>
      </c>
      <c r="B36" s="3" t="s">
        <v>147</v>
      </c>
      <c r="C36" s="3" t="s">
        <v>63</v>
      </c>
      <c r="D36" s="3" t="s">
        <v>50</v>
      </c>
      <c r="E36" s="3" t="s">
        <v>223</v>
      </c>
      <c r="F36" s="3" t="s">
        <v>148</v>
      </c>
      <c r="G36" s="3" t="s">
        <v>53</v>
      </c>
      <c r="H36" s="3" t="s">
        <v>149</v>
      </c>
      <c r="I36" s="3" t="s">
        <v>150</v>
      </c>
      <c r="J36" s="3" t="s">
        <v>153</v>
      </c>
      <c r="K36" s="3" t="s">
        <v>152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27.6">
      <c r="A37" s="3">
        <v>36</v>
      </c>
      <c r="B37" s="3" t="s">
        <v>147</v>
      </c>
      <c r="C37" s="3" t="s">
        <v>63</v>
      </c>
      <c r="D37" s="3" t="s">
        <v>50</v>
      </c>
      <c r="E37" s="3" t="s">
        <v>214</v>
      </c>
      <c r="F37" s="3" t="s">
        <v>148</v>
      </c>
      <c r="G37" s="3" t="s">
        <v>53</v>
      </c>
      <c r="H37" s="3" t="s">
        <v>149</v>
      </c>
      <c r="I37" s="3" t="s">
        <v>150</v>
      </c>
      <c r="J37" s="3" t="s">
        <v>154</v>
      </c>
      <c r="K37" s="3" t="s">
        <v>152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27.6">
      <c r="A38" s="3">
        <v>37</v>
      </c>
      <c r="B38" s="3" t="s">
        <v>147</v>
      </c>
      <c r="C38" s="3" t="s">
        <v>63</v>
      </c>
      <c r="D38" s="3" t="s">
        <v>50</v>
      </c>
      <c r="E38" s="3" t="s">
        <v>205</v>
      </c>
      <c r="F38" s="3" t="s">
        <v>148</v>
      </c>
      <c r="G38" s="3" t="s">
        <v>53</v>
      </c>
      <c r="H38" s="3" t="s">
        <v>149</v>
      </c>
      <c r="I38" s="3" t="s">
        <v>150</v>
      </c>
      <c r="J38" s="3" t="s">
        <v>155</v>
      </c>
      <c r="K38" s="3" t="s">
        <v>152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</sheetData>
  <conditionalFormatting sqref="M2:M38">
    <cfRule type="colorScale" priority="35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N2:N38">
    <cfRule type="colorScale" priority="360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O2:O38">
    <cfRule type="colorScale" priority="362">
      <colorScale>
        <cfvo type="min"/>
        <cfvo type="max"/>
        <color rgb="FFD9EAD3"/>
        <color rgb="FFF4CCCC"/>
      </colorScale>
    </cfRule>
  </conditionalFormatting>
  <conditionalFormatting sqref="P2:P38">
    <cfRule type="colorScale" priority="36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T2:T38">
    <cfRule type="colorScale" priority="36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U2:U38">
    <cfRule type="colorScale" priority="36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V2:V38">
    <cfRule type="colorScale" priority="370">
      <colorScale>
        <cfvo type="min"/>
        <cfvo type="max"/>
        <color rgb="FFD9EAD3"/>
        <color rgb="FFF4CCCC"/>
      </colorScale>
    </cfRule>
  </conditionalFormatting>
  <conditionalFormatting sqref="W2:W38">
    <cfRule type="colorScale" priority="37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A2:AA38">
    <cfRule type="colorScale" priority="37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B2:AB38">
    <cfRule type="colorScale" priority="37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C2:AC38">
    <cfRule type="colorScale" priority="378">
      <colorScale>
        <cfvo type="min"/>
        <cfvo type="max"/>
        <color rgb="FFD9EAD3"/>
        <color rgb="FFF4CCCC"/>
      </colorScale>
    </cfRule>
  </conditionalFormatting>
  <conditionalFormatting sqref="AD2:AD38">
    <cfRule type="colorScale" priority="380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6">
    <dataValidation type="list" sqref="C2:C38" xr:uid="{00000000-0002-0000-0100-000001000000}">
      <formula1>"easy,medium,hard"</formula1>
    </dataValidation>
    <dataValidation type="list" sqref="D2:D38" xr:uid="{00000000-0002-0000-0100-000002000000}">
      <formula1>"EN,DE,FR,mixed"</formula1>
    </dataValidation>
    <dataValidation type="list" sqref="G2:G38" xr:uid="{00000000-0002-0000-0100-000003000000}">
      <formula1>"DB,RAG,Mixed,None"</formula1>
    </dataValidation>
    <dataValidation type="list" sqref="AD2:AD38 AA2:AB38 W2:W38 T2:U38 P2:P38 M2:N38" xr:uid="{00000000-0002-0000-0100-000004000000}">
      <formula1>"0,1,2"</formula1>
    </dataValidation>
    <dataValidation type="list" sqref="O2:O38 AC2:AC38 V2:V38" xr:uid="{00000000-0002-0000-0100-00000D000000}">
      <formula1>"0,1"</formula1>
    </dataValidation>
    <dataValidation type="list" sqref="AF2:AF38" xr:uid="{00000000-0002-0000-0100-000010000000}">
      <formula1>"api,rag,hybrid,none,clarification,error"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Lists!$A$2:$A$12</xm:f>
          </x14:formula1>
          <xm:sqref>B2:B38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baseColWidth="10" defaultColWidth="8.796875" defaultRowHeight="13.8"/>
  <cols>
    <col min="1" max="5" width="22" customWidth="1"/>
    <col min="6" max="8" width="20" customWidth="1"/>
  </cols>
  <sheetData>
    <row r="1" spans="1:8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</row>
    <row r="2" spans="1:8">
      <c r="A2" t="s">
        <v>164</v>
      </c>
      <c r="B2">
        <f>COUNTA(EvaluationTable[nonrag_answer])</f>
        <v>0</v>
      </c>
      <c r="C2" s="8" t="str">
        <f>IFERROR(AVERAGE(EvaluationTable[nonrag_correctness_0_2]),"")</f>
        <v/>
      </c>
      <c r="D2" s="8" t="str">
        <f>IFERROR(AVERAGE(EvaluationTable[nonrag_faithfulness_0_2]),"")</f>
        <v/>
      </c>
      <c r="E2" s="8" t="str">
        <f>IFERROR(AVERAGE(EvaluationTable[nonrag_hallucination_0_1]),"")</f>
        <v/>
      </c>
      <c r="F2" s="8" t="str">
        <f>IFERROR(AVERAGE(EvaluationTable[nonrag_language_0_2]),"")</f>
        <v/>
      </c>
      <c r="G2" s="9" t="str">
        <f>IFERROR(AVERAGE(EvaluationTable[nonrag_time_ms]),"")</f>
        <v/>
      </c>
      <c r="H2">
        <f>COUNTIF(EvaluationTable[nonrag_error],"&lt;&gt;")</f>
        <v>0</v>
      </c>
    </row>
    <row r="3" spans="1:8">
      <c r="A3" t="s">
        <v>165</v>
      </c>
      <c r="B3">
        <f>COUNTA(EvaluationTable[webrag_answer])</f>
        <v>0</v>
      </c>
      <c r="C3" s="8" t="str">
        <f>IFERROR(AVERAGE(EvaluationTable[webrag_correctness_0_2]),"")</f>
        <v/>
      </c>
      <c r="D3" s="8" t="str">
        <f>IFERROR(AVERAGE(EvaluationTable[webrag_faithfulness_0_2]),"")</f>
        <v/>
      </c>
      <c r="E3" s="8" t="str">
        <f>IFERROR(AVERAGE(EvaluationTable[webrag_hallucination_0_1]),"")</f>
        <v/>
      </c>
      <c r="F3" s="8" t="str">
        <f>IFERROR(AVERAGE(EvaluationTable[webrag_language_0_2]),"")</f>
        <v/>
      </c>
      <c r="G3" s="9" t="str">
        <f>IFERROR(AVERAGE(EvaluationTable[webrag_time_ms]),"")</f>
        <v/>
      </c>
      <c r="H3">
        <f>COUNTIF(EvaluationTable[webrag_error],"&lt;&gt;")</f>
        <v>0</v>
      </c>
    </row>
    <row r="4" spans="1:8">
      <c r="A4" t="s">
        <v>166</v>
      </c>
      <c r="B4">
        <f>COUNTA(EvaluationTable[hybrid_answer])</f>
        <v>0</v>
      </c>
      <c r="C4" s="8" t="str">
        <f>IFERROR(AVERAGE(EvaluationTable[hybrid_correctness_0_2]),"")</f>
        <v/>
      </c>
      <c r="D4" s="8" t="str">
        <f>IFERROR(AVERAGE(EvaluationTable[hybrid_faithfulness_0_2]),"")</f>
        <v/>
      </c>
      <c r="E4" s="8" t="str">
        <f>IFERROR(AVERAGE(EvaluationTable[hybrid_hallucination_0_1]),"")</f>
        <v/>
      </c>
      <c r="F4" s="8" t="str">
        <f>IFERROR(AVERAGE(EvaluationTable[hybrid_language_0_2]),"")</f>
        <v/>
      </c>
      <c r="G4" s="9" t="str">
        <f>IFERROR(AVERAGE(EvaluationTable[hybrid_time_ms]),"")</f>
        <v/>
      </c>
      <c r="H4">
        <f>COUNTIF(EvaluationTable[hybrid_error],"&lt;&gt;")</f>
        <v>0</v>
      </c>
    </row>
    <row r="7" spans="1:8">
      <c r="A7" s="4" t="s">
        <v>167</v>
      </c>
      <c r="B7" s="4" t="s">
        <v>168</v>
      </c>
      <c r="C7" s="4" t="s">
        <v>53</v>
      </c>
      <c r="D7" s="4" t="s">
        <v>76</v>
      </c>
      <c r="E7" s="4" t="s">
        <v>169</v>
      </c>
    </row>
    <row r="8" spans="1:8">
      <c r="A8" t="s">
        <v>133</v>
      </c>
      <c r="B8">
        <f>COUNTIF(EvaluationTable[category],A8)</f>
        <v>2</v>
      </c>
      <c r="C8">
        <f>COUNTIFS(EvaluationTable[category],A8,EvaluationTable[source_of_truth],"DB")</f>
        <v>0</v>
      </c>
      <c r="D8">
        <f>COUNTIFS(EvaluationTable[category],A8,EvaluationTable[source_of_truth],"RAG")</f>
        <v>0</v>
      </c>
      <c r="E8">
        <f>COUNTIFS(EvaluationTable[category],A8,EvaluationTable[source_of_truth],"Mixed")+COUNTIFS(EvaluationTable[category],A8,EvaluationTable[source_of_truth],"None")</f>
        <v>2</v>
      </c>
    </row>
    <row r="9" spans="1:8">
      <c r="A9" t="s">
        <v>81</v>
      </c>
      <c r="B9">
        <f>COUNTIF(EvaluationTable[category],A9)</f>
        <v>4</v>
      </c>
      <c r="C9">
        <f>COUNTIFS(EvaluationTable[category],A9,EvaluationTable[source_of_truth],"DB")</f>
        <v>4</v>
      </c>
      <c r="D9">
        <f>COUNTIFS(EvaluationTable[category],A9,EvaluationTable[source_of_truth],"RAG")</f>
        <v>0</v>
      </c>
      <c r="E9">
        <f>COUNTIFS(EvaluationTable[category],A9,EvaluationTable[source_of_truth],"Mixed")+COUNTIFS(EvaluationTable[category],A9,EvaluationTable[source_of_truth],"None")</f>
        <v>0</v>
      </c>
    </row>
    <row r="10" spans="1:8">
      <c r="A10" t="s">
        <v>122</v>
      </c>
      <c r="B10">
        <f>COUNTIF(EvaluationTable[category],A10)</f>
        <v>6</v>
      </c>
      <c r="C10">
        <f>COUNTIFS(EvaluationTable[category],A10,EvaluationTable[source_of_truth],"DB")</f>
        <v>0</v>
      </c>
      <c r="D10">
        <f>COUNTIFS(EvaluationTable[category],A10,EvaluationTable[source_of_truth],"RAG")</f>
        <v>0</v>
      </c>
      <c r="E10">
        <f>COUNTIFS(EvaluationTable[category],A10,EvaluationTable[source_of_truth],"Mixed")+COUNTIFS(EvaluationTable[category],A10,EvaluationTable[source_of_truth],"None")</f>
        <v>6</v>
      </c>
    </row>
    <row r="11" spans="1:8">
      <c r="A11" t="s">
        <v>80</v>
      </c>
      <c r="B11">
        <f>COUNTIF(EvaluationTable[category],A11)</f>
        <v>0</v>
      </c>
      <c r="C11">
        <f>COUNTIFS(EvaluationTable[category],A11,EvaluationTable[source_of_truth],"DB")</f>
        <v>0</v>
      </c>
      <c r="D11">
        <f>COUNTIFS(EvaluationTable[category],A11,EvaluationTable[source_of_truth],"RAG")</f>
        <v>0</v>
      </c>
      <c r="E11">
        <f>COUNTIFS(EvaluationTable[category],A11,EvaluationTable[source_of_truth],"Mixed")+COUNTIFS(EvaluationTable[category],A11,EvaluationTable[source_of_truth],"None")</f>
        <v>0</v>
      </c>
    </row>
    <row r="12" spans="1:8">
      <c r="A12" t="s">
        <v>147</v>
      </c>
      <c r="B12">
        <f>COUNTIF(EvaluationTable[category],A12)</f>
        <v>4</v>
      </c>
      <c r="C12">
        <f>COUNTIFS(EvaluationTable[category],A12,EvaluationTable[source_of_truth],"DB")</f>
        <v>4</v>
      </c>
      <c r="D12">
        <f>COUNTIFS(EvaluationTable[category],A12,EvaluationTable[source_of_truth],"RAG")</f>
        <v>0</v>
      </c>
      <c r="E12">
        <f>COUNTIFS(EvaluationTable[category],A12,EvaluationTable[source_of_truth],"Mixed")+COUNTIFS(EvaluationTable[category],A12,EvaluationTable[source_of_truth],"None")</f>
        <v>0</v>
      </c>
    </row>
    <row r="13" spans="1:8">
      <c r="A13" t="s">
        <v>62</v>
      </c>
      <c r="B13">
        <f>COUNTIF(EvaluationTable[category],A13)</f>
        <v>3</v>
      </c>
      <c r="C13">
        <f>COUNTIFS(EvaluationTable[category],A13,EvaluationTable[source_of_truth],"DB")</f>
        <v>2</v>
      </c>
      <c r="D13">
        <f>COUNTIFS(EvaluationTable[category],A13,EvaluationTable[source_of_truth],"RAG")</f>
        <v>0</v>
      </c>
      <c r="E13">
        <f>COUNTIFS(EvaluationTable[category],A13,EvaluationTable[source_of_truth],"Mixed")+COUNTIFS(EvaluationTable[category],A13,EvaluationTable[source_of_truth],"None")</f>
        <v>1</v>
      </c>
    </row>
    <row r="14" spans="1:8">
      <c r="A14" t="s">
        <v>48</v>
      </c>
      <c r="B14">
        <f>COUNTIF(EvaluationTable[category],A14)</f>
        <v>2</v>
      </c>
      <c r="C14">
        <f>COUNTIFS(EvaluationTable[category],A14,EvaluationTable[source_of_truth],"DB")</f>
        <v>2</v>
      </c>
      <c r="D14">
        <f>COUNTIFS(EvaluationTable[category],A14,EvaluationTable[source_of_truth],"RAG")</f>
        <v>0</v>
      </c>
      <c r="E14">
        <f>COUNTIFS(EvaluationTable[category],A14,EvaluationTable[source_of_truth],"Mixed")+COUNTIFS(EvaluationTable[category],A14,EvaluationTable[source_of_truth],"None")</f>
        <v>0</v>
      </c>
    </row>
    <row r="15" spans="1:8">
      <c r="A15" t="s">
        <v>69</v>
      </c>
      <c r="B15">
        <f>COUNTIF(EvaluationTable[category],A15)</f>
        <v>1</v>
      </c>
      <c r="C15">
        <f>COUNTIFS(EvaluationTable[category],A15,EvaluationTable[source_of_truth],"DB")</f>
        <v>0</v>
      </c>
      <c r="D15">
        <f>COUNTIFS(EvaluationTable[category],A15,EvaluationTable[source_of_truth],"RAG")</f>
        <v>1</v>
      </c>
      <c r="E15">
        <f>COUNTIFS(EvaluationTable[category],A15,EvaluationTable[source_of_truth],"Mixed")+COUNTIFS(EvaluationTable[category],A15,EvaluationTable[source_of_truth],"None")</f>
        <v>0</v>
      </c>
    </row>
    <row r="16" spans="1:8">
      <c r="A16" t="s">
        <v>100</v>
      </c>
      <c r="B16">
        <f>COUNTIF(EvaluationTable[category],A16)</f>
        <v>4</v>
      </c>
      <c r="C16">
        <f>COUNTIFS(EvaluationTable[category],A16,EvaluationTable[source_of_truth],"DB")</f>
        <v>4</v>
      </c>
      <c r="D16">
        <f>COUNTIFS(EvaluationTable[category],A16,EvaluationTable[source_of_truth],"RAG")</f>
        <v>0</v>
      </c>
      <c r="E16">
        <f>COUNTIFS(EvaluationTable[category],A16,EvaluationTable[source_of_truth],"Mixed")+COUNTIFS(EvaluationTable[category],A16,EvaluationTable[source_of_truth],"None")</f>
        <v>0</v>
      </c>
    </row>
    <row r="17" spans="1:5">
      <c r="A17" t="s">
        <v>112</v>
      </c>
      <c r="B17">
        <f>COUNTIF(EvaluationTable[category],A17)</f>
        <v>4</v>
      </c>
      <c r="C17">
        <f>COUNTIFS(EvaluationTable[category],A17,EvaluationTable[source_of_truth],"DB")</f>
        <v>0</v>
      </c>
      <c r="D17">
        <f>COUNTIFS(EvaluationTable[category],A17,EvaluationTable[source_of_truth],"RAG")</f>
        <v>4</v>
      </c>
      <c r="E17">
        <f>COUNTIFS(EvaluationTable[category],A17,EvaluationTable[source_of_truth],"Mixed")+COUNTIFS(EvaluationTable[category],A17,EvaluationTable[source_of_truth],"None")</f>
        <v>0</v>
      </c>
    </row>
    <row r="18" spans="1:5">
      <c r="A18" t="s">
        <v>91</v>
      </c>
      <c r="B18">
        <f>COUNTIF(EvaluationTable[category],A18)</f>
        <v>4</v>
      </c>
      <c r="C18">
        <f>COUNTIFS(EvaluationTable[category],A18,EvaluationTable[source_of_truth],"DB")</f>
        <v>4</v>
      </c>
      <c r="D18">
        <f>COUNTIFS(EvaluationTable[category],A18,EvaluationTable[source_of_truth],"RAG")</f>
        <v>0</v>
      </c>
      <c r="E18">
        <f>COUNTIFS(EvaluationTable[category],A18,EvaluationTable[source_of_truth],"Mixed")+COUNTIFS(EvaluationTable[category],A18,EvaluationTable[source_of_truth],"None")</f>
        <v>0</v>
      </c>
    </row>
    <row r="19" spans="1:5">
      <c r="A19" t="s">
        <v>140</v>
      </c>
      <c r="B19">
        <f>COUNTIF(EvaluationTable[category],A19)</f>
        <v>3</v>
      </c>
      <c r="C19">
        <f>COUNTIFS(EvaluationTable[category],A19,EvaluationTable[source_of_truth],"DB")</f>
        <v>0</v>
      </c>
      <c r="D19">
        <f>COUNTIFS(EvaluationTable[category],A19,EvaluationTable[source_of_truth],"RAG")</f>
        <v>0</v>
      </c>
      <c r="E19">
        <f>COUNTIFS(EvaluationTable[category],A19,EvaluationTable[source_of_truth],"Mixed")+COUNTIFS(EvaluationTable[category],A19,EvaluationTable[source_of_truth],"None")</f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baseColWidth="10" defaultColWidth="8.796875" defaultRowHeight="13.8"/>
  <cols>
    <col min="1" max="2" width="34" customWidth="1"/>
    <col min="3" max="3" width="90" customWidth="1"/>
  </cols>
  <sheetData>
    <row r="1" spans="1:3">
      <c r="A1" s="7" t="s">
        <v>170</v>
      </c>
      <c r="B1" s="7" t="s">
        <v>171</v>
      </c>
      <c r="C1" s="7" t="s">
        <v>172</v>
      </c>
    </row>
    <row r="2" spans="1:3">
      <c r="A2" s="3" t="s">
        <v>173</v>
      </c>
      <c r="B2" s="3">
        <v>0</v>
      </c>
      <c r="C2" s="3" t="s">
        <v>174</v>
      </c>
    </row>
    <row r="3" spans="1:3">
      <c r="A3" s="3" t="s">
        <v>173</v>
      </c>
      <c r="B3" s="3">
        <v>1</v>
      </c>
      <c r="C3" s="3" t="s">
        <v>175</v>
      </c>
    </row>
    <row r="4" spans="1:3">
      <c r="A4" s="3" t="s">
        <v>173</v>
      </c>
      <c r="B4" s="3">
        <v>2</v>
      </c>
      <c r="C4" s="3" t="s">
        <v>176</v>
      </c>
    </row>
    <row r="5" spans="1:3">
      <c r="A5" s="3" t="s">
        <v>177</v>
      </c>
      <c r="B5" s="3">
        <v>0</v>
      </c>
      <c r="C5" s="3" t="s">
        <v>178</v>
      </c>
    </row>
    <row r="6" spans="1:3">
      <c r="A6" s="3" t="s">
        <v>177</v>
      </c>
      <c r="B6" s="3">
        <v>1</v>
      </c>
      <c r="C6" s="3" t="s">
        <v>179</v>
      </c>
    </row>
    <row r="7" spans="1:3">
      <c r="A7" s="3" t="s">
        <v>177</v>
      </c>
      <c r="B7" s="3">
        <v>2</v>
      </c>
      <c r="C7" s="3" t="s">
        <v>180</v>
      </c>
    </row>
    <row r="8" spans="1:3">
      <c r="A8" s="3" t="s">
        <v>181</v>
      </c>
      <c r="B8" s="3">
        <v>0</v>
      </c>
      <c r="C8" s="3" t="s">
        <v>182</v>
      </c>
    </row>
    <row r="9" spans="1:3">
      <c r="A9" s="3" t="s">
        <v>181</v>
      </c>
      <c r="B9" s="3">
        <v>1</v>
      </c>
      <c r="C9" s="3" t="s">
        <v>183</v>
      </c>
    </row>
    <row r="10" spans="1:3">
      <c r="A10" s="3" t="s">
        <v>184</v>
      </c>
      <c r="B10" s="3">
        <v>0</v>
      </c>
      <c r="C10" s="3" t="s">
        <v>185</v>
      </c>
    </row>
    <row r="11" spans="1:3">
      <c r="A11" s="3" t="s">
        <v>184</v>
      </c>
      <c r="B11" s="3">
        <v>1</v>
      </c>
      <c r="C11" s="3" t="s">
        <v>186</v>
      </c>
    </row>
    <row r="12" spans="1:3">
      <c r="A12" s="3" t="s">
        <v>184</v>
      </c>
      <c r="B12" s="3">
        <v>2</v>
      </c>
      <c r="C12" s="3" t="s">
        <v>187</v>
      </c>
    </row>
    <row r="13" spans="1:3">
      <c r="A13" s="3" t="s">
        <v>188</v>
      </c>
      <c r="B13" s="3" t="s">
        <v>189</v>
      </c>
      <c r="C13" s="3" t="s">
        <v>190</v>
      </c>
    </row>
    <row r="14" spans="1:3" ht="27.6">
      <c r="A14" s="3" t="s">
        <v>191</v>
      </c>
      <c r="B14" s="3" t="s">
        <v>192</v>
      </c>
      <c r="C14" s="3" t="s">
        <v>193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baseColWidth="10" defaultColWidth="8.796875" defaultRowHeight="13.8"/>
  <cols>
    <col min="1" max="7" width="22" customWidth="1"/>
  </cols>
  <sheetData>
    <row r="1" spans="1:7">
      <c r="A1" s="4" t="s">
        <v>16</v>
      </c>
      <c r="B1" s="4" t="s">
        <v>17</v>
      </c>
      <c r="C1" s="4" t="s">
        <v>18</v>
      </c>
      <c r="D1" s="4" t="s">
        <v>21</v>
      </c>
      <c r="E1" s="4" t="s">
        <v>194</v>
      </c>
      <c r="F1" s="4" t="s">
        <v>195</v>
      </c>
      <c r="G1" s="4" t="s">
        <v>196</v>
      </c>
    </row>
    <row r="2" spans="1:7">
      <c r="A2" t="s">
        <v>81</v>
      </c>
      <c r="B2" t="s">
        <v>82</v>
      </c>
      <c r="C2" t="s">
        <v>50</v>
      </c>
      <c r="D2" t="s">
        <v>53</v>
      </c>
      <c r="E2">
        <v>0</v>
      </c>
      <c r="F2">
        <v>0</v>
      </c>
      <c r="G2" t="s">
        <v>164</v>
      </c>
    </row>
    <row r="3" spans="1:7">
      <c r="A3" t="s">
        <v>91</v>
      </c>
      <c r="B3" t="s">
        <v>49</v>
      </c>
      <c r="C3" t="s">
        <v>123</v>
      </c>
      <c r="D3" t="s">
        <v>76</v>
      </c>
      <c r="E3">
        <v>1</v>
      </c>
      <c r="F3">
        <v>1</v>
      </c>
      <c r="G3" t="s">
        <v>165</v>
      </c>
    </row>
    <row r="4" spans="1:7">
      <c r="A4" t="s">
        <v>100</v>
      </c>
      <c r="B4" t="s">
        <v>63</v>
      </c>
      <c r="C4" t="s">
        <v>130</v>
      </c>
      <c r="D4" t="s">
        <v>71</v>
      </c>
      <c r="E4">
        <v>2</v>
      </c>
      <c r="G4" t="s">
        <v>166</v>
      </c>
    </row>
    <row r="5" spans="1:7">
      <c r="A5" t="s">
        <v>112</v>
      </c>
      <c r="D5" t="s">
        <v>142</v>
      </c>
    </row>
    <row r="6" spans="1:7">
      <c r="A6" t="s">
        <v>122</v>
      </c>
    </row>
    <row r="7" spans="1:7">
      <c r="A7" t="s">
        <v>133</v>
      </c>
    </row>
    <row r="8" spans="1:7">
      <c r="A8" t="s">
        <v>140</v>
      </c>
    </row>
    <row r="9" spans="1:7">
      <c r="A9" t="s">
        <v>147</v>
      </c>
    </row>
    <row r="10" spans="1:7">
      <c r="A10" t="s">
        <v>48</v>
      </c>
    </row>
    <row r="11" spans="1:7">
      <c r="A11" t="s">
        <v>62</v>
      </c>
    </row>
    <row r="12" spans="1:7">
      <c r="A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README</vt:lpstr>
      <vt:lpstr>Eval_Set</vt:lpstr>
      <vt:lpstr>Metrics</vt:lpstr>
      <vt:lpstr>Scoring_Guide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Kupferschmied</cp:lastModifiedBy>
  <dcterms:created xsi:type="dcterms:W3CDTF">2026-05-06T21:30:36Z</dcterms:created>
  <dcterms:modified xsi:type="dcterms:W3CDTF">2026-05-12T16:43:58Z</dcterms:modified>
</cp:coreProperties>
</file>