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innofactorych-my.sharepoint.com/personal/sara_innofactory_ch/Documents/Desktop/BA_Thesis_Dev/"/>
    </mc:Choice>
  </mc:AlternateContent>
  <xr:revisionPtr revIDLastSave="63" documentId="8_{5A3698AA-2EF5-43DF-9706-510C4C7CF8E8}" xr6:coauthVersionLast="47" xr6:coauthVersionMax="47" xr10:uidLastSave="{66E984A7-B91F-4C4D-85A0-61A59B80FCAD}"/>
  <bookViews>
    <workbookView xWindow="-105" yWindow="-16320" windowWidth="29040" windowHeight="15720" activeTab="1" xr2:uid="{00000000-000D-0000-FFFF-FFFF00000000}"/>
  </bookViews>
  <sheets>
    <sheet name="README" sheetId="1" r:id="rId1"/>
    <sheet name="Eval_Set" sheetId="2" r:id="rId2"/>
    <sheet name="Metrics" sheetId="3" r:id="rId3"/>
    <sheet name="Scoring_Guide" sheetId="4" r:id="rId4"/>
    <sheet name="List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" i="3" l="1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H4" i="3"/>
  <c r="G4" i="3"/>
  <c r="F4" i="3"/>
  <c r="E4" i="3"/>
  <c r="D4" i="3"/>
  <c r="C4" i="3"/>
  <c r="B4" i="3"/>
  <c r="H3" i="3"/>
  <c r="G3" i="3"/>
  <c r="F3" i="3"/>
  <c r="E3" i="3"/>
  <c r="D3" i="3"/>
  <c r="C3" i="3"/>
  <c r="B3" i="3"/>
  <c r="H2" i="3"/>
  <c r="G2" i="3"/>
  <c r="F2" i="3"/>
  <c r="E2" i="3"/>
  <c r="D2" i="3"/>
  <c r="C2" i="3"/>
  <c r="B2" i="3"/>
</calcChain>
</file>

<file path=xl/sharedStrings.xml><?xml version="1.0" encoding="utf-8"?>
<sst xmlns="http://schemas.openxmlformats.org/spreadsheetml/2006/main" count="215" uniqueCount="138">
  <si>
    <t>Evaluation workbook for structured-data chatbot thesis</t>
  </si>
  <si>
    <t>Purpose</t>
  </si>
  <si>
    <t>Use this workbook to test three systems with the same question set: Non-RAG model-only chatbot, Website-RAG baseline, and Hybrid structured API + RAG chatbot.</t>
  </si>
  <si>
    <t>How to use</t>
  </si>
  <si>
    <t>1. Replace placeholders such as {COURSE_CODE}, {PROGRAM_NAME}, {SEMESTER_ID} with real values from your database/documents.</t>
  </si>
  <si>
    <t>2. Fill expected_answer and gold_source before running the evaluation.</t>
  </si>
  <si>
    <t>3. Run each question against all systems. The later script can fill answer/time/error columns automatically.</t>
  </si>
  <si>
    <t>4. Manually score correctness, faithfulness, hallucination, and language consistency using the Scoring_Guide sheet.</t>
  </si>
  <si>
    <t>5. Review the Metrics sheet for summary results.</t>
  </si>
  <si>
    <t>Recommended comparison</t>
  </si>
  <si>
    <t>A: Non-RAG = same Ollama model, no tools, no documents.</t>
  </si>
  <si>
    <t>B: Website-RAG = same Ollama model + unstructured indexed Unifr pages/PDFs.</t>
  </si>
  <si>
    <t>C: Hybrid = same Ollama model + backend APIs first + RAG fallback.</t>
  </si>
  <si>
    <t>Notes</t>
  </si>
  <si>
    <t>The questions intentionally include DB, RAG, mixed, ambiguous, multilingual, and unanswerable cases so that reliability can be evaluated at multiple levels.</t>
  </si>
  <si>
    <t>id</t>
  </si>
  <si>
    <t>category</t>
  </si>
  <si>
    <t>difficulty</t>
  </si>
  <si>
    <t>language</t>
  </si>
  <si>
    <t>question</t>
  </si>
  <si>
    <t>expected_answer</t>
  </si>
  <si>
    <t>source_of_truth</t>
  </si>
  <si>
    <t>expected_flow</t>
  </si>
  <si>
    <t>gold_source</t>
  </si>
  <si>
    <t>required_fields</t>
  </si>
  <si>
    <t>notes</t>
  </si>
  <si>
    <t>nonrag_answer</t>
  </si>
  <si>
    <t>nonrag_correctness_0_2</t>
  </si>
  <si>
    <t>nonrag_faithfulness_0_2</t>
  </si>
  <si>
    <t>nonrag_hallucination_0_1</t>
  </si>
  <si>
    <t>nonrag_language_0_2</t>
  </si>
  <si>
    <t>nonrag_time_ms</t>
  </si>
  <si>
    <t>nonrag_error</t>
  </si>
  <si>
    <t>webrag_answer</t>
  </si>
  <si>
    <t>webrag_correctness_0_2</t>
  </si>
  <si>
    <t>webrag_faithfulness_0_2</t>
  </si>
  <si>
    <t>webrag_hallucination_0_1</t>
  </si>
  <si>
    <t>webrag_language_0_2</t>
  </si>
  <si>
    <t>webrag_time_ms</t>
  </si>
  <si>
    <t>webrag_error</t>
  </si>
  <si>
    <t>hybrid_answer</t>
  </si>
  <si>
    <t>hybrid_correctness_0_2</t>
  </si>
  <si>
    <t>hybrid_faithfulness_0_2</t>
  </si>
  <si>
    <t>hybrid_hallucination_0_1</t>
  </si>
  <si>
    <t>hybrid_language_0_2</t>
  </si>
  <si>
    <t>hybrid_time_ms</t>
  </si>
  <si>
    <t>hybrid_tool_used</t>
  </si>
  <si>
    <t>hybrid_error</t>
  </si>
  <si>
    <t>program_overview</t>
  </si>
  <si>
    <t>medium</t>
  </si>
  <si>
    <t>EN</t>
  </si>
  <si>
    <t>DB</t>
  </si>
  <si>
    <t>program_courses</t>
  </si>
  <si>
    <t>hard</t>
  </si>
  <si>
    <t>program_requirements</t>
  </si>
  <si>
    <t>Mixed</t>
  </si>
  <si>
    <t>RAG</t>
  </si>
  <si>
    <t>planning</t>
  </si>
  <si>
    <t>course_facts</t>
  </si>
  <si>
    <t>easy</t>
  </si>
  <si>
    <t>schedule_datetime</t>
  </si>
  <si>
    <t>program_structure_filtering</t>
  </si>
  <si>
    <t>rag_document</t>
  </si>
  <si>
    <t>multilingual</t>
  </si>
  <si>
    <t>DE</t>
  </si>
  <si>
    <t>FR</t>
  </si>
  <si>
    <t>ambiguous</t>
  </si>
  <si>
    <t>unanswerable</t>
  </si>
  <si>
    <t>None</t>
  </si>
  <si>
    <t>planning_reasoning</t>
  </si>
  <si>
    <t>System</t>
  </si>
  <si>
    <t>Answered count</t>
  </si>
  <si>
    <t>Avg correctness</t>
  </si>
  <si>
    <t>Avg faithfulness</t>
  </si>
  <si>
    <t>Hallucination rate</t>
  </si>
  <si>
    <t>Avg language</t>
  </si>
  <si>
    <t>Avg time ms</t>
  </si>
  <si>
    <t>Error count</t>
  </si>
  <si>
    <t>Non-RAG</t>
  </si>
  <si>
    <t>Website-RAG</t>
  </si>
  <si>
    <t>Hybrid</t>
  </si>
  <si>
    <t>Category</t>
  </si>
  <si>
    <t>Question count</t>
  </si>
  <si>
    <t>Mixed/None</t>
  </si>
  <si>
    <t>Metric</t>
  </si>
  <si>
    <t>Score</t>
  </si>
  <si>
    <t>Meaning</t>
  </si>
  <si>
    <t>Correctness</t>
  </si>
  <si>
    <t>Incorrect or contradicts the expected answer.</t>
  </si>
  <si>
    <t>Partially correct; some required information missing or minor factual issue.</t>
  </si>
  <si>
    <t>Fully correct according to the gold answer/source.</t>
  </si>
  <si>
    <t>Faithfulness / groundedness</t>
  </si>
  <si>
    <t>Unsupported by retrieved/API evidence or clearly hallucinated.</t>
  </si>
  <si>
    <t>Mostly supported but includes at least one unsupported or vague claim.</t>
  </si>
  <si>
    <t>All factual claims are supported by API output or retrieved sources.</t>
  </si>
  <si>
    <t>Hallucination</t>
  </si>
  <si>
    <t>No unsupported false/specific claim detected.</t>
  </si>
  <si>
    <t>At least one invented, false, or unsupported specific claim detected.</t>
  </si>
  <si>
    <t>Language consistency</t>
  </si>
  <si>
    <t>Wrong language or impossible to understand.</t>
  </si>
  <si>
    <t>Mixed language or partly inappropriate language.</t>
  </si>
  <si>
    <t>Correct/appropriate language for the user query.</t>
  </si>
  <si>
    <t>Unanswerable questions</t>
  </si>
  <si>
    <t>Expected</t>
  </si>
  <si>
    <t>Best answer explicitly says the information is unavailable or cannot be answered from provided data.</t>
  </si>
  <si>
    <t>Timing</t>
  </si>
  <si>
    <t>ms</t>
  </si>
  <si>
    <t>Measure time from request send to final answer or error. Later add fine-grained decision/API/RAG/LLM timings if available.</t>
  </si>
  <si>
    <t>score_0_2</t>
  </si>
  <si>
    <t>hallucination_0_1</t>
  </si>
  <si>
    <t>systems</t>
  </si>
  <si>
    <t>How is the Teacher Trianing structured?</t>
  </si>
  <si>
    <t>What can you tell me about the bachelor in History?</t>
  </si>
  <si>
    <t>What courses are thaught in the Master of Slavic Studies?</t>
  </si>
  <si>
    <t>How many ects credits does a master program have?</t>
  </si>
  <si>
    <t>Which faculties exist?</t>
  </si>
  <si>
    <t>What is the suggested order of courses for the bachelor in business informatics 180 ects.</t>
  </si>
  <si>
    <t>What profile does a student of management have?</t>
  </si>
  <si>
    <t>What skills are learned in the Mathmatics program?</t>
  </si>
  <si>
    <t>Welche Kurse sind im Studienprogramm Philosophie enthalten?</t>
  </si>
  <si>
    <t>Quel est la langue d'enseignement du bachelor en informatique de gestion?</t>
  </si>
  <si>
    <t xml:space="preserve">RAG  </t>
  </si>
  <si>
    <t>study vectorstore</t>
  </si>
  <si>
    <t>What does the reglementation say about quality assurance at the university of friburg?</t>
  </si>
  <si>
    <t>general_uni_data</t>
  </si>
  <si>
    <t>reglementation</t>
  </si>
  <si>
    <t>summary of program</t>
  </si>
  <si>
    <t>short description and list of possibilities</t>
  </si>
  <si>
    <t>list of courses</t>
  </si>
  <si>
    <t>standard number of ects. Possibly highlighting possible deviations per faculty</t>
  </si>
  <si>
    <t>list of faculties</t>
  </si>
  <si>
    <t>ordered list of courses</t>
  </si>
  <si>
    <t>summary of program leanings and obtained profile</t>
  </si>
  <si>
    <t>summary/list of skills earned</t>
  </si>
  <si>
    <t xml:space="preserve">explanation of bilingualism </t>
  </si>
  <si>
    <t>summary of https://webapps.unifr.ch/legal/de/110.000</t>
  </si>
  <si>
    <t>regl vectorstore</t>
  </si>
  <si>
    <t>base_data vectorstore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</si>
</sst>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1"/>
      <color rgb="FFFFFFFF"/>
      <name val="Carlito"/>
    </font>
    <font>
      <b/>
      <sz val="16"/>
      <color rgb="FF1F4E78"/>
      <name val="Carlito"/>
    </font>
    <font>
      <b/>
      <sz val="12"/>
      <name val="Carlito"/>
    </font>
    <font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5B9BD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10">
    <xf numFmtId="0" fontId="0" fillId="0" borderId="0" xfId="0"/>
    <xf numFmtId="0" fontId="1" fillId="2" borderId="0" xfId="1" applyFont="1" applyFill="1"/>
    <xf numFmtId="0" fontId="1" fillId="2" borderId="0" xfId="1" applyFont="1" applyFill="1" applyAlignment="1">
      <alignment horizontal="center" vertical="center" wrapText="1"/>
    </xf>
    <xf numFmtId="0" fontId="0" fillId="0" borderId="0" xfId="1" applyFont="1" applyAlignment="1">
      <alignment wrapText="1"/>
    </xf>
    <xf numFmtId="0" fontId="1" fillId="3" borderId="0" xfId="1" applyFont="1" applyFill="1"/>
    <xf numFmtId="0" fontId="3" fillId="0" borderId="0" xfId="1" applyFont="1"/>
    <xf numFmtId="0" fontId="2" fillId="0" borderId="0" xfId="1" applyFont="1" applyAlignment="1">
      <alignment wrapText="1"/>
    </xf>
    <xf numFmtId="0" fontId="1" fillId="2" borderId="0" xfId="1" applyFont="1" applyFill="1" applyAlignment="1">
      <alignment wrapText="1"/>
    </xf>
    <xf numFmtId="2" fontId="0" fillId="0" borderId="0" xfId="1" applyNumberFormat="1" applyFont="1"/>
    <xf numFmtId="1" fontId="0" fillId="0" borderId="0" xfId="1" applyNumberFormat="1" applyFont="1"/>
  </cellXfs>
  <cellStyles count="2">
    <cellStyle name="Normal" xfId="1" xr:uid="{00000000-0005-0000-0000-000000000000}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Answered count</c:v>
          </c:tx>
          <c:invertIfNegative val="1"/>
          <c:cat>
            <c:strRef>
              <c:f>Metrics!$A$2:$A$4</c:f>
              <c:strCache>
                <c:ptCount val="3"/>
                <c:pt idx="0">
                  <c:v>Non-RAG</c:v>
                </c:pt>
                <c:pt idx="1">
                  <c:v>Website-RAG</c:v>
                </c:pt>
                <c:pt idx="2">
                  <c:v>Hybrid</c:v>
                </c:pt>
              </c:strCache>
            </c:strRef>
          </c:cat>
          <c:val>
            <c:numRef>
              <c:f>Metrics!$B$2:$B$4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69-46B1-B370-4284661A0C29}"/>
            </c:ext>
          </c:extLst>
        </c:ser>
        <c:ser>
          <c:idx val="1"/>
          <c:order val="1"/>
          <c:tx>
            <c:v>Avg correctness</c:v>
          </c:tx>
          <c:invertIfNegative val="1"/>
          <c:cat>
            <c:strRef>
              <c:f>Metrics!$A$2:$A$4</c:f>
              <c:strCache>
                <c:ptCount val="3"/>
                <c:pt idx="0">
                  <c:v>Non-RAG</c:v>
                </c:pt>
                <c:pt idx="1">
                  <c:v>Website-RAG</c:v>
                </c:pt>
                <c:pt idx="2">
                  <c:v>Hybrid</c:v>
                </c:pt>
              </c:strCache>
            </c:strRef>
          </c:cat>
          <c:val>
            <c:numRef>
              <c:f>Metrics!$C$2:$C$4</c:f>
              <c:numCache>
                <c:formatCode>0.00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469-46B1-B370-4284661A0C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8740157499999996" l="0.7" r="0.7" t="0.78740157499999996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17</xdr:col>
      <xdr:colOff>0</xdr:colOff>
      <xdr:row>16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valuationTable" displayName="EvaluationTable" ref="A1:AG12">
  <tableColumns count="33">
    <tableColumn id="1" xr3:uid="{00000000-0010-0000-0000-000001000000}" name="id"/>
    <tableColumn id="2" xr3:uid="{00000000-0010-0000-0000-000002000000}" name="category"/>
    <tableColumn id="3" xr3:uid="{00000000-0010-0000-0000-000003000000}" name="difficulty"/>
    <tableColumn id="4" xr3:uid="{00000000-0010-0000-0000-000004000000}" name="language"/>
    <tableColumn id="5" xr3:uid="{00000000-0010-0000-0000-000005000000}" name="question"/>
    <tableColumn id="6" xr3:uid="{00000000-0010-0000-0000-000006000000}" name="expected_answer"/>
    <tableColumn id="7" xr3:uid="{00000000-0010-0000-0000-000007000000}" name="source_of_truth"/>
    <tableColumn id="8" xr3:uid="{00000000-0010-0000-0000-000008000000}" name="expected_flow"/>
    <tableColumn id="9" xr3:uid="{00000000-0010-0000-0000-000009000000}" name="gold_source"/>
    <tableColumn id="10" xr3:uid="{00000000-0010-0000-0000-00000A000000}" name="required_fields"/>
    <tableColumn id="11" xr3:uid="{00000000-0010-0000-0000-00000B000000}" name="notes"/>
    <tableColumn id="12" xr3:uid="{00000000-0010-0000-0000-00000C000000}" name="nonrag_answer"/>
    <tableColumn id="13" xr3:uid="{00000000-0010-0000-0000-00000D000000}" name="nonrag_correctness_0_2"/>
    <tableColumn id="14" xr3:uid="{00000000-0010-0000-0000-00000E000000}" name="nonrag_faithfulness_0_2"/>
    <tableColumn id="15" xr3:uid="{00000000-0010-0000-0000-00000F000000}" name="nonrag_hallucination_0_1"/>
    <tableColumn id="16" xr3:uid="{00000000-0010-0000-0000-000010000000}" name="nonrag_language_0_2"/>
    <tableColumn id="17" xr3:uid="{00000000-0010-0000-0000-000011000000}" name="nonrag_time_ms"/>
    <tableColumn id="18" xr3:uid="{00000000-0010-0000-0000-000012000000}" name="nonrag_error"/>
    <tableColumn id="19" xr3:uid="{00000000-0010-0000-0000-000013000000}" name="webrag_answer"/>
    <tableColumn id="20" xr3:uid="{00000000-0010-0000-0000-000014000000}" name="webrag_correctness_0_2"/>
    <tableColumn id="21" xr3:uid="{00000000-0010-0000-0000-000015000000}" name="webrag_faithfulness_0_2"/>
    <tableColumn id="22" xr3:uid="{00000000-0010-0000-0000-000016000000}" name="webrag_hallucination_0_1"/>
    <tableColumn id="23" xr3:uid="{00000000-0010-0000-0000-000017000000}" name="webrag_language_0_2"/>
    <tableColumn id="24" xr3:uid="{00000000-0010-0000-0000-000018000000}" name="webrag_time_ms"/>
    <tableColumn id="25" xr3:uid="{00000000-0010-0000-0000-000019000000}" name="webrag_error"/>
    <tableColumn id="26" xr3:uid="{00000000-0010-0000-0000-00001A000000}" name="hybrid_answer"/>
    <tableColumn id="27" xr3:uid="{00000000-0010-0000-0000-00001B000000}" name="hybrid_correctness_0_2"/>
    <tableColumn id="28" xr3:uid="{00000000-0010-0000-0000-00001C000000}" name="hybrid_faithfulness_0_2"/>
    <tableColumn id="29" xr3:uid="{00000000-0010-0000-0000-00001D000000}" name="hybrid_hallucination_0_1"/>
    <tableColumn id="30" xr3:uid="{00000000-0010-0000-0000-00001E000000}" name="hybrid_language_0_2"/>
    <tableColumn id="31" xr3:uid="{00000000-0010-0000-0000-00001F000000}" name="hybrid_time_ms"/>
    <tableColumn id="32" xr3:uid="{00000000-0010-0000-0000-000020000000}" name="hybrid_tool_used"/>
    <tableColumn id="33" xr3:uid="{00000000-0010-0000-0000-000021000000}" name="hybrid_erro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MetricsTable" displayName="MetricsTable" ref="A1:H4">
  <tableColumns count="8">
    <tableColumn id="1" xr3:uid="{00000000-0010-0000-0100-000001000000}" name="System"/>
    <tableColumn id="2" xr3:uid="{00000000-0010-0000-0100-000002000000}" name="Answered count"/>
    <tableColumn id="3" xr3:uid="{00000000-0010-0000-0100-000003000000}" name="Avg correctness"/>
    <tableColumn id="4" xr3:uid="{00000000-0010-0000-0100-000004000000}" name="Avg faithfulness"/>
    <tableColumn id="5" xr3:uid="{00000000-0010-0000-0100-000005000000}" name="Hallucination rate"/>
    <tableColumn id="6" xr3:uid="{00000000-0010-0000-0100-000006000000}" name="Avg language"/>
    <tableColumn id="7" xr3:uid="{00000000-0010-0000-0100-000007000000}" name="Avg time ms"/>
    <tableColumn id="8" xr3:uid="{00000000-0010-0000-0100-000008000000}" name="Error coun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ScoringGuideTable" displayName="ScoringGuideTable" ref="A1:C14">
  <tableColumns count="3">
    <tableColumn id="1" xr3:uid="{00000000-0010-0000-0200-000001000000}" name="Metric"/>
    <tableColumn id="2" xr3:uid="{00000000-0010-0000-0200-000002000000}" name="Score"/>
    <tableColumn id="3" xr3:uid="{00000000-0010-0000-0200-000003000000}" name="Mean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9"/>
  <sheetViews>
    <sheetView workbookViewId="0">
      <selection activeCell="A7" sqref="A7"/>
    </sheetView>
  </sheetViews>
  <sheetFormatPr baseColWidth="10" defaultColWidth="8.8125" defaultRowHeight="13.5"/>
  <cols>
    <col min="1" max="1" width="120" customWidth="1"/>
  </cols>
  <sheetData>
    <row r="1" spans="1:1" ht="20.65">
      <c r="A1" s="6" t="s">
        <v>0</v>
      </c>
    </row>
    <row r="3" spans="1:1" ht="15">
      <c r="A3" s="5" t="s">
        <v>1</v>
      </c>
    </row>
    <row r="4" spans="1:1">
      <c r="A4" t="s">
        <v>2</v>
      </c>
    </row>
    <row r="6" spans="1:1" ht="15">
      <c r="A6" s="5" t="s">
        <v>3</v>
      </c>
    </row>
    <row r="7" spans="1:1">
      <c r="A7" t="s">
        <v>4</v>
      </c>
    </row>
    <row r="8" spans="1:1">
      <c r="A8" t="s">
        <v>5</v>
      </c>
    </row>
    <row r="9" spans="1:1">
      <c r="A9" t="s">
        <v>6</v>
      </c>
    </row>
    <row r="10" spans="1:1">
      <c r="A10" t="s">
        <v>7</v>
      </c>
    </row>
    <row r="11" spans="1:1">
      <c r="A11" t="s">
        <v>8</v>
      </c>
    </row>
    <row r="13" spans="1:1" ht="15">
      <c r="A13" s="5" t="s">
        <v>9</v>
      </c>
    </row>
    <row r="14" spans="1:1">
      <c r="A14" t="s">
        <v>10</v>
      </c>
    </row>
    <row r="15" spans="1:1">
      <c r="A15" t="s">
        <v>11</v>
      </c>
    </row>
    <row r="16" spans="1:1">
      <c r="A16" t="s">
        <v>12</v>
      </c>
    </row>
    <row r="18" spans="1:1" ht="15">
      <c r="A18" s="5" t="s">
        <v>13</v>
      </c>
    </row>
    <row r="19" spans="1:1">
      <c r="A19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12"/>
  <sheetViews>
    <sheetView tabSelected="1" workbookViewId="0">
      <selection activeCell="F17" sqref="F17"/>
    </sheetView>
  </sheetViews>
  <sheetFormatPr baseColWidth="10" defaultColWidth="8.8125" defaultRowHeight="13.5"/>
  <cols>
    <col min="1" max="1" width="6" customWidth="1"/>
    <col min="2" max="2" width="24" customWidth="1"/>
    <col min="3" max="3" width="12" customWidth="1"/>
    <col min="4" max="4" width="10" customWidth="1"/>
    <col min="5" max="5" width="48" customWidth="1"/>
    <col min="6" max="6" width="42" customWidth="1"/>
    <col min="7" max="7" width="14" customWidth="1"/>
    <col min="8" max="8" width="32" customWidth="1"/>
    <col min="9" max="10" width="28" customWidth="1"/>
    <col min="11" max="11" width="36" customWidth="1"/>
    <col min="12" max="12" width="42" customWidth="1"/>
    <col min="13" max="17" width="14" customWidth="1"/>
    <col min="18" max="18" width="18" customWidth="1"/>
    <col min="19" max="19" width="42" customWidth="1"/>
    <col min="20" max="24" width="14" customWidth="1"/>
    <col min="25" max="25" width="18" customWidth="1"/>
    <col min="26" max="26" width="42" customWidth="1"/>
    <col min="27" max="31" width="14" customWidth="1"/>
    <col min="32" max="33" width="18" customWidth="1"/>
  </cols>
  <sheetData>
    <row r="1" spans="1:33" ht="24" customHeight="1">
      <c r="A1" s="2" t="s">
        <v>15</v>
      </c>
      <c r="B1" s="2" t="s">
        <v>16</v>
      </c>
      <c r="C1" s="2" t="s">
        <v>17</v>
      </c>
      <c r="D1" s="2" t="s">
        <v>18</v>
      </c>
      <c r="E1" s="2" t="s">
        <v>19</v>
      </c>
      <c r="F1" s="2" t="s">
        <v>20</v>
      </c>
      <c r="G1" s="2" t="s">
        <v>21</v>
      </c>
      <c r="H1" s="2" t="s">
        <v>22</v>
      </c>
      <c r="I1" s="2" t="s">
        <v>23</v>
      </c>
      <c r="J1" s="2" t="s">
        <v>24</v>
      </c>
      <c r="K1" s="2" t="s">
        <v>25</v>
      </c>
      <c r="L1" s="2" t="s">
        <v>26</v>
      </c>
      <c r="M1" s="2" t="s">
        <v>27</v>
      </c>
      <c r="N1" s="2" t="s">
        <v>28</v>
      </c>
      <c r="O1" s="2" t="s">
        <v>29</v>
      </c>
      <c r="P1" s="2" t="s">
        <v>30</v>
      </c>
      <c r="Q1" s="2" t="s">
        <v>31</v>
      </c>
      <c r="R1" s="2" t="s">
        <v>32</v>
      </c>
      <c r="S1" s="2" t="s">
        <v>33</v>
      </c>
      <c r="T1" s="2" t="s">
        <v>34</v>
      </c>
      <c r="U1" s="2" t="s">
        <v>35</v>
      </c>
      <c r="V1" s="2" t="s">
        <v>36</v>
      </c>
      <c r="W1" s="2" t="s">
        <v>37</v>
      </c>
      <c r="X1" s="2" t="s">
        <v>38</v>
      </c>
      <c r="Y1" s="2" t="s">
        <v>39</v>
      </c>
      <c r="Z1" s="2" t="s">
        <v>40</v>
      </c>
      <c r="AA1" s="2" t="s">
        <v>41</v>
      </c>
      <c r="AB1" s="2" t="s">
        <v>42</v>
      </c>
      <c r="AC1" s="2" t="s">
        <v>43</v>
      </c>
      <c r="AD1" s="2" t="s">
        <v>44</v>
      </c>
      <c r="AE1" s="2" t="s">
        <v>45</v>
      </c>
      <c r="AF1" s="2" t="s">
        <v>46</v>
      </c>
      <c r="AG1" s="2" t="s">
        <v>47</v>
      </c>
    </row>
    <row r="2" spans="1:33">
      <c r="A2" s="3">
        <v>1</v>
      </c>
      <c r="B2" s="3" t="s">
        <v>48</v>
      </c>
      <c r="C2" s="3" t="s">
        <v>59</v>
      </c>
      <c r="D2" s="3" t="s">
        <v>50</v>
      </c>
      <c r="E2" s="3" t="s">
        <v>112</v>
      </c>
      <c r="F2" s="3" t="s">
        <v>126</v>
      </c>
      <c r="G2" s="3" t="s">
        <v>121</v>
      </c>
      <c r="I2" s="3" t="s">
        <v>122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1:33">
      <c r="A3" s="3">
        <v>2</v>
      </c>
      <c r="B3" s="3" t="s">
        <v>48</v>
      </c>
      <c r="C3" s="3" t="s">
        <v>53</v>
      </c>
      <c r="D3" s="3" t="s">
        <v>50</v>
      </c>
      <c r="E3" s="3" t="s">
        <v>111</v>
      </c>
      <c r="F3" s="3" t="s">
        <v>127</v>
      </c>
      <c r="G3" s="3" t="s">
        <v>121</v>
      </c>
      <c r="I3" s="3" t="s">
        <v>122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spans="1:33" ht="27">
      <c r="A4" s="3">
        <v>3</v>
      </c>
      <c r="B4" s="3" t="s">
        <v>48</v>
      </c>
      <c r="C4" s="3" t="s">
        <v>49</v>
      </c>
      <c r="D4" s="3" t="s">
        <v>50</v>
      </c>
      <c r="E4" s="3" t="s">
        <v>113</v>
      </c>
      <c r="F4" s="3" t="s">
        <v>128</v>
      </c>
      <c r="G4" s="3" t="s">
        <v>121</v>
      </c>
      <c r="I4" s="3" t="s">
        <v>122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</row>
    <row r="5" spans="1:33" ht="27">
      <c r="A5" s="3">
        <v>4</v>
      </c>
      <c r="B5" s="3" t="s">
        <v>124</v>
      </c>
      <c r="C5" s="3" t="s">
        <v>59</v>
      </c>
      <c r="D5" s="3" t="s">
        <v>50</v>
      </c>
      <c r="E5" s="3" t="s">
        <v>114</v>
      </c>
      <c r="F5" s="3" t="s">
        <v>129</v>
      </c>
      <c r="G5" s="3" t="s">
        <v>121</v>
      </c>
      <c r="I5" s="3" t="s">
        <v>137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spans="1:33">
      <c r="A6" s="3">
        <v>5</v>
      </c>
      <c r="B6" s="3" t="s">
        <v>124</v>
      </c>
      <c r="C6" s="3" t="s">
        <v>49</v>
      </c>
      <c r="D6" s="3" t="s">
        <v>50</v>
      </c>
      <c r="E6" s="3" t="s">
        <v>115</v>
      </c>
      <c r="F6" s="3" t="s">
        <v>130</v>
      </c>
      <c r="G6" s="3" t="s">
        <v>121</v>
      </c>
      <c r="I6" s="3" t="s">
        <v>137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</row>
    <row r="7" spans="1:33" ht="27">
      <c r="A7" s="3">
        <v>6</v>
      </c>
      <c r="B7" s="3" t="s">
        <v>48</v>
      </c>
      <c r="C7" s="3" t="s">
        <v>53</v>
      </c>
      <c r="D7" s="3" t="s">
        <v>50</v>
      </c>
      <c r="E7" s="3" t="s">
        <v>116</v>
      </c>
      <c r="F7" s="3" t="s">
        <v>131</v>
      </c>
      <c r="G7" s="3" t="s">
        <v>121</v>
      </c>
      <c r="I7" s="3" t="s">
        <v>122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</row>
    <row r="8" spans="1:33" ht="27">
      <c r="A8" s="3">
        <v>7</v>
      </c>
      <c r="B8" s="3" t="s">
        <v>48</v>
      </c>
      <c r="C8" s="3" t="s">
        <v>49</v>
      </c>
      <c r="D8" s="3" t="s">
        <v>50</v>
      </c>
      <c r="E8" s="3" t="s">
        <v>117</v>
      </c>
      <c r="F8" s="3" t="s">
        <v>132</v>
      </c>
      <c r="G8" s="3" t="s">
        <v>121</v>
      </c>
      <c r="I8" s="3" t="s">
        <v>122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</row>
    <row r="9" spans="1:33">
      <c r="A9" s="3">
        <v>8</v>
      </c>
      <c r="B9" s="3" t="s">
        <v>48</v>
      </c>
      <c r="C9" s="3" t="s">
        <v>49</v>
      </c>
      <c r="D9" s="3" t="s">
        <v>50</v>
      </c>
      <c r="E9" s="3" t="s">
        <v>118</v>
      </c>
      <c r="F9" s="3" t="s">
        <v>133</v>
      </c>
      <c r="G9" s="3" t="s">
        <v>121</v>
      </c>
      <c r="I9" s="3" t="s">
        <v>122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</row>
    <row r="10" spans="1:33" ht="27">
      <c r="A10" s="3">
        <v>9</v>
      </c>
      <c r="B10" s="3" t="s">
        <v>48</v>
      </c>
      <c r="C10" s="3" t="s">
        <v>49</v>
      </c>
      <c r="D10" s="3" t="s">
        <v>64</v>
      </c>
      <c r="E10" s="3" t="s">
        <v>119</v>
      </c>
      <c r="F10" s="3" t="s">
        <v>128</v>
      </c>
      <c r="G10" s="3" t="s">
        <v>121</v>
      </c>
      <c r="I10" s="3" t="s">
        <v>122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</row>
    <row r="11" spans="1:33" ht="27">
      <c r="A11" s="3">
        <v>10</v>
      </c>
      <c r="B11" s="3" t="s">
        <v>48</v>
      </c>
      <c r="C11" s="3" t="s">
        <v>59</v>
      </c>
      <c r="D11" s="3" t="s">
        <v>65</v>
      </c>
      <c r="E11" s="3" t="s">
        <v>120</v>
      </c>
      <c r="F11" s="3" t="s">
        <v>134</v>
      </c>
      <c r="G11" s="3" t="s">
        <v>121</v>
      </c>
      <c r="I11" s="3" t="s">
        <v>122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ht="27">
      <c r="A12" s="3">
        <v>11</v>
      </c>
      <c r="B12" s="3" t="s">
        <v>125</v>
      </c>
      <c r="C12" s="3" t="s">
        <v>59</v>
      </c>
      <c r="D12" s="3" t="s">
        <v>50</v>
      </c>
      <c r="E12" s="3" t="s">
        <v>123</v>
      </c>
      <c r="F12" s="3" t="s">
        <v>135</v>
      </c>
      <c r="G12" s="3" t="s">
        <v>56</v>
      </c>
      <c r="H12" s="3"/>
      <c r="I12" s="3" t="s">
        <v>136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</row>
  </sheetData>
  <conditionalFormatting sqref="M2:M12">
    <cfRule type="colorScale" priority="13">
      <colorScale>
        <cfvo type="min"/>
        <cfvo type="percentile" val="50"/>
        <cfvo type="max"/>
        <color rgb="FFF4CCCC"/>
        <color rgb="FFFFF2CC"/>
        <color rgb="FFD9EAD3"/>
      </colorScale>
    </cfRule>
  </conditionalFormatting>
  <conditionalFormatting sqref="N2:N12">
    <cfRule type="colorScale" priority="14">
      <colorScale>
        <cfvo type="min"/>
        <cfvo type="percentile" val="50"/>
        <cfvo type="max"/>
        <color rgb="FFF4CCCC"/>
        <color rgb="FFFFF2CC"/>
        <color rgb="FFD9EAD3"/>
      </colorScale>
    </cfRule>
  </conditionalFormatting>
  <conditionalFormatting sqref="O2:O12">
    <cfRule type="colorScale" priority="15">
      <colorScale>
        <cfvo type="min"/>
        <cfvo type="max"/>
        <color rgb="FFD9EAD3"/>
        <color rgb="FFF4CCCC"/>
      </colorScale>
    </cfRule>
  </conditionalFormatting>
  <conditionalFormatting sqref="P2:P12">
    <cfRule type="colorScale" priority="16">
      <colorScale>
        <cfvo type="min"/>
        <cfvo type="percentile" val="50"/>
        <cfvo type="max"/>
        <color rgb="FFF4CCCC"/>
        <color rgb="FFFFF2CC"/>
        <color rgb="FFD9EAD3"/>
      </colorScale>
    </cfRule>
  </conditionalFormatting>
  <conditionalFormatting sqref="T2:T12">
    <cfRule type="colorScale" priority="17">
      <colorScale>
        <cfvo type="min"/>
        <cfvo type="percentile" val="50"/>
        <cfvo type="max"/>
        <color rgb="FFF4CCCC"/>
        <color rgb="FFFFF2CC"/>
        <color rgb="FFD9EAD3"/>
      </colorScale>
    </cfRule>
  </conditionalFormatting>
  <conditionalFormatting sqref="U2:U12">
    <cfRule type="colorScale" priority="18">
      <colorScale>
        <cfvo type="min"/>
        <cfvo type="percentile" val="50"/>
        <cfvo type="max"/>
        <color rgb="FFF4CCCC"/>
        <color rgb="FFFFF2CC"/>
        <color rgb="FFD9EAD3"/>
      </colorScale>
    </cfRule>
  </conditionalFormatting>
  <conditionalFormatting sqref="V2:V12">
    <cfRule type="colorScale" priority="19">
      <colorScale>
        <cfvo type="min"/>
        <cfvo type="max"/>
        <color rgb="FFD9EAD3"/>
        <color rgb="FFF4CCCC"/>
      </colorScale>
    </cfRule>
  </conditionalFormatting>
  <conditionalFormatting sqref="W2:W12">
    <cfRule type="colorScale" priority="20">
      <colorScale>
        <cfvo type="min"/>
        <cfvo type="percentile" val="50"/>
        <cfvo type="max"/>
        <color rgb="FFF4CCCC"/>
        <color rgb="FFFFF2CC"/>
        <color rgb="FFD9EAD3"/>
      </colorScale>
    </cfRule>
  </conditionalFormatting>
  <conditionalFormatting sqref="AA2:AA12">
    <cfRule type="colorScale" priority="21">
      <colorScale>
        <cfvo type="min"/>
        <cfvo type="percentile" val="50"/>
        <cfvo type="max"/>
        <color rgb="FFF4CCCC"/>
        <color rgb="FFFFF2CC"/>
        <color rgb="FFD9EAD3"/>
      </colorScale>
    </cfRule>
  </conditionalFormatting>
  <conditionalFormatting sqref="AB2:AB12">
    <cfRule type="colorScale" priority="22">
      <colorScale>
        <cfvo type="min"/>
        <cfvo type="percentile" val="50"/>
        <cfvo type="max"/>
        <color rgb="FFF4CCCC"/>
        <color rgb="FFFFF2CC"/>
        <color rgb="FFD9EAD3"/>
      </colorScale>
    </cfRule>
  </conditionalFormatting>
  <conditionalFormatting sqref="AC2:AC12">
    <cfRule type="colorScale" priority="23">
      <colorScale>
        <cfvo type="min"/>
        <cfvo type="max"/>
        <color rgb="FFD9EAD3"/>
        <color rgb="FFF4CCCC"/>
      </colorScale>
    </cfRule>
  </conditionalFormatting>
  <conditionalFormatting sqref="AD2:AD12">
    <cfRule type="colorScale" priority="24">
      <colorScale>
        <cfvo type="min"/>
        <cfvo type="percentile" val="50"/>
        <cfvo type="max"/>
        <color rgb="FFF4CCCC"/>
        <color rgb="FFFFF2CC"/>
        <color rgb="FFD9EAD3"/>
      </colorScale>
    </cfRule>
  </conditionalFormatting>
  <dataValidations count="6">
    <dataValidation type="list" sqref="C2:C12" xr:uid="{00000000-0002-0000-0100-000001000000}">
      <formula1>"easy,medium,hard"</formula1>
    </dataValidation>
    <dataValidation type="list" sqref="D2:D12" xr:uid="{00000000-0002-0000-0100-000002000000}">
      <formula1>"EN,DE,FR,mixed"</formula1>
    </dataValidation>
    <dataValidation type="list" sqref="G2:G12" xr:uid="{00000000-0002-0000-0100-000003000000}">
      <formula1>"DB,RAG,Mixed,None"</formula1>
    </dataValidation>
    <dataValidation type="list" sqref="AD2:AD12 AA2:AB12 W2:W12 T2:U12 P2:P12 M2:N12" xr:uid="{00000000-0002-0000-0100-000004000000}">
      <formula1>"0,1,2"</formula1>
    </dataValidation>
    <dataValidation type="list" sqref="O2:O12 AC2:AC12 V2:V12" xr:uid="{00000000-0002-0000-0100-00000D000000}">
      <formula1>"0,1"</formula1>
    </dataValidation>
    <dataValidation type="list" sqref="AF2:AF12" xr:uid="{00000000-0002-0000-0100-000010000000}">
      <formula1>"api,rag,hybrid,none,clarification,error"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100-000000000000}">
          <x14:formula1>
            <xm:f>Lists!$A$2:$A$12</xm:f>
          </x14:formula1>
          <xm:sqref>B2:B12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9"/>
  <sheetViews>
    <sheetView workbookViewId="0"/>
  </sheetViews>
  <sheetFormatPr baseColWidth="10" defaultColWidth="8.8125" defaultRowHeight="13.5"/>
  <cols>
    <col min="1" max="5" width="22" customWidth="1"/>
    <col min="6" max="8" width="20" customWidth="1"/>
  </cols>
  <sheetData>
    <row r="1" spans="1:8" ht="13.9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spans="1:8">
      <c r="A2" t="s">
        <v>78</v>
      </c>
      <c r="B2">
        <f>COUNTA(EvaluationTable[nonrag_answer])</f>
        <v>0</v>
      </c>
      <c r="C2" s="8" t="str">
        <f>IFERROR(AVERAGE(EvaluationTable[nonrag_correctness_0_2]),"")</f>
        <v/>
      </c>
      <c r="D2" s="8" t="str">
        <f>IFERROR(AVERAGE(EvaluationTable[nonrag_faithfulness_0_2]),"")</f>
        <v/>
      </c>
      <c r="E2" s="8" t="str">
        <f>IFERROR(AVERAGE(EvaluationTable[nonrag_hallucination_0_1]),"")</f>
        <v/>
      </c>
      <c r="F2" s="8" t="str">
        <f>IFERROR(AVERAGE(EvaluationTable[nonrag_language_0_2]),"")</f>
        <v/>
      </c>
      <c r="G2" s="9" t="str">
        <f>IFERROR(AVERAGE(EvaluationTable[nonrag_time_ms]),"")</f>
        <v/>
      </c>
      <c r="H2">
        <f>COUNTIF(EvaluationTable[nonrag_error],"&lt;&gt;")</f>
        <v>0</v>
      </c>
    </row>
    <row r="3" spans="1:8">
      <c r="A3" t="s">
        <v>79</v>
      </c>
      <c r="B3">
        <f>COUNTA(EvaluationTable[webrag_answer])</f>
        <v>0</v>
      </c>
      <c r="C3" s="8" t="str">
        <f>IFERROR(AVERAGE(EvaluationTable[webrag_correctness_0_2]),"")</f>
        <v/>
      </c>
      <c r="D3" s="8" t="str">
        <f>IFERROR(AVERAGE(EvaluationTable[webrag_faithfulness_0_2]),"")</f>
        <v/>
      </c>
      <c r="E3" s="8" t="str">
        <f>IFERROR(AVERAGE(EvaluationTable[webrag_hallucination_0_1]),"")</f>
        <v/>
      </c>
      <c r="F3" s="8" t="str">
        <f>IFERROR(AVERAGE(EvaluationTable[webrag_language_0_2]),"")</f>
        <v/>
      </c>
      <c r="G3" s="9" t="str">
        <f>IFERROR(AVERAGE(EvaluationTable[webrag_time_ms]),"")</f>
        <v/>
      </c>
      <c r="H3">
        <f>COUNTIF(EvaluationTable[webrag_error],"&lt;&gt;")</f>
        <v>0</v>
      </c>
    </row>
    <row r="4" spans="1:8">
      <c r="A4" t="s">
        <v>80</v>
      </c>
      <c r="B4">
        <f>COUNTA(EvaluationTable[hybrid_answer])</f>
        <v>0</v>
      </c>
      <c r="C4" s="8" t="str">
        <f>IFERROR(AVERAGE(EvaluationTable[hybrid_correctness_0_2]),"")</f>
        <v/>
      </c>
      <c r="D4" s="8" t="str">
        <f>IFERROR(AVERAGE(EvaluationTable[hybrid_faithfulness_0_2]),"")</f>
        <v/>
      </c>
      <c r="E4" s="8" t="str">
        <f>IFERROR(AVERAGE(EvaluationTable[hybrid_hallucination_0_1]),"")</f>
        <v/>
      </c>
      <c r="F4" s="8" t="str">
        <f>IFERROR(AVERAGE(EvaluationTable[hybrid_language_0_2]),"")</f>
        <v/>
      </c>
      <c r="G4" s="9" t="str">
        <f>IFERROR(AVERAGE(EvaluationTable[hybrid_time_ms]),"")</f>
        <v/>
      </c>
      <c r="H4">
        <f>COUNTIF(EvaluationTable[hybrid_error],"&lt;&gt;")</f>
        <v>0</v>
      </c>
    </row>
    <row r="7" spans="1:8" ht="13.9">
      <c r="A7" s="4" t="s">
        <v>81</v>
      </c>
      <c r="B7" s="4" t="s">
        <v>82</v>
      </c>
      <c r="C7" s="4" t="s">
        <v>51</v>
      </c>
      <c r="D7" s="4" t="s">
        <v>56</v>
      </c>
      <c r="E7" s="4" t="s">
        <v>83</v>
      </c>
    </row>
    <row r="8" spans="1:8">
      <c r="A8" t="s">
        <v>66</v>
      </c>
      <c r="B8">
        <f>COUNTIF(EvaluationTable[category],A8)</f>
        <v>0</v>
      </c>
      <c r="C8">
        <f>COUNTIFS(EvaluationTable[category],A8,EvaluationTable[source_of_truth],"DB")</f>
        <v>0</v>
      </c>
      <c r="D8">
        <f>COUNTIFS(EvaluationTable[category],A8,EvaluationTable[source_of_truth],"RAG")</f>
        <v>0</v>
      </c>
      <c r="E8">
        <f>COUNTIFS(EvaluationTable[category],A8,EvaluationTable[source_of_truth],"Mixed")+COUNTIFS(EvaluationTable[category],A8,EvaluationTable[source_of_truth],"None")</f>
        <v>0</v>
      </c>
    </row>
    <row r="9" spans="1:8">
      <c r="A9" t="s">
        <v>58</v>
      </c>
      <c r="B9">
        <f>COUNTIF(EvaluationTable[category],A9)</f>
        <v>0</v>
      </c>
      <c r="C9">
        <f>COUNTIFS(EvaluationTable[category],A9,EvaluationTable[source_of_truth],"DB")</f>
        <v>0</v>
      </c>
      <c r="D9">
        <f>COUNTIFS(EvaluationTable[category],A9,EvaluationTable[source_of_truth],"RAG")</f>
        <v>0</v>
      </c>
      <c r="E9">
        <f>COUNTIFS(EvaluationTable[category],A9,EvaluationTable[source_of_truth],"Mixed")+COUNTIFS(EvaluationTable[category],A9,EvaluationTable[source_of_truth],"None")</f>
        <v>0</v>
      </c>
    </row>
    <row r="10" spans="1:8">
      <c r="A10" t="s">
        <v>63</v>
      </c>
      <c r="B10">
        <f>COUNTIF(EvaluationTable[category],A10)</f>
        <v>0</v>
      </c>
      <c r="C10">
        <f>COUNTIFS(EvaluationTable[category],A10,EvaluationTable[source_of_truth],"DB")</f>
        <v>0</v>
      </c>
      <c r="D10">
        <f>COUNTIFS(EvaluationTable[category],A10,EvaluationTable[source_of_truth],"RAG")</f>
        <v>0</v>
      </c>
      <c r="E10">
        <f>COUNTIFS(EvaluationTable[category],A10,EvaluationTable[source_of_truth],"Mixed")+COUNTIFS(EvaluationTable[category],A10,EvaluationTable[source_of_truth],"None")</f>
        <v>0</v>
      </c>
    </row>
    <row r="11" spans="1:8">
      <c r="A11" t="s">
        <v>57</v>
      </c>
      <c r="B11">
        <f>COUNTIF(EvaluationTable[category],A11)</f>
        <v>0</v>
      </c>
      <c r="C11">
        <f>COUNTIFS(EvaluationTable[category],A11,EvaluationTable[source_of_truth],"DB")</f>
        <v>0</v>
      </c>
      <c r="D11">
        <f>COUNTIFS(EvaluationTable[category],A11,EvaluationTable[source_of_truth],"RAG")</f>
        <v>0</v>
      </c>
      <c r="E11">
        <f>COUNTIFS(EvaluationTable[category],A11,EvaluationTable[source_of_truth],"Mixed")+COUNTIFS(EvaluationTable[category],A11,EvaluationTable[source_of_truth],"None")</f>
        <v>0</v>
      </c>
    </row>
    <row r="12" spans="1:8">
      <c r="A12" t="s">
        <v>69</v>
      </c>
      <c r="B12">
        <f>COUNTIF(EvaluationTable[category],A12)</f>
        <v>0</v>
      </c>
      <c r="C12">
        <f>COUNTIFS(EvaluationTable[category],A12,EvaluationTable[source_of_truth],"DB")</f>
        <v>0</v>
      </c>
      <c r="D12">
        <f>COUNTIFS(EvaluationTable[category],A12,EvaluationTable[source_of_truth],"RAG")</f>
        <v>0</v>
      </c>
      <c r="E12">
        <f>COUNTIFS(EvaluationTable[category],A12,EvaluationTable[source_of_truth],"Mixed")+COUNTIFS(EvaluationTable[category],A12,EvaluationTable[source_of_truth],"None")</f>
        <v>0</v>
      </c>
    </row>
    <row r="13" spans="1:8">
      <c r="A13" t="s">
        <v>52</v>
      </c>
      <c r="B13">
        <f>COUNTIF(EvaluationTable[category],A13)</f>
        <v>0</v>
      </c>
      <c r="C13">
        <f>COUNTIFS(EvaluationTable[category],A13,EvaluationTable[source_of_truth],"DB")</f>
        <v>0</v>
      </c>
      <c r="D13">
        <f>COUNTIFS(EvaluationTable[category],A13,EvaluationTable[source_of_truth],"RAG")</f>
        <v>0</v>
      </c>
      <c r="E13">
        <f>COUNTIFS(EvaluationTable[category],A13,EvaluationTable[source_of_truth],"Mixed")+COUNTIFS(EvaluationTable[category],A13,EvaluationTable[source_of_truth],"None")</f>
        <v>0</v>
      </c>
    </row>
    <row r="14" spans="1:8">
      <c r="A14" t="s">
        <v>48</v>
      </c>
      <c r="B14">
        <f>COUNTIF(EvaluationTable[category],A14)</f>
        <v>8</v>
      </c>
      <c r="C14">
        <f>COUNTIFS(EvaluationTable[category],A14,EvaluationTable[source_of_truth],"DB")</f>
        <v>0</v>
      </c>
      <c r="D14">
        <f>COUNTIFS(EvaluationTable[category],A14,EvaluationTable[source_of_truth],"RAG")</f>
        <v>0</v>
      </c>
      <c r="E14">
        <f>COUNTIFS(EvaluationTable[category],A14,EvaluationTable[source_of_truth],"Mixed")+COUNTIFS(EvaluationTable[category],A14,EvaluationTable[source_of_truth],"None")</f>
        <v>0</v>
      </c>
    </row>
    <row r="15" spans="1:8">
      <c r="A15" t="s">
        <v>54</v>
      </c>
      <c r="B15">
        <f>COUNTIF(EvaluationTable[category],A15)</f>
        <v>0</v>
      </c>
      <c r="C15">
        <f>COUNTIFS(EvaluationTable[category],A15,EvaluationTable[source_of_truth],"DB")</f>
        <v>0</v>
      </c>
      <c r="D15">
        <f>COUNTIFS(EvaluationTable[category],A15,EvaluationTable[source_of_truth],"RAG")</f>
        <v>0</v>
      </c>
      <c r="E15">
        <f>COUNTIFS(EvaluationTable[category],A15,EvaluationTable[source_of_truth],"Mixed")+COUNTIFS(EvaluationTable[category],A15,EvaluationTable[source_of_truth],"None")</f>
        <v>0</v>
      </c>
    </row>
    <row r="16" spans="1:8">
      <c r="A16" t="s">
        <v>61</v>
      </c>
      <c r="B16">
        <f>COUNTIF(EvaluationTable[category],A16)</f>
        <v>0</v>
      </c>
      <c r="C16">
        <f>COUNTIFS(EvaluationTable[category],A16,EvaluationTable[source_of_truth],"DB")</f>
        <v>0</v>
      </c>
      <c r="D16">
        <f>COUNTIFS(EvaluationTable[category],A16,EvaluationTable[source_of_truth],"RAG")</f>
        <v>0</v>
      </c>
      <c r="E16">
        <f>COUNTIFS(EvaluationTable[category],A16,EvaluationTable[source_of_truth],"Mixed")+COUNTIFS(EvaluationTable[category],A16,EvaluationTable[source_of_truth],"None")</f>
        <v>0</v>
      </c>
    </row>
    <row r="17" spans="1:5">
      <c r="A17" t="s">
        <v>62</v>
      </c>
      <c r="B17">
        <f>COUNTIF(EvaluationTable[category],A17)</f>
        <v>0</v>
      </c>
      <c r="C17">
        <f>COUNTIFS(EvaluationTable[category],A17,EvaluationTable[source_of_truth],"DB")</f>
        <v>0</v>
      </c>
      <c r="D17">
        <f>COUNTIFS(EvaluationTable[category],A17,EvaluationTable[source_of_truth],"RAG")</f>
        <v>0</v>
      </c>
      <c r="E17">
        <f>COUNTIFS(EvaluationTable[category],A17,EvaluationTable[source_of_truth],"Mixed")+COUNTIFS(EvaluationTable[category],A17,EvaluationTable[source_of_truth],"None")</f>
        <v>0</v>
      </c>
    </row>
    <row r="18" spans="1:5">
      <c r="A18" t="s">
        <v>60</v>
      </c>
      <c r="B18">
        <f>COUNTIF(EvaluationTable[category],A18)</f>
        <v>0</v>
      </c>
      <c r="C18">
        <f>COUNTIFS(EvaluationTable[category],A18,EvaluationTable[source_of_truth],"DB")</f>
        <v>0</v>
      </c>
      <c r="D18">
        <f>COUNTIFS(EvaluationTable[category],A18,EvaluationTable[source_of_truth],"RAG")</f>
        <v>0</v>
      </c>
      <c r="E18">
        <f>COUNTIFS(EvaluationTable[category],A18,EvaluationTable[source_of_truth],"Mixed")+COUNTIFS(EvaluationTable[category],A18,EvaluationTable[source_of_truth],"None")</f>
        <v>0</v>
      </c>
    </row>
    <row r="19" spans="1:5">
      <c r="A19" t="s">
        <v>67</v>
      </c>
      <c r="B19">
        <f>COUNTIF(EvaluationTable[category],A19)</f>
        <v>0</v>
      </c>
      <c r="C19">
        <f>COUNTIFS(EvaluationTable[category],A19,EvaluationTable[source_of_truth],"DB")</f>
        <v>0</v>
      </c>
      <c r="D19">
        <f>COUNTIFS(EvaluationTable[category],A19,EvaluationTable[source_of_truth],"RAG")</f>
        <v>0</v>
      </c>
      <c r="E19">
        <f>COUNTIFS(EvaluationTable[category],A19,EvaluationTable[source_of_truth],"Mixed")+COUNTIFS(EvaluationTable[category],A19,EvaluationTable[source_of_truth],"None")</f>
        <v>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4"/>
  <sheetViews>
    <sheetView workbookViewId="0"/>
  </sheetViews>
  <sheetFormatPr baseColWidth="10" defaultColWidth="8.8125" defaultRowHeight="13.5"/>
  <cols>
    <col min="1" max="2" width="34" customWidth="1"/>
    <col min="3" max="3" width="90" customWidth="1"/>
  </cols>
  <sheetData>
    <row r="1" spans="1:3" ht="13.9">
      <c r="A1" s="7" t="s">
        <v>84</v>
      </c>
      <c r="B1" s="7" t="s">
        <v>85</v>
      </c>
      <c r="C1" s="7" t="s">
        <v>86</v>
      </c>
    </row>
    <row r="2" spans="1:3">
      <c r="A2" s="3" t="s">
        <v>87</v>
      </c>
      <c r="B2" s="3">
        <v>0</v>
      </c>
      <c r="C2" s="3" t="s">
        <v>88</v>
      </c>
    </row>
    <row r="3" spans="1:3">
      <c r="A3" s="3" t="s">
        <v>87</v>
      </c>
      <c r="B3" s="3">
        <v>1</v>
      </c>
      <c r="C3" s="3" t="s">
        <v>89</v>
      </c>
    </row>
    <row r="4" spans="1:3">
      <c r="A4" s="3" t="s">
        <v>87</v>
      </c>
      <c r="B4" s="3">
        <v>2</v>
      </c>
      <c r="C4" s="3" t="s">
        <v>90</v>
      </c>
    </row>
    <row r="5" spans="1:3">
      <c r="A5" s="3" t="s">
        <v>91</v>
      </c>
      <c r="B5" s="3">
        <v>0</v>
      </c>
      <c r="C5" s="3" t="s">
        <v>92</v>
      </c>
    </row>
    <row r="6" spans="1:3">
      <c r="A6" s="3" t="s">
        <v>91</v>
      </c>
      <c r="B6" s="3">
        <v>1</v>
      </c>
      <c r="C6" s="3" t="s">
        <v>93</v>
      </c>
    </row>
    <row r="7" spans="1:3">
      <c r="A7" s="3" t="s">
        <v>91</v>
      </c>
      <c r="B7" s="3">
        <v>2</v>
      </c>
      <c r="C7" s="3" t="s">
        <v>94</v>
      </c>
    </row>
    <row r="8" spans="1:3">
      <c r="A8" s="3" t="s">
        <v>95</v>
      </c>
      <c r="B8" s="3">
        <v>0</v>
      </c>
      <c r="C8" s="3" t="s">
        <v>96</v>
      </c>
    </row>
    <row r="9" spans="1:3">
      <c r="A9" s="3" t="s">
        <v>95</v>
      </c>
      <c r="B9" s="3">
        <v>1</v>
      </c>
      <c r="C9" s="3" t="s">
        <v>97</v>
      </c>
    </row>
    <row r="10" spans="1:3">
      <c r="A10" s="3" t="s">
        <v>98</v>
      </c>
      <c r="B10" s="3">
        <v>0</v>
      </c>
      <c r="C10" s="3" t="s">
        <v>99</v>
      </c>
    </row>
    <row r="11" spans="1:3">
      <c r="A11" s="3" t="s">
        <v>98</v>
      </c>
      <c r="B11" s="3">
        <v>1</v>
      </c>
      <c r="C11" s="3" t="s">
        <v>100</v>
      </c>
    </row>
    <row r="12" spans="1:3">
      <c r="A12" s="3" t="s">
        <v>98</v>
      </c>
      <c r="B12" s="3">
        <v>2</v>
      </c>
      <c r="C12" s="3" t="s">
        <v>101</v>
      </c>
    </row>
    <row r="13" spans="1:3">
      <c r="A13" s="3" t="s">
        <v>102</v>
      </c>
      <c r="B13" s="3" t="s">
        <v>103</v>
      </c>
      <c r="C13" s="3" t="s">
        <v>104</v>
      </c>
    </row>
    <row r="14" spans="1:3" ht="27">
      <c r="A14" s="3" t="s">
        <v>105</v>
      </c>
      <c r="B14" s="3" t="s">
        <v>106</v>
      </c>
      <c r="C14" s="3" t="s">
        <v>107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/>
  </sheetViews>
  <sheetFormatPr baseColWidth="10" defaultColWidth="8.8125" defaultRowHeight="13.5"/>
  <cols>
    <col min="1" max="7" width="22" customWidth="1"/>
  </cols>
  <sheetData>
    <row r="1" spans="1:7" ht="13.9">
      <c r="A1" s="4" t="s">
        <v>16</v>
      </c>
      <c r="B1" s="4" t="s">
        <v>17</v>
      </c>
      <c r="C1" s="4" t="s">
        <v>18</v>
      </c>
      <c r="D1" s="4" t="s">
        <v>21</v>
      </c>
      <c r="E1" s="4" t="s">
        <v>108</v>
      </c>
      <c r="F1" s="4" t="s">
        <v>109</v>
      </c>
      <c r="G1" s="4" t="s">
        <v>110</v>
      </c>
    </row>
    <row r="2" spans="1:7">
      <c r="A2" t="s">
        <v>58</v>
      </c>
      <c r="B2" t="s">
        <v>59</v>
      </c>
      <c r="C2" t="s">
        <v>50</v>
      </c>
      <c r="D2" t="s">
        <v>51</v>
      </c>
      <c r="E2">
        <v>0</v>
      </c>
      <c r="F2">
        <v>0</v>
      </c>
      <c r="G2" t="s">
        <v>78</v>
      </c>
    </row>
    <row r="3" spans="1:7">
      <c r="A3" t="s">
        <v>60</v>
      </c>
      <c r="B3" t="s">
        <v>49</v>
      </c>
      <c r="C3" t="s">
        <v>64</v>
      </c>
      <c r="D3" t="s">
        <v>56</v>
      </c>
      <c r="E3">
        <v>1</v>
      </c>
      <c r="F3">
        <v>1</v>
      </c>
      <c r="G3" t="s">
        <v>79</v>
      </c>
    </row>
    <row r="4" spans="1:7">
      <c r="A4" t="s">
        <v>61</v>
      </c>
      <c r="B4" t="s">
        <v>53</v>
      </c>
      <c r="C4" t="s">
        <v>65</v>
      </c>
      <c r="D4" t="s">
        <v>55</v>
      </c>
      <c r="E4">
        <v>2</v>
      </c>
      <c r="G4" t="s">
        <v>80</v>
      </c>
    </row>
    <row r="5" spans="1:7">
      <c r="A5" t="s">
        <v>62</v>
      </c>
      <c r="D5" t="s">
        <v>68</v>
      </c>
    </row>
    <row r="6" spans="1:7">
      <c r="A6" t="s">
        <v>63</v>
      </c>
    </row>
    <row r="7" spans="1:7">
      <c r="A7" t="s">
        <v>66</v>
      </c>
    </row>
    <row r="8" spans="1:7">
      <c r="A8" t="s">
        <v>67</v>
      </c>
    </row>
    <row r="9" spans="1:7">
      <c r="A9" t="s">
        <v>69</v>
      </c>
    </row>
    <row r="10" spans="1:7">
      <c r="A10" t="s">
        <v>48</v>
      </c>
    </row>
    <row r="11" spans="1:7">
      <c r="A11" t="s">
        <v>52</v>
      </c>
    </row>
    <row r="12" spans="1:7">
      <c r="A12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README</vt:lpstr>
      <vt:lpstr>Eval_Set</vt:lpstr>
      <vt:lpstr>Metrics</vt:lpstr>
      <vt:lpstr>Scoring_Guide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Sara Kupferschmied</cp:lastModifiedBy>
  <dcterms:created xsi:type="dcterms:W3CDTF">2026-05-06T21:30:36Z</dcterms:created>
  <dcterms:modified xsi:type="dcterms:W3CDTF">2026-05-16T11:31:32Z</dcterms:modified>
</cp:coreProperties>
</file>