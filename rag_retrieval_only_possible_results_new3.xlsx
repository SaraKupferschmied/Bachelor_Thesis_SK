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7" documentId="11_0B598FE76F04184C4A86E3D430137255567E91C0" xr6:coauthVersionLast="47" xr6:coauthVersionMax="47" xr10:uidLastSave="{40B69CAF-731A-47E1-9865-332EC039F52E}"/>
  <bookViews>
    <workbookView xWindow="-105" yWindow="-16320" windowWidth="29040" windowHeight="15720" xr2:uid="{00000000-000D-0000-FFFF-FFFF00000000}"/>
  </bookViews>
  <sheets>
    <sheet name="RAG_Retrieval_Only" sheetId="1" r:id="rId1"/>
    <sheet name="Retrieval_Metr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 r="C11" i="2"/>
  <c r="C10" i="2"/>
  <c r="C9" i="2"/>
  <c r="C8" i="2"/>
  <c r="C7" i="2"/>
  <c r="C6" i="2"/>
  <c r="C5" i="2"/>
  <c r="C4" i="2"/>
  <c r="C3" i="2"/>
  <c r="C2" i="2"/>
</calcChain>
</file>

<file path=xl/sharedStrings.xml><?xml version="1.0" encoding="utf-8"?>
<sst xmlns="http://schemas.openxmlformats.org/spreadsheetml/2006/main" count="264" uniqueCount="175">
  <si>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</si>
  <si>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</si>
  <si>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</si>
  <si>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</si>
  <si>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</si>
  <si>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</si>
  <si>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</si>
  <si>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</si>
  <si>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</si>
  <si>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</si>
  <si>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</si>
  <si>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</si>
  <si>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</si>
  <si>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</si>
  <si>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</si>
  <si>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</si>
  <si>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</si>
  <si>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</si>
  <si>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</si>
  <si>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</si>
  <si>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</si>
  <si>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</si>
  <si>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</si>
  <si>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</si>
  <si>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</si>
  <si>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</si>
  <si>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</si>
  <si>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</si>
  <si>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</si>
  <si>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</si>
  <si>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</si>
  <si>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</si>
  <si>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</si>
  <si>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</si>
  <si>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</si>
  <si>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</si>
  <si>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</si>
  <si>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</si>
  <si>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</si>
  <si>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</si>
  <si>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2026-05-18T17:20:47</t>
  </si>
  <si>
    <t>program_overview</t>
  </si>
  <si>
    <t>easy</t>
  </si>
  <si>
    <t>en</t>
  </si>
  <si>
    <t>What can you tell me about the bachelor in History?</t>
  </si>
  <si>
    <t>summary of program</t>
  </si>
  <si>
    <t xml:space="preserve">RAG  </t>
  </si>
  <si>
    <t>study vectorstore</t>
  </si>
  <si>
    <t>Bachelor_120_507c4447449f2522a558f71f12fb6cdd157b9c55.txt; Bachelor_120_507c4447449f2522a558f71f12fb6cdd157b9c55.txt; Bachelor_120_8b3c0262ea04c4433b81f795e052aa56bf62fab4.txt; Bachelor_120_8b3c0262ea04c4433b81f795e052aa56bf62fab4.txt; Bachelor_120_3d023216934dfd65f6374ade0c6f9245f9b4535c.txt; Bachelor_120_3d023216934dfd65f6374ade0c6f9245f9b4535c.txt; Bachelor_120_507c4447449f2522a558f71f12fb6cdd157b9c55.txt; Bachelor_120_507c4447449f2522a558f71f12fb6cdd157b9c55.txt; Bachelor_120_507c4447449f2522a558f71f12fb6cdd157b9c55.txt; Bachelor_120_507c4447449f2522a558f71f12fb6cdd157b9c55.txt</t>
  </si>
  <si>
    <t>studyplans; studyplans; studyplans; studyplans; studyplans; studyplans; studyplans; studyplans; studyplans; studyplans</t>
  </si>
  <si>
    <t>1; 1; 1; 1; 1; 1; 1; 1; 1; 1</t>
  </si>
  <si>
    <t>1. [studyplans] Bachelor_120_507c4447449f2522a558f71f12fb6cdd157b9c55.txt p.1 - Section: Übersicht über den Ablauf des Studiums Table rows: - Einführungsmodule: Modul 1: Einführung Osteuropa-Studien - Einführungsmodule: Empfohlene Semester: 1-2; ECTS: 6 - Einführungsmodule: Modul 2: Einführung Gesch
2. [studyplans] Bachelor_120_507c4447449f2522a558f71f12fb6cdd157b9c55.txt p.1 - Section: Übersicht über den Ablauf des Studiums Table rows: - Fachmodule 1: Modul 6: Geschichte Major - Fachmodule 1: Empfohlene Semester: 2-6; ECTS: 16 - Fachmodule 1: Modul 7: Kulturwissenschaften - Fachmodule 1: Empfo
3. [studyplans] Bachelor_120_8b3c0262ea04c4433b81f795e052aa56bf62fab4.txt p.1 - Section: Übersicht über den Ablauf des Studiums Table rows: - Einführungsmodule: Modul 1: Einführung Osteuropa-Studien - Einführungsmodule: Empfohlene Semester: 1-2; ECTS: 6 - Einführungsmodule: 2 von 3 fachspezifischen 
4. [studyplans] Bachelor_120_8b3c0262ea04c4433b81f795e052aa56bf62fab4.txt p.1 - Section: Übersicht über den Ablauf des Studiums Table rows: - Fachmodule 1: 2 von 3 Fachmodulen (Module 6/7/8) müssen entsprechend der Kombination der Einführungsmodule ab- solviert werden; ECTS: 2 von 3 Fachmodulen (Mod
5. [studyplans] Bachelor_120_3d023216934dfd65f6374ade0c6f9245f9b4535c.txt p.1 - Section: Aus den fortgeschrittenen Modulen OES3, OES4, OES5 und OES6 sind ZWEI auszuwählen (30 ECTS) | 3 Veranstaltungen Geschichte, darunter Modul Osteuropäische Geschichte und Kontext (OES3) 15 ECTS mindestens ein Semi
6. [studyplans] Bachelor_120_3d023216934dfd65f6374ade0c6f9245f9b4535c.txt p.1 - Section: Aus den fortgeschrittenen Modulen OES3, OES4, OES5 und OES6 ist EINES auszuwählen (15 ECTS) | 3 Veranstaltungen Geschichte, darunter Modul Osteuropäische Geschichte und Kontext (OES3) 15 ECTS mindestens ein Semi
7. [studyplans] Bachelor_120_507c4447449f2522a558f71f12fb6cdd157b9c55.txt p.1 - Section: Übersicht über den Ablauf des Studiums Table rows: - Sprachkompetenzen: Modul 5: Sprachkompetenzen - Sprachkompetenzen: Empfohlene Semester: 1-6; ECTS: 18 Raw table: | Sprachkompetenzen | ECTS | |---------------
8. [studyplans] Bachelor_120_507c4447449f2522a558f71f12fb6cdd157b9c55.txt p.1 - Section: Übersicht über den Ablauf des Studiums Table rows: - Abschluss: Modul 9: Bachelorarbeit - Abschluss: Empfohlene Semester: 5-6; ECTS: 12 Raw table: | Abschluss | ECTS | |--------------------------|--------| | Mod
9. [studyplans] Bachelor_120_507c4447449f2522a558f71f12fb6cdd157b9c55.txt p.1 - Section: Übersicht über den Ablauf des Studiums | Wahlbereich / Bereichsübergreifende Kompetenzen | ECTS | |---------------------------------------------------|--------|
10. [studyplans] Bachelor_120_507c4447449f2522a558f71f12fb6cdd157b9c55.txt p.1 - Section: Übersicht über den Ablauf des Studiums Table rows: - Modul 10: Wahlbereich und bereichsübergreifende Kompetenzen: Empfohlene Semester: 1-6; Modul 10: Wahlbereich und bereichsübergreifende Kompetenzen: 15 Raw tab</t>
  </si>
  <si>
    <t>[{"source": null, "page": 1, "snippet": "Section: Übersicht über den Ablauf des Studiums\n\nTable rows:\n- Einführungsmodule: Modul 1: Einführung Osteuropa-Studien\n- Einführungsmodule: Empfohlene Semester: 1-2; ECTS: 6\n- Einführungsmodule: Modul 2: Einführung Geschichte\n- Einführungsmodule: Empfohlene Semester: 1-3; ECTS: 11\n- Einführungsmodule: Modul 3: Einführung Kulturwissenschaften\n- Einführungsmodule: Empfohlene Semester: 1-3; ECTS: 9\n- Einführungsmodule: Modul 4: Einführung Sozialwissenschaften\n- Einführungsmodule: Empfohlene Semest",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"507c4447449f2522a558f71f12fb6cdd157b9c55::semantic_table::chunk::0004", "chunk_type": "table", "section": "Übersicht über den Ablauf des Studiums", "page_start": 1, "page_end": 1, "chunk_pages": [1], "contains_table": true, "block_kinds": ["table"], "prev_chunk_id": "507c4447449f2522a558f71f12fb6cdd157b9c55::semantic_table::chunk::0003", "next_chunk_id": "507c4447449f2522a558f71f12fb6cdd157b9c55::semantic_table::chunk::0005",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Fachmodule 1: Modul 6: Geschichte Major\n- Fachmodule 1: Empfohlene Semester: 2-6; ECTS: 16\n- Fachmodule 1: Modul 7: Kulturwissenschaften\n- Fachmodule 1: Empfohlene Semester: 2-6; ECTS: 12\n- Fachmodule 1: Modul 8: Sozialwissenschaften\n- Fachmodule 1: Empfohlene Semester: 2-6; ECTS: 12\n- ECTS: Total: 40\n\nRaw table:\n| Fachmodule 1 | ECTS |\n|-------------------------------|-----------|\n| Modul 6: Geschichte Major | |\n| Empfohlene Semeste",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"507c4447449f2522a558f71f12fb6cdd157b9c55::semantic_table::chunk::0006", "chunk_type": "table", "section": "Übersicht über den Ablauf des Studiums", "page_start": 1, "page_end": 1, "chunk_pages": [1], "contains_table": true, "block_kinds": ["table"], "prev_chunk_id": "507c4447449f2522a558f71f12fb6cdd157b9c55::semantic_table::chunk::0005", "next_chunk_id": "507c4447449f2522a558f71f12fb6cdd157b9c55::semantic_table::chunk::0007",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Einführungsmodule: Modul 1: Einführung Osteuropa-Studien\n- Einführungsmodule: Empfohlene Semester: 1-2; ECTS: 6\n- Einführungsmodule: 2 von 3 fachspezifischen Einführungsmodulen (Module 2/3/4) müssen absolviert werden\n- Einführungsmodule: Modul 2: Einführung Geschichte\n- Einführungsmodule: Empfohlene Semester: 1-3; ECTS: 11\n- Einführungsmodule: Modul 3: Einführung Kulturwissenschaften\n- Einführungsmodule: Empfohlene Semester: 1-3; ECT",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"8b3c0262ea04c4433b81f795e052aa56bf62fab4::semantic_table::chunk::0004", "chunk_type": "table", "section": "Übersicht über den Ablauf des Studiums", "page_start": 1, "page_end": 1, "chunk_pages": [1], "contains_table": true, "block_kinds": ["table"], "prev_chunk_id": "8b3c0262ea04c4433b81f795e052aa56bf62fab4::semantic_table::chunk::0003", "next_chunk_id": "8b3c0262ea04c4433b81f795e052aa56bf62fab4::semantic_table::chunk::0005",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Fachmodule 1: 2 von 3 Fachmodulen (Module 6/7/8) müssen entsprechend der Kombination der Einführungsmodule ab- solviert werden; ECTS: 2 von 3 Fachmodulen (Module 6/7/8) müssen entsprechend der Kombination der Einführungsmodule ab- solviert werden\n- Fachmodule 1: Modul 6: Geschichte Major; ECTS: Modul 6: Geschichte Major\n- Fachmodule 1: Empfohlene Semester: 2-6; ECTS: 10\n- Fachmodule 1: Modul 7: Kulturwissenschaften; ECTS: Modul 7: Ku",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"8b3c0262ea04c4433b81f795e052aa56bf62fab4::semantic_table::chunk::0006", "chunk_type": "table", "section": "Übersicht über den Ablauf des Studiums", "page_start": 1, "page_end": 1, "chunk_pages": [1], "contains_table": true, "block_kinds": ["table"], "prev_chunk_id": "8b3c0262ea04c4433b81f795e052aa56bf62fab4::semantic_table::chunk::0005", "next_chunk_id": "8b3c0262ea04c4433b81f795e052aa56bf62fab4::semantic_table::chunk::0007",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Aus den fortgeschrittenen Modulen OES3, OES4, OES5 und OES6 sind ZWEI auszuwählen (30 ECTS)\n\n| 3 Veranstaltungen Geschichte, darunter Modul Osteuropäische Geschichte und Kontext (OES3) 15 ECTS mindestens ein Seminar (9 ECTS) 1 Seminar Kontext (3 ECTS) 1 Vorlesung Kontext (3 ECTS) | 3 Lehrveranstaltungen, darunter Modul Politikwissenschaft Osteuropas (OES4) 15 ECTS mindestens ein Seminar (9 ECTS) 1 Seminararbeit Politikwissenschaft (6 ECTS) |\n|--------------------------------------------",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"3d023216934dfd65f6374ade0c6f9245f9b4535c::semantic_table::chunk::0034", "chunk_type": "table", "section": "Aus den fortgeschrittenen Modulen OES3, OES4, OES5 und OES6 sind ZWEI auszuwählen (30 ECTS)", "page_start": 1, "page_end": 1, "chunk_pages": [1], "contains_table": true, "block_kinds": ["table"], "prev_chunk_id": "3d023216934dfd65f6374ade0c6f9245f9b4535c::semantic_table::chunk::0033", "next_chunk_id": "3d023216934dfd65f6374ade0c6f9245f9b4535c::semantic_table::chunk::0035",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Aus den fortgeschrittenen Modulen OES3, OES4, OES5 und OES6 ist EINES auszuwählen (15 ECTS)\n\n| 3 Veranstaltungen Geschichte, darunter Modul Osteuropäische Geschichte und Kontext (OES3) 15 ECTS mindestens ein Seminar (9 ECTS) 1 Seminar Kontext (3 ECTS) 1 Vorlesung Kontext (3 ECTS) | 3 Lehrveranstaltungen, darunter Modul Politikwissenschaften Osteuropas (OES4) 15 ECTS mindestens ein Seminar (9 ECTS) 1 Seminararbeit Politikwissenschaften (6 ECTS) |\n|----------------------------------------",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"3d023216934dfd65f6374ade0c6f9245f9b4535c::semantic_table::chunk::0038", "chunk_type": "table", "section": "Aus den fortgeschrittenen Modulen OES3, OES4, OES5 und OES6 ist EINES auszuwählen (15 ECTS)", "page_start": 1, "page_end": 1, "chunk_pages": [1], "contains_table": true, "block_kinds": ["table"], "prev_chunk_id": "3d023216934dfd65f6374ade0c6f9245f9b4535c::semantic_table::chunk::0037", "next_chunk_id": "3d023216934dfd65f6374ade0c6f9245f9b4535c::semantic_table::chunk::0039",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Sprachkompetenzen: Modul 5: Sprachkompetenzen\n- Sprachkompetenzen: Empfohlene Semester: 1-6; ECTS: 18\n\nRaw table:\n| Sprachkompetenzen | ECTS |\n|----------------------------|--------|\n| Modul 5: Sprachkompetenzen | |\n| Empfohlene Semester: 1-6 | 18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"507c4447449f2522a558f71f12fb6cdd157b9c55::semantic_table::chunk::0005", "chunk_type": "table", "section": "Übersicht über den Ablauf des Studiums", "page_start": 1, "page_end": 1, "chunk_pages": [1], "contains_table": true, "block_kinds": ["table"], "prev_chunk_id": "507c4447449f2522a558f71f12fb6cdd157b9c55::semantic_table::chunk::0004", "next_chunk_id": "507c4447449f2522a558f71f12fb6cdd157b9c55::semantic_table::chunk::0006",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Abschluss: Modul 9: Bachelorarbeit\n- Abschluss: Empfohlene Semester: 5-6; ECTS: 12\n\nRaw table:\n| Abschluss | ECTS |\n|--------------------------|--------|\n| Modul 9: Bachelorarbeit | |\n| Empfohlene Semester: 5-6 | 12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"507c4447449f2522a558f71f12fb6cdd157b9c55::semantic_table::chunk::0007", "chunk_type": "table", "section": "Übersicht über den Ablauf des Studiums", "page_start": 1, "page_end": 1, "chunk_pages": [1], "contains_table": true, "block_kinds": ["table"], "prev_chunk_id": "507c4447449f2522a558f71f12fb6cdd157b9c55::semantic_table::chunk::0006", "next_chunk_id": "507c4447449f2522a558f71f12fb6cdd157b9c55::semantic_table::chunk::0008",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 Wahlbereich / Bereichsübergreifende Kompetenzen | ECTS |\n|---------------------------------------------------|--------|",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"507c4447449f2522a558f71f12fb6cdd157b9c55::semantic_table::chunk::0008", "chunk_type": "table", "section": "Übersicht über den Ablauf des Studiums", "page_start": 1, "page_end": 1, "chunk_pages": [1], "contains_table": true, "block_kinds": ["table"], "prev_chunk_id": "507c4447449f2522a558f71f12fb6cdd157b9c55::semantic_table::chunk::0007", "next_chunk_id": "507c4447449f2522a558f71f12fb6cdd157b9c55::semantic_table::chunk::0009",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Modul 10: Wahlbereich und bereichsübergreifende Kompetenzen: Empfohlene Semester: 1-6; Modul 10: Wahlbereich und bereichsübergreifende Kompetenzen: 15\n\nRaw table:\n| Modul 10: Wahlbereich und bereichsübergreifende Kompetenzen | Modul 10: Wahlbereich und bereichsübergreifende Kompetenzen |\n|---------------------------------------------------------------|---------------------------------------------------------------|\n| Empfohlene Semes",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"507c4447449f2522a558f71f12fb6cdd157b9c55::semantic_table::chunk::0009", "chunk_type": "table", "section": "Übersicht über den Ablauf des Studiums", "page_start": 1, "page_end": 1, "chunk_pages": [1], "contains_table": true, "block_kinds": ["table"], "prev_chunk_id": "507c4447449f2522a558f71f12fb6cdd157b9c55::semantic_table::chunk::0008", "next_chunk_id": "507c4447449f2522a558f71f12fb6cdd157b9c55::semantic_table::chunk::0010",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t>
  </si>
  <si>
    <t>Bachelor_120_507c4447449f2522a558f71f12fb6cdd157b9c55.txt</t>
  </si>
  <si>
    <t>studyplans</t>
  </si>
  <si>
    <t>Section: Übersicht über den Ablauf des Studiums Table rows: - Einführungsmodule: Modul 1: Einführung Osteuropa-Studien - Einführungsmodule: Empfohlene Semester: 1-2; ECTS: 6 - Einführungsmodule: Modul 2: Einführung Geschichte - Einführungsmodule: Empfohlene Semester: 1-3; ECTS: 11 - Einführungsmodule: Modul 3: Einführung Kulturwissenschaften - Einf</t>
  </si>
  <si>
    <t>Fill manual_relevant_ranks after reviewing retrieved_sources_ranked, e.g. 1,3,5.</t>
  </si>
  <si>
    <t>hard</t>
  </si>
  <si>
    <t>How is the Teacher Trianing structured?</t>
  </si>
  <si>
    <t>short description and list of possibilities</t>
  </si>
  <si>
    <t>structure_of_studies.json; unifr_elite_sports.json; unifr_elite_sports.json; unifr_elite_sports.json; unifr_elite_sports.json; unifr_studies_disability.json; unifr_studies_disability.json; unifr_examinations_faculty_rules.json; unifr_elite_sports.json; unifr_elite_sports.json</t>
  </si>
  <si>
    <t>base_data; base_data; base_data; base_data; base_data; base_data; base_data; base_data; base_data; base_data</t>
  </si>
  <si>
    <t xml:space="preserve">; ; ; ; ; ; ; ; ; </t>
  </si>
  <si>
    <t>1. [base_data] structure_of_studies.json p. - Teacher Education for Secondary level Teacher Education for Secondary level For this courses, please consult the following sources for the structure of studies: - Teacher Education for Secondary Level I - Teacher Educati
2. [base_data] unifr_elite_sports.json p. - Teacher Education for Secondary level Teacher Education for Secondary level For this courses, please consult the following sources for the structure of studies: - Teacher Education for Secondary Level I - Teacher Educati
3. [base_data] unifr_elite_sports.json p. - Table of the study programmes corresponding to the Teacher Education for Secondary Level I Table of the study programmes corresponding to the Teacher Education for Secondary Level I The table is available only in the non
4. [base_data] unifr_elite_sports.json p. - Table of the study programmes corresponding to the Teacher Education for Baccalaureate Schools Table of the study programmes corresponding to the Teacher Education for Baccalaureate Schools The table is available only in
5. [base_data] unifr_elite_sports.json p. - Teacher Education for Secondary Level I Teacher Education for Secondary Level I The Teaching diploma for lower secondary education ( DEDS/LDS) is obtained after completing two cycles of education, i.e. academic training 
6. [base_data] unifr_studies_disability.json p. - Previous context: will be easily remembered. 4. Then try to walk the path in your mind again, visualizing the images you have placed. Advantages : structured, long term memory, no hardware required Quizlet: https://quizl
7. [base_data] unifr_studies_disability.json p. - Checklist : Prepared for the exam session? Checklist : Prepared for the exam session? - I have participated in the last courses of the semester. - I have identified the learning objectives and know the testing procedures
8. [base_data] unifr_examinations_faculty_rules.json p. - Modalities Modalities - Each course is subject to a marked assessment. - The choice of assessments is the following: oral or written exam as well as seminar papers and exercises. - The responsible person for the course d
9. [base_data] unifr_elite_sports.json p. - Faculty of Science and Medicine Faculty of Science and Medicine Candidates who choose this degree course must choose 3 to 4 study programmes from the table below; at least 100 ECTS credits must be earned in group B, a ma
10. [base_data] unifr_elite_sports.json p. - Previous context: Contact Contact Centre de formation à l'enseignement pour le degré secondaire I Rue P.-A. de Faucigny 2 CH - 1700 Fribourg +41 26 300 76 00/01 deds@unifr.ch http://www.unifr.ch/go/deds Zentrum für Lehrp</t>
  </si>
  <si>
    <t>[{"source": null, "page": null, "snippet": "Teacher Education for Secondary level\n\nTeacher Education for Secondary level\nFor this courses, please consult the following sources for the structure of studies:\n- Teacher Education for Secondary Level I\n- Teacher Education for Baccalaureate Schools\n\nTeacher Education for Secondary Level I: https://www.unifr.ch/studies/en/organisation/beginning-of-studies/structure-of-studies/teacher-education-for-secondary-level-i.html\nTeacher Education for Baccalaureate Schools: https://www.unifr.ch/studies/en",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16, "section": "Teacher Education for Secondary level", "source_reference": "https://www.unifr.ch/studies/en/organisation/beginning-of-studies/structure-of-studies/", "chunk_id": "unifr_structure_of_studies_en::section::016::chunk::001", "chunk_type": "section", "prev_chunk_id": "unifr_structure_of_studies_en::section::015::chunk::001",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"Teacher Education for Secondary level\n\nTeacher Education for Secondary level\nFor this courses, please consult the following sources for the structure of studies:\n- Teacher Education for Secondary Level I\n- Teacher Education for Baccalaureate Schools\nCourse offerings\nStudies Information Office\n\nTeacher Education for Secondary Level I: https://www.unifr.ch/studies/en/organisation/beginning-of-studies/structure-of-studies/teacher-education-for-secondary-level-i.html\nTeacher Education for Baccalaure",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16, "section": "Teacher Education for Secondary level", "chunk_id": "unifr_elite_sport_www_unifr_ch_studies_en_organisation_beginning_of_studies_structure_of_studies::section::016::chunk::001", "chunk_type": "section", "prev_chunk_id": "unifr_elite_sport_www_unifr_ch_studies_en_organisation_beginning_of_studies_structure_of_studies::section::015::chunk::001",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"Table of the study programmes corresponding to the Teacher Education for Secondary Level I\n\nTable of the study programmes corresponding to the Teacher Education for Secondary Level I\nThe table is available only in the non-mobile version of the site.\n- See the French version of the table\n- See the German version of the table\n\nSee the French version of the table: https://www.unifr.ch/studies/fr/organisation/debut-etudes/structure-des-etudes/formation-secondaire-i.html\nSee the German version of the",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7, "section": "Table of the study programmes corresponding to the Teacher Education for Secondary Level I", "chunk_id": "unifr_elite_sport_www_unifr_ch_studies_en_organisation_beginning_of_studies_structure_of_studies_teacher_education_for_secondary_level_i_html::section::007::chunk::001", "chunk_type": "section", "prev_chunk_id": "unifr_elite_sport_www_unifr_ch_studies_en_organisation_beginning_of_studies_structure_of_studies_teacher_education_for_secondary_level_i_html::section::006::chunk::001",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"Table of the study programmes corresponding to the Teacher Education for Baccalaureate Schools\n\nTable of the study programmes corresponding to the Teacher Education for Baccalaureate Schools\nThe table is available only in the non-mobile version of the site.\n- See the French version of the table\n- See the German version of the table\n\nSee the French version of the table: https://www.unifr.ch/studies/fr/organisation/debut-etudes/structure-des-etudes/formation-maturite.html\nSee the German version of", "metadata": {"doc_key": "unifr_elite_sport_www_unifr_ch_studies_en_organisation_beginning_of_studies_structure_of_studies_teacher_education_for_academic_upper_secondary_schools_html", "source_type": "unifr_elite_sport_page", "source_url": "https://www.unifr.ch/studies/en/organisation/beginning-of-studies/structure-of-studies/teacher-education-for-academic-upper-secondary-schools.html", "source_reference": "https://www.unifr.ch/studies/en/organisation/beginning-of-studies/structure-of-studies/teacher-education-for-academic-upper-secondary-schools.html", "title": "Teacher Education for Baccalaureate Schools | Studies | University of Fribourg", "page_heading": "Teacher Education for Baccalaureate Schools", "language": "en", "parent_url": "https://www.unifr.ch/studies/en/organisation/during-studies/studies-and-elite-sportswomen-and-sportsmen.html", "source_file": "unifr_elite_sports.json", "parser": "scrapy_base_info_json", "index_variant": "base_info_semantic_v1", "section_index": 3, "section": "Table of the study programmes corresponding to the Teacher Education for Baccalaureate Schools", "chunk_id": "unifr_elite_sport_www_unifr_ch_studies_en_organisation_beginning_of_studies_structure_of_studies_teacher_education_for_academic_upper_secondary_schools_html::section::003::chunk::001", "chunk_type": "section", "prev_chunk_id": "unifr_elite_sport_www_unifr_ch_studies_en_organisation_beginning_of_studies_structure_of_studies_teacher_education_for_academic_upper_secondary_schools_html::section::002::chunk::001",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"Teacher Education for Secondary Level I\n\nTeacher Education for Secondary Level I\nThe Teaching diploma for lower secondary education ( DEDS/LDS) is obtained after completing two cycles of education, i.e. academic training to bachelor level culminating in a Bachelor of Arts in Secondary Education (BA_SI), or a Bachelor of Science in Secondary Education (BSc_SI), and professional, pedagogical, didactic and practical training carried out mainly at master ’s level culminating in a Master of Arts in S",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1, "section": "Teacher Education for Secondary Level I", "chunk_id": "unifr_elite_sport_www_unifr_ch_studies_en_organisation_beginning_of_studies_structure_of_studies_teacher_education_for_secondary_level_i_html::section::001::chunk::001", "chunk_type": "section", "next_chunk_id": "unifr_elite_sport_www_unifr_ch_studies_en_organisation_beginning_of_studies_structure_of_studies_teacher_education_for_secondary_level_i_html::section::002::chunk::001",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"Previous context: will be easily remembered.\n4. Then try to walk the path in your mind again, visualizing the images you have placed.\nAdvantages : structured, long term memory, no hardware required\n\nQuizlet: https://quizlet.com/", "metadata": {"doc_key": "unifr_studies_disability_www_unifr_ch_campus_en_support_learning_and_success_learning_strategies_memorisation_html", "source_type": "unifr_studies_disability_page", "source_url": "https://www.unifr.ch/campus/en/support/learning-and-success/learning-strategies/memorisation.html", "source_reference": "https://www.unifr.ch/campus/en/support/learning-and-success/learning-strategies/memorisation.html", "title": "Memorization | Campus | University of Fribourg", "page_heading": "Memorization", "language": "en", "parent_url": "https://www.unifr.ch/campus/en/support/learning-and-success/studies-and-disability.html", "source_file": "unifr_studies_disability.json", "parser": "scrapy_base_info_json", "index_variant": "base_info_semantic_v1", "section_index": 3, "section": "Tools for memorization", "chunk_id": "unifr_studies_disability_www_unifr_ch_campus_en_support_learning_and_success_learning_strategies_memorisation_html::section::003::chunk::004", "chunk_type": "section", "prev_chunk_id": "unifr_studies_disability_www_unifr_ch_campus_en_support_learning_and_success_learning_strategies_memorisation_html::section::003::chunk::003", "next_chunk_id": "unifr_studies_disability_www_unifr_ch_campus_en_support_learning_and_success_learning_strategies_memorisation_html::section::004::chunk::001",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"Checklist : Prepared for the exam session?\n\nChecklist : Prepared for the exam session?\n- I have participated in the last courses of the semester.\n- I have identified the learning objectives and know the testing procedures.\n- I have completed and structured my class notes.\n- I have designed and prioritized a weekly schedule for my revisions.\n- I have set precise and achievable goals.\n- I can handle distractions in order to study with focus.\n- I have a healthy lifestyle (sleep, exercise, hobbies).", "metadata": {"doc_key": "unifr_studies_disability_www_unifr_ch_campus_en_support_learning_and_success_learning_strategies_examen_html", "source_type": "unifr_studies_disability_page", "source_url": "https://www.unifr.ch/campus/en/support/learning-and-success/learning-strategies/examen.html", "source_reference": "https://www.unifr.ch/campus/en/support/learning-and-success/learning-strategies/examen.html", "title": "Taking the exam | Campus | University of Fribourg", "page_heading": "Taking the exam", "language": "en", "parent_url": "https://www.unifr.ch/campus/en/support/learning-and-success/studies-and-disability.html", "source_file": "unifr_studies_disability.json", "parser": "scrapy_base_info_json", "index_variant": "base_info_semantic_v1", "section_index": 9, "section": "Checklist : Prepared for the exam session?", "chunk_id": "unifr_studies_disability_www_unifr_ch_campus_en_support_learning_and_success_learning_strategies_examen_html::section::009::chunk::001", "chunk_type": "section", "prev_chunk_id": "unifr_studies_disability_www_unifr_ch_campus_en_support_learning_and_success_learning_strategies_examen_html::section::008::chunk::001", "next_chunk_id": "unifr_studies_disability_www_unifr_ch_campus_en_support_learning_and_success_learning_strategies_examen_html::section::010::chunk::001",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"Modalities\n\nModalities\n- Each course is subject to a marked assessment.\n- The choice of assessments is the following: oral or written exam as well as seminar papers and exercises.\n- The responsible person for the course decides how the course will be assessed. This decision will be communicated to students at the beginning of the academic year.\n- In the case of no indication in the regulations, respectively of the responsible teacher, the courses are assessed by a written examination.\n- Assessme", "metadata": {"doc_key": "unifr_faculty_of_management_economics_and_social_sciences_www_unifr_ch_ses_en_studies_exams_theses_info_html", "source_type": "unifr_faculty_examination_rule_page", "source_url": "https://www.unifr.ch/ses/en/studies/exams-theses/info.html", "source_reference": "https://www.unifr.ch/ses/en/studies/exams-theses/info.html", "title": "General information | Faculty of Management, Economics and Social Sciences | University of Fribourg", "page_heading": "General information on examinations", "language": "en", "faculty": "Faculty of Management, Economics and Social Sciences", "parent_url": "https://www.unifr.ch/ses/en/studies/exams-theses/", "source_file": "unifr_examinations_faculty_rules.json", "parser": "scrapy_base_info_json", "index_variant": "base_info_semantic_v1", "section_index": 2, "section": "Modalities", "chunk_id": "unifr_faculty_of_management_economics_and_social_sciences_www_unifr_ch_ses_en_studies_exams_theses_info_html::section::002::chunk::001", "chunk_type": "section", "prev_chunk_id": "unifr_faculty_of_management_economics_and_social_sciences_www_unifr_ch_ses_en_studies_exams_theses_info_html::section::001::chunk::001", "next_chunk_id": "unifr_faculty_of_management_economics_and_social_sciences_www_unifr_ch_ses_en_studies_exams_theses_info_html::section::003::chunk::001",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"Faculty of Science and Medicine\n\nFaculty of Science and Medicine\nCandidates who choose this degree course must choose 3 to 4 study programmes from the table below; at least 100 ECTS credits must be earned in group B, a maximum of 50 ECTS credits in group C, a maximum of 50 ECTS credits in group D, a maximum of 60 ECTS credits in group A.\n\nECTS: https://www.unifr.ch/studies/en/organisation/lexique/",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6, "section": "Faculty of Science and Medicine", "chunk_id": "unifr_elite_sport_www_unifr_ch_studies_en_organisation_beginning_of_studies_structure_of_studies_teacher_education_for_secondary_level_i_html::section::006::chunk::001", "chunk_type": "section", "prev_chunk_id": "unifr_elite_sport_www_unifr_ch_studies_en_organisation_beginning_of_studies_structure_of_studies_teacher_education_for_secondary_level_i_html::section::005::chunk::001", "next_chunk_id": "unifr_elite_sport_www_unifr_ch_studies_en_organisation_beginning_of_studies_structure_of_studies_teacher_education_for_secondary_level_i_html::section::007::chunk::001",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 {"source": null, "page": null, "snippet": "Previous context: Contact\n\nContact\nCentre de formation à l'enseignement pour le degré secondaire I Rue P.-A. de Faucigny 2 CH - 1700 Fribourg +41 26 300 76 00/01 deds@unifr.ch http://www.unifr.ch/go/deds\nZentrum für Lehrpersonenbildung für die Sekundarstufe I Lehrdiplom für die Sekundarstufe I Rue P.-A. de Faucigny 2 CH - 1700 Fribourg +41 26 300 75 88 lds@unifr.ch www.unifr.ch/go/lds\nFour faculties provide the academic courses:\n- Theology Faculty of Theology Bachelor of Arts in Secondary Educat",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2, "section": "Contact", "chunk_id": "unifr_elite_sport_www_unifr_ch_studies_en_organisation_beginning_of_studies_structure_of_studies_teacher_education_for_secondary_level_i_html::section::002::chunk::002", "chunk_type": "section", "prev_chunk_id": "unifr_elite_sport_www_unifr_ch_studies_en_organisation_beginning_of_studies_structure_of_studies_teacher_education_for_secondary_level_i_html::section::002::chunk::001", "next_chunk_id": "unifr_elite_sport_www_unifr_ch_studies_en_organisation_beginning_of_studies_structure_of_studies_teacher_education_for_secondary_level_i_html::section::002::chunk::003",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"How is the Teacher Trianing structured?", "query_language": "en"}], "returned_count": 10}}]</t>
  </si>
  <si>
    <t>structure_of_studies.json</t>
  </si>
  <si>
    <t>base_data</t>
  </si>
  <si>
    <t>Teacher Education for Secondary level Teacher Education for Secondary level For this courses, please consult the following sources for the structure of studies: - Teacher Education for Secondary Level I - Teacher Education for Baccalaureate Schools Teacher Education for Secondary Level I: https://www.unifr.ch/studies/en/organisation/beginning-of-st</t>
  </si>
  <si>
    <t>medium</t>
  </si>
  <si>
    <t>What courses are thaught in the Master of Slavic Studies?</t>
  </si>
  <si>
    <t>list of courses</t>
  </si>
  <si>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</si>
  <si>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</si>
  <si>
    <t>[{"source": null,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4A: Transfer interdisziplinär\n\nTable rows:\n- column_1: SE; column_2: Seminar; Ort: BE/FR; SWS: 2; ECTS: 6\n- column_1: K; column_2: Kolloquium; Ort: BE/FR; SWS: 2; ECTS: 3\n- column_1: PP; column_2: Praktisches Projekt; Ort: -; SWS: -; ECTS: 3\n- ECTS: 12\n\nRaw table:\n| | | Ort | SWS | ECTS |\n|----|---------------------|-------|-------|--------|\n| SE | Seminar | BE/FR | 2 | 6 |\n| K | Kolloquium | BE/FR | 2 | 3 |\n| PP | Praktisches Projekt | - | -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4B: Transfer Beruf (Praktikum)\n\nTable rows:\n- column_1: P; column_2: Praktikum und Bericht; ECTS: 9\n- column_1: K; column_2: Kolloquium; Ort: BE/FR; SWS: 2; ECTS: 3\n- ECTS: 12\n\nRaw table:\n| | | Ort | SWS | ECTS |\n|----|-----------------------|-------|-------|--------|\n| P | Praktikum und Bericht | | | 9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"59edacccbc814f4ca7dd2a3d388690f68f8d8f12::semantic_table::chunk::0037", "chunk_type": "table", "section": "4B: Transfer Beruf (Praktikum)", "page_start": 1, "page_end": 1, "chunk_pages": [1], "contains_table": true, "block_kinds": ["table"], "prev_chunk_id": "59edacccbc814f4ca7dd2a3d388690f68f8d8f12::semantic_table::chunk::0036", "next_chunk_id": "59edacccbc814f4ca7dd2a3d388690f68f8d8f12::semantic_table::chunk::0038",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4C: Transfer Ideengeschichte\n\nTable rows:\n- column_1: VL/SE; column_2: Vorlesung oder Seminar; Ort: BE; SWS: 2; ECTS: 3\n- column_1: SA; column_2: Seminararbeit; Ort: FR; SWS: 2; ECTS: 6\n- column_1: K; column_2: Kolloquium; Ort: BE/FR; SWS: 2; ECTS: 3\n- ECTS: 12\n\nRaw table:\n| | | Ort | SWS | ECTS |\n|-------|------------------------|-------|-------|--------|\n| VL/SE | Vorlesung oder Seminar | BE | 2 | 3 |\n| SA | Seminararbeit | FR | 2 | 6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"59edacccbc814f4ca7dd2a3d388690f68f8d8f12::semantic_table::chunk::0040", "chunk_type": "table", "section": "4C: Transfer Ideengeschichte", "page_start": 1, "page_end": 1, "chunk_pages": [1], "contains_table": true, "block_kinds": ["table"], "prev_chunk_id": "59edacccbc814f4ca7dd2a3d388690f68f8d8f12::semantic_table::chunk::0039", "next_chunk_id": "59edacccbc814f4ca7dd2a3d388690f68f8d8f12::semantic_table::chunk::0041",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t>
  </si>
  <si>
    <t>Master_90_59edacccbc814f4ca7dd2a3d388690f68f8d8f12.txt</t>
  </si>
  <si>
    <t>Section: Inhaltsverzeichnis Table rows: - 1.: 2; Gesetzliche Grundlagen ......................................................................................................... 1: Beschreibung des Programms ............................................................................................... 1 - 1.: 3; Gesetzliche Grundlagen ............</t>
  </si>
  <si>
    <t>general_uni_data</t>
  </si>
  <si>
    <t>How many ects credits does a master program have?</t>
  </si>
  <si>
    <t>standard number of ects. Possibly highlighting possible deviations per faculty</t>
  </si>
  <si>
    <t>base_data vectorstore</t>
  </si>
  <si>
    <t>Master_120_09f4bd6a51cf2c49c32336cd4099f24000d81954.txt; Master_120_1253e811dc7c10018aaffeabe539ef18ce21c299.txt; Master_120_1253e811dc7c10018aaffeabe539ef18ce21c299.txt;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t>
  </si>
  <si>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Master_120_1253e811dc7c10018aaffeabe539ef18ce21c299.txt p.1 - Section: Elective Course Units Table rows: - Code: SBL.00420 a#; Title of UE: Career profiling in life sciences; Semester: SS; tot. h.: 8; ECTS: 1 - Code: I02.00106; Title of UE: B2-C2 English for Master Students of Scie
3. [studyplans] Master_120_1253e811dc7c10018aaffeabe539ef18ce21c299.txt p.1 - ---------------------------|------------|-----------|--------| | SBL.00420 a# | Career profiling in life sciences | SS | 8 | 1 | | I02.00106 | B2-C2 English for Master Students of Science I | AS | - | 3 | | I02.00107 | B
4. [studyplans] Master_120_28f0a44a437eb3a95c3ff6bc5be31d9f44a0fcde.txt p.1 - lopmental biology of marine animal models; Semester: AS; tot. h.: 8; ECTS: 1 - Code: SBL.00414; column_2: Cell fate and tissue regeneration; Semester: AS; tot. h.: 8; ECTS: 1 - Code: SBL.00415; column_2: Cell proliferati
5. [studyplans] Master_120_28f0a44a437eb3a95c3ff6bc5be31d9f44a0fcde.txt p.1 - ntal biology | SS | 20 | 2 | | SBL.10004 | Ethics in stem cell research | SS | 8 | 1 | | SBL.10006 | Developmental biology of marine animal models | AS | 8 | 1 | | SBL.00414 | Cell fate and tissue regeneration | AS | 8 |
6. [studyplans] Master_120_28f0a44a437eb3a95c3ff6bc5be31d9f44a0fcde.txt p.1 - i lecture): Introductory course in laboratory animal science; SS: AS, SS; 28: 20; 3: 1 - SBL.00123: Language Center UniFr; Cellular and genetic networks (BeFri lecture): Select 1-2 English courses with B2 as a minimum ta
7. [studyplans] Master_120_28f0a44a437eb3a95c3ff6bc5be31d9f44a0fcde.txt p.1 - 1 | | SBL.00504 | Basics in biostatistics # | AS | 14 | 1.5 | | SBL.30001 | Introduction toR | AS | 3 days | 2 | | SBC.04202 | Eucaryotic cell growth control | AS | 12 | 1.5 | | SBC.04203 | Genotyping (practical course) 
8. [studyplans] Master_120_28f0a44a437eb3a95c3ff6bc5be31d9f44a0fcde.txt p.1 - 0416; column_2: Biological rhythms; Semester: SS; tot. h.: 8; ECTS: 1 - Code: SBL.00428; column_2: Optogenetics and photopharmacology; Semester: SS; tot. h.: 8; ECTS: 1 - Code: SME.05001; column_2: Neurobiology seminars;
9. [studyplans] Master_120_28f0a44a437eb3a95c3ff6bc5be31d9f44a0fcde.txt p.1 - odelling human diseases in experimental genetic systems | SS | 20 | 2 | | SBL.10002 | From bench to bedside | SS | 5 | 0.5 | | SBL.00416 | Biological rhythms | SS | 8 | 1 | | SBL.00428 | Optogenetics and photopharmacolog
10. [studyplans] Master_120_28f0a44a437eb3a95c3ff6bc5be31d9f44a0fcde.txt p.1 - SME.07100; Career profiling in life sciences: Models for human diseases; SS: AS; 8: 28; 1: 3 - SBL.00420: SME.07200; Career profiling in life sciences: Infection, inflammation and cancer; SS: AS; 8: 28; 1: 3 - SBL.00420:</t>
  </si>
  <si>
    <t>[{"source": null,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"Section: Elective Course Units\n\nTable rows:\n- Code: SBL.00420 a#; Title of UE: Career profiling in life sciences; Semester: SS; tot. h.: 8; ECTS: 1\n- Code: I02.00106; Title of UE: B2-C2 English for Master Students of Science I; Semester: AS; tot. h.: -; ECTS: 3\n- Code: I02.00107; Title of UE: B2-C2 English for Master Students of Science II; Semester: SS; tot. h.: -; ECTS: 3\n- Code: SBL.00115 #; Title of UE: The RNA world; Semester: AS; tot. h.: 12; ECTS: 1.5\n- Code: SBL.00419 #; Title of UE: Adv",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"1253e811dc7c10018aaffeabe539ef18ce21c299::semantic_table::chunk::0024", "chunk_type": "table", "section": "Elective Course Units", "page_start": 1, "page_end": 1, "chunk_pages": [1], "contains_table": true, "block_kinds": ["table"], "prev_chunk_id": "1253e811dc7c10018aaffeabe539ef18ce21c299::semantic_table::chunk::0023", "next_chunk_id": "1253e811dc7c10018aaffeabe539ef18ce21c299::semantic_table::chunk::0025",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"---------------------------|------------|-----------|--------|\n| SBL.00420 a# | Career profiling in life sciences | SS | 8 | 1 |\n| I02.00106 | B2-C2 English for Master Students of Science I | AS | - | 3 |\n| I02.00107 | B2-C2 English for Master Students of Science II | SS | - | 3 |\n| SBL.00115 # | The RNA world | AS | 12 | 1.5 |\n| SBL.00419 # | Advanced imaging | SS | 8 | 1 |\n| SBL.00451 b# | Introduction to mass spectrometry and proteomics | AS | 8 | 1 |\n| SBL.00452 b# | Advanced quantitative pr",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"1253e811dc7c10018aaffeabe539ef18ce21c299::semantic_table::chunk::0025", "chunk_type": "table", "section": "Elective Course Units", "page_start": 1, "page_end": 1, "chunk_pages": [1], "contains_table": true, "block_kinds": ["table"], "prev_chunk_id": "1253e811dc7c10018aaffeabe539ef18ce21c299::semantic_table::chunk::0024", "next_chunk_id": "1253e811dc7c10018aaffeabe539ef18ce21c299::semantic_table::chunk::0026",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"lopmental biology of marine animal models; Semester: AS; tot. h.: 8; ECTS: 1\n- Code: SBL.00414; column_2: Cell fate and tissue regeneration; Semester: AS; tot. h.: 8; ECTS: 1\n- Code: SBL.00415; column_2: Cell proliferation; Semester: SS; tot. h.: 8; ECTS: 1\n- Code: SBL.00429; column_2: Animal models of regeneration; Semester: SS; tot. h.: 20; ECTS: 2\n- Code: Total ECTS credits in obligatory courses; column_2: Total ECTS credits in obligatory courses; ECTS: 26.5\n\nRaw table:\n| Code | | Semester |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"28f0a44a437eb3a95c3ff6bc5be31d9f44a0fcde::semantic_table::chunk::0029", "chunk_type": "table", "section": "2.1.1 Option Developmental Biology and Regeneration", "page_start": 1, "page_end": 1, "chunk_pages": [1], "contains_table": true, "block_kinds": ["table"], "prev_chunk_id": "28f0a44a437eb3a95c3ff6bc5be31d9f44a0fcde::semantic_table::chunk::0028", "next_chunk_id": "28f0a44a437eb3a95c3ff6bc5be31d9f44a0fcde::semantic_table::chunk::0030",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"ntal biology | SS | 20 | 2 |\n| SBL.10004 | Ethics in stem cell research | SS | 8 | 1 |\n| SBL.10006 | Developmental biology of marine animal models | AS | 8 | 1 |\n| SBL.00414 | Cell fate and tissue regeneration | AS | 8 | 1 |\n| SBL.00415 | Cell proliferation | SS | 8 | 1 |\n| SBL.00429 | Animal models of regeneration | SS | 20 | 2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"28f0a44a437eb3a95c3ff6bc5be31d9f44a0fcde::semantic_table::chunk::0030", "chunk_type": "table", "section": "2.1.1 Option Developmental Biology and Regeneration", "page_start": 1, "page_end": 1, "chunk_pages": [1], "contains_table": true, "block_kinds": ["table"], "prev_chunk_id": "28f0a44a437eb3a95c3ff6bc5be31d9f44a0fcde::semantic_table::chunk::0029", "next_chunk_id": "28f0a44a437eb3a95c3ff6bc5be31d9f44a0fcde::semantic_table::chunk::0031",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"i lecture): Introductory course in laboratory animal science; SS: AS, SS; 28: 20; 3: 1\n- SBL.00123: Language Center UniFr; Cellular and genetic networks (BeFri lecture): Select 1-2 English courses with B2 as a minimum target level; SS: AS/SS; 28: -; 3: max 6\n- SBL.00123: Elective courses from the section medicine *; Cellular and genetic networks (BeFri lecture): Elective courses from the section medicine *; SS: Elective courses from the section medicine *; 28: Elective courses from the section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"28f0a44a437eb3a95c3ff6bc5be31d9f44a0fcde::semantic_table::chunk::0035", "chunk_type": "table", "section": "Recommended courses", "page_start": 1, "page_end": 1, "chunk_pages": [1], "contains_table": true, "block_kinds": ["table"], "prev_chunk_id": "28f0a44a437eb3a95c3ff6bc5be31d9f44a0fcde::semantic_table::chunk::0034", "next_chunk_id": "28f0a44a437eb3a95c3ff6bc5be31d9f44a0fcde::semantic_table::chunk::0036",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"1 |\n| SBL.00504 | Basics in biostatistics # | AS | 14 | 1.5 |\n| SBL.30001 | Introduction toR | AS | 3 days | 2 |\n| SBC.04202 | Eucaryotic cell growth control | AS | 12 | 1.5 |\n| SBC.04203 | Genotyping (practical course) | AS | 90 | 2.5 |\n| SBC.07110 | Introduction to UNIX and BASH | AS | 5 days | 2.5 |\n| SBL.10013 | Zebrafish License course (practical) | AS, SS | 20 | 1 |\n| UNIL | Introductory course in laboratory animal science | AS, SS | 20 | 1 |\n| Language Center UniFr | Select 1-2 English co",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"28f0a44a437eb3a95c3ff6bc5be31d9f44a0fcde::semantic_table::chunk::0037", "chunk_type": "table", "section": "Recommended courses", "page_start": 1, "page_end": 1, "chunk_pages": [1], "contains_table": true, "block_kinds": ["table"], "prev_chunk_id": "28f0a44a437eb3a95c3ff6bc5be31d9f44a0fcde::semantic_table::chunk::0036", "next_chunk_id": "28f0a44a437eb3a95c3ff6bc5be31d9f44a0fcde::semantic_table::chunk::0038",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"odelling human diseases in experimental genetic systems | SS | 20 | 2 |\n| SBL.10002 | From bench to bedside | SS | 5 | 0.5 |\n| SBL.00416 | Biological rhythms | SS | 8 | 1 |\n| SBL.00428 | Optogenetics and photopharmacology | SS | 8 | 1 |\n| SME.05001 | Neurobiology seminars | AS | 5 | 0.5 |\n| SME.06001 | Neurobiology seminars | SS | 5 | 0.5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"28f0a44a437eb3a95c3ff6bc5be31d9f44a0fcde::semantic_table::chunk::0042", "chunk_type": "table", "section": "2.1.2 Option Neurobiology", "page_start": 1, "page_end": 1, "chunk_pages": [1], "contains_table": true, "block_kinds": ["table"], "prev_chunk_id": "28f0a44a437eb3a95c3ff6bc5be31d9f44a0fcde::semantic_table::chunk::0041", "next_chunk_id": "28f0a44a437eb3a95c3ff6bc5be31d9f44a0fcde::semantic_table::chunk::0043",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 {"source": null, "page": 1, "snippet": "SME.07100; Career profiling in life sciences: Models for human diseases; SS: AS; 8: 28; 1: 3\n- SBL.00420: SME.07200; Career profiling in life sciences: Infection, inflammation and cancer; SS: AS; 8: 28; 1: 3\n- SBL.00420: SME.07300; Career profiling in life sciences: Central nervous system regeneration and repair; SS: AS; 8: 28; 1: 3\n- SBL.00420: SME.07215; Career profiling in life sciences: Hot topics in cancer research, Metabolic health and Regenerative biomedicine; SS: SS; 8: 28; 1: 3\n- SBL.00",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"28f0a44a437eb3a95c3ff6bc5be31d9f44a0fcde::semantic_table::chunk::0048", "chunk_type": "table", "section": "Recommended courses", "page_start": 1, "page_end": 1, "chunk_pages": [1], "contains_table": true, "block_kinds": ["table"], "prev_chunk_id": "28f0a44a437eb3a95c3ff6bc5be31d9f44a0fcde::semantic_table::chunk::0047", "next_chunk_id": "28f0a44a437eb3a95c3ff6bc5be31d9f44a0fcde::semantic_table::chunk::0049",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0, "source_intent": "studyplans", "returned_count": 10, "returned_programs": ["Experimental Biomedical Research"], "query": "How many ects credits does a master program have?", "query_language": "en"}], "returned_count": 10}}]</t>
  </si>
  <si>
    <t>Master_120_09f4bd6a51cf2c49c32336cd4099f24000d81954.txt</t>
  </si>
  <si>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</si>
  <si>
    <t>Which faculties exist?</t>
  </si>
  <si>
    <t>list of faculties</t>
  </si>
  <si>
    <t>unifr_studies_disability.json; structure_of_studies.json; unifr_elite_sports.json; unifr_elite_sports.json; unifr_elite_sports.json; languages_of_study.json; unifr_elite_sports.json; unifr_elite_sports.json; unifr_elite_sports.json; unifr_examinations_faculty_rules.json</t>
  </si>
  <si>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unifr_examinations_faculty_rules.json p. - Examinations Examinations Registration for examinations is done in all faculties by Internet. As the procedures and deadlines differ from one faculty to another, it is important to find out in advance about the examinati</t>
  </si>
  <si>
    <t>[{"source": null,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"unifr_elite_sport_www_unifr_ch_studies_en_organisation_beginning_of_studies_languages_of_study_html", "source_type": "unifr_elite_sport_page", "source_url": "https://www.unifr.ch/studies/en/organisation/beginning-of-studies/languages-of-study.html", "source_reference": "https://www.unifr.ch/studies/en/organisation/beginning-of-studies/languages-of-study.html", "title": "Languages of study | Studies | University of Fribourg", "page_heading": "Languages of study", "language": "en", "parent_url": "https://www.unifr.ch/studies/en/organisation/during-studies/studies-and-elite-sportswomen-and-sportsmen.html", "source_file": "unifr_elite_sports.json", "parser": "scrapy_base_info_json", "index_variant": "base_info_semantic_v1", "section_index": 4, "section": "Language courses", "chunk_id": "unifr_elite_sport_www_unifr_ch_studies_en_organisation_beginning_of_studies_languages_of_study_html::section::004::chunk::001", "chunk_type": "section", "prev_chunk_id": "unifr_elite_sport_www_unifr_ch_studies_en_organisation_beginning_of_studies_languages_of_study_html::section::003::chunk::006", "next_chunk_id": "unifr_elite_sport_www_unifr_ch_studies_en_organisation_beginning_of_studies_languages_of_study_html::section::005::chunk::001",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"Examination fees\n\nExamination fees\nThe faculties are responsible for setting and collecting examination fees.", "metadata": {"doc_key": "unifr_elite_sport_www_unifr_ch_studies_en_organisation_administrative_services_unifr_students_university_fees", "source_type": "unifr_elite_sport_page", "source_url": "https://www.unifr.ch/studies/en/organisation/administrative-services-unifr-students/university-fees/", "source_reference": "https://www.unifr.ch/studies/en/organisation/administrative-services-unifr-students/university-fees/", "title": "University fees | Studies | University of Fribourg", "page_heading": "University fees", "language": "en", "parent_url": "https://www.unifr.ch/studies/en/organisation/during-studies/studies-and-elite-sportswomen-and-sportsmen.html", "source_file": "unifr_elite_sports.json", "parser": "scrapy_base_info_json", "index_variant": "base_info_semantic_v1", "section_index": 3, "section": "Examination fees", "chunk_id": "unifr_elite_sport_www_unifr_ch_studies_en_organisation_administrative_services_unifr_students_university_fees::section::003::chunk::001", "chunk_type": "section", "prev_chunk_id": "unifr_elite_sport_www_unifr_ch_studies_en_organisation_administrative_services_unifr_students_university_fees::section::002::chunk::008", "next_chunk_id": "unifr_elite_sport_www_unifr_ch_studies_en_organisation_administrative_services_unifr_students_university_fees::section::004::chunk::001",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"unifr_examinations_overview_en", "source_type": "unifr_examinations_overview_page", "source_url": "https://www.unifr.ch/studies/en/organisation/during-studies/examinations.html", "source_reference": "https://www.unifr.ch/studies/en/organisation/during-studies/examinations.html", "title": "Examinations | Studies | University of Fribourg", "page_heading": "Examinations", "language": "en", "source_file": "unifr_examinations_faculty_rules.json", "parser": "scrapy_base_info_json", "index_variant": "base_info_semantic_v1", "section_index": 1, "section": "Examinations", "chunk_id": "unifr_examinations_overview_en::section::001::chunk::001", "chunk_type": "section", "next_chunk_id": "unifr_examinations_overview_en::section::002::chunk::001", "rag_source": "base_data", "category": "base_data", "retrieval_debug":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200, "candidate_count_global_fallback": 200, "source_intent": "base_data", "returned_count": 10, "returned_programs": ["None"], "query": "Which faculties exist?", "query_language": "en"}], "returned_count": 10}}]</t>
  </si>
  <si>
    <t>unifr_studies_disability.json</t>
  </si>
  <si>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</si>
  <si>
    <t>What is the suggested order of courses for the bachelor in business informatics 180 ects.</t>
  </si>
  <si>
    <t>ordered list of courses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</si>
  <si>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</si>
  <si>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</si>
  <si>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null,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</si>
  <si>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</si>
  <si>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</si>
  <si>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What profile does a student of management have?</t>
  </si>
  <si>
    <t>summary of program leanings and obtained profile</t>
  </si>
  <si>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</si>
  <si>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
9. [studyplans] Master_30_a11887e2ddf0e048b0446c6bb3c79526bf350234.txt p.1 - Section: Stand des Kursangebots Table rows: - Code: EGE.00257; Lehreinheit: Winning Consulting Projects; Lehrer(innen): Thom; Semester: FS-2026; Niveau: MA; Sprache: en; Bewertung: Fortlaufende Evaluation; ECTS: 3 - Code
10. [studyplans] Master_30_a11887e2ddf0e048b0446c6bb3c79526bf350234.txt p.1 - einheit: Management des ressources humaines et matérielles dans les organisations à but non lucratif; Lehrer(innen): Gmür; Semester: HS-2025; Niveau: MA; Sprache: fr; Bewertung: Fortlaufende Evaluation und schriftliche P</t>
  </si>
  <si>
    <t>[{"source": null,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4.5\n- Code: EGE.00048; Lehreinheit: Fundamentals of International Management; Lehrer(innen): Flankova; Semester: HS-2025; Niveau: MA; Sprache: en; Bew",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Sprache: en; Bewertung: Fortlaufende Evaluation; ECTS: 4.5\n- Code: EEP.00332; Lehreinheit: Märkte und Strategien; Lehrer(innen): Büchel; Semester: H",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Fortlaufende Evaluation und schriftliche Prüfung; ECTS: 4.5\n- Code: EGE.00485; Lehreinheit: MAN08E: Strategic Management; Lehrer(innen): Mena; Semester: FS-202",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Lehreinheit: Nouveaux trends de l'innovation; Lehrer(innen): Fauchart; Semester: FS-2026; Niveau: MA; Sprache: fr; Bewertung: Fortlaufende Evaluation;",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managériales; Lehrer(innen): Davoine; Semester: FS-2026; Niveau: MA; Sprache: fr; Bewertung: Fortlaufende Evaluation und schriftliche Prüfung; ECTS: 4.5\n- Cod",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4.5 |\n| EGE.00453 | Collaborative Value Creation in Ecosystems | Hilb | FS-2026 | MA | en | Fortlaufende Evaluation | 4.5 |\n| EEP.00518 | Organisation",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en | Fortlaufende Evaluation | 3 |\n| EGE.00255 | Nouveaux trends de l'innovation | Fauchart | FS-2026 | MA | fr | Fortlaufende Evaluation | 4.5 |\n| E",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"a11887e2ddf0e048b0446c6bb3c79526bf350234::semantic_table::chunk::0014", "chunk_type": "table", "section": "Stand des Kursangebots", "page_start": 1, "page_end": 1, "chunk_pages": [1], "contains_table": true, "block_kinds": ["table"], "prev_chunk_id": "a11887e2ddf0e048b0446c6bb3c79526bf350234::semantic_table::chunk::0013", "next_chunk_id": "a11887e2ddf0e048b0446c6bb3c79526bf350234::semantic_table::chunk::0015",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"EGE.00194 | Intercultural Management | Davoine | HS-2025 | MA | en | Schriftliche Prüfung | 4.5 |\n| EGE.00045 | Organization Behavior | von Wittich | HS-2025 | MA | en | Fortlaufende | 4.5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"a11887e2ddf0e048b0446c6bb3c79526bf350234::semantic_table::chunk::0015", "chunk_type": "table", "section": "Stand des Kursangebots", "page_start": 1, "page_end": 1, "chunk_pages": [1], "contains_table": true, "block_kinds": ["table"], "prev_chunk_id": "a11887e2ddf0e048b0446c6bb3c79526bf350234::semantic_table::chunk::0014", "next_chunk_id": "a11887e2ddf0e048b0446c6bb3c79526bf350234::semantic_table::chunk::0016",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"Section: Stand des Kursangebots\n\nTable rows:\n- Code: EGE.00257; Lehreinheit: Winning Consulting Projects; Lehrer(innen): Thom; Semester: FS-2026; Niveau: MA; Sprache: en; Bewertung: Fortlaufende Evaluation; ECTS: 3\n- Code: EEP.00127; Lehreinheit: Business and Human Rights; Lehrer(innen): Umlas; Semester: HS-2025; Niveau: MA; Sprache: en; Bewertung: Fortlaufende Evaluation; ECTS: 3\n- Code: EGE.00282; Lehreinheit: MAN05D: Human Resource Management; Lehrer(innen): Gmür; Semester: HS-2025; Niveau: B",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"a11887e2ddf0e048b0446c6bb3c79526bf350234::semantic_table::chunk::0017", "chunk_type": "table", "section": "Stand des Kursangebots", "page_start": 1, "page_end": 1, "chunk_pages": [1], "contains_table": true, "block_kinds": ["table"], "prev_chunk_id": "a11887e2ddf0e048b0446c6bb3c79526bf350234::semantic_table::chunk::0016", "next_chunk_id": "a11887e2ddf0e048b0446c6bb3c79526bf350234::semantic_table::chunk::0018",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"einheit: Management des ressources humaines et matérielles dans les organisations à but non lucratif; Lehrer(innen): Gmür; Semester: HS-2025; Niveau: MA; Sprache: fr; Bewertung: Fortlaufende Evaluation und schriftliche Prüfung; ECTS: 4.5\n- Code: EGE.00483; Lehreinheit: Ethical Leadership and Organizational Culture; Lehrer(innen): Gonin; Semester: FS-2026; Niveau: MA; Sprache: en; Bewertung: Fortlaufende Evaluation; ECTS: 4.5\n- Code: EGE.00487; Lehreinheit: Organizational Resilience of Multinatio",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"a11887e2ddf0e048b0446c6bb3c79526bf350234::semantic_table::chunk::0018", "chunk_type": "table", "section": "Stand des Kursangebots", "page_start": 1, "page_end": 1, "chunk_pages": [1], "contains_table": true, "block_kinds": ["table"], "prev_chunk_id": "a11887e2ddf0e048b0446c6bb3c79526bf350234::semantic_table::chunk::0017", "next_chunk_id": "a11887e2ddf0e048b0446c6bb3c79526bf350234::semantic_table::chunk::0019",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t>
  </si>
  <si>
    <t>Master_30_a11887e2ddf0e048b0446c6bb3c79526bf350234.txt</t>
  </si>
  <si>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4</t>
  </si>
  <si>
    <t>What skills are learned in the Mathmatics program?</t>
  </si>
  <si>
    <t>summary/list of skills earned</t>
  </si>
  <si>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</si>
  <si>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</si>
  <si>
    <t>[{"source": null,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FS-2026 | MA | en | Schriftliche Prüfung | 4.5 |\n| EGE.00255 | Nouveaux trends de l'innovation | Fauchart | FS-2026 | MA | fr | Fortlaufende | 4.5 |\n|",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for up to max 18 ECTS Wahlmodul: Spezialisierung - Modul III: Spezialisierung Dieses Modul ermöglicht eine individuelle Vertiefung durch zusätzliche Kur",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"tion; ECTS: 4.5\n- Code: Masterarbeit; Lehreinheit: Masterarbeit; Lehrer(innen): Masterarbeit; Semester: Masterarbeit; Niveau: Masterarbeit; Sprache: Masterarbeit; Bewertung: Masterarbeit; ECTS: Masterarbeit\n- Code: EDK.01671; Lehreinheit: Masterarbeit; Lehrer(innen): Décanat; Semester: FS-2026; Niveau: MA; Bewertung: Fortlaufende Evaluation; ECTS: 27\n- Code: EDK.01671; Lehreinheit: Masterarbeit; Lehrer(innen): Décanat; Semester: HS-2025; Niveau: MA; Bewertung: Fortlaufende Evaluation; ECTS: 27\n\n",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"ac63854b237749c8e734fb8a94f0c163a11510d8::semantic_table::chunk::0020", "chunk_type": "table", "section": "Pflichtmodule (mindestens 45 ECTS insgesamt)", "page_start": 1, "page_end": 1, "chunk_pages": [1], "contains_table": true, "block_kinds": ["table"], "prev_chunk_id": "ac63854b237749c8e734fb8a94f0c163a11510d8::semantic_table::chunk::0019", "next_chunk_id": "ac63854b237749c8e734fb8a94f0c163a11510d8::semantic_table::chunk::0021",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 {"source": null, "page": 1, "snippet": "g - Modul III: Spezialisierung Dieses Modul ermöglicht eine individuelle Vertiefung durch zusätzliche Kurse zur Anwendung der erlernten Methoden. Mögliche | Elective Module: 'Specialisation'. Select courses for up to max 18 ECTS Wahlmodul: Spezialisierung - Modul III: Spezialisierung Dieses Modul ermöglicht eine individuelle Vertiefung durch zusätzliche Kurse zur Anwendung der erlernten Methoden. Mögliche | Elective Module: 'Specialisation'. Select courses for up to max 18 ECTS Wahlmodul: Spezia",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"ac63854b237749c8e734fb8a94f0c163a11510d8::semantic_table::chunk::0022", "chunk_type": "table", "section": "Pflichtmodule (mindestens 45 ECTS insgesamt)", "page_start": 1, "page_end": 1, "chunk_pages": [1], "contains_table": true, "block_kinds": ["table"], "prev_chunk_id": "ac63854b237749c8e734fb8a94f0c163a11510d8::semantic_table::chunk::0021", "next_chunk_id": "ac63854b237749c8e734fb8a94f0c163a11510d8::semantic_table::chunk::0023",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0, "source_intent": "studyplans", "returned_count": 10, "returned_programs": ["Data Analytics &amp; Economics"], "query": "What skills are learned in the Mathmatics program?", "query_language": "en"}], "returned_count": 10}}]</t>
  </si>
  <si>
    <t>Master_90_ac63854b237749c8e734fb8a94f0c163a11510d8.txt</t>
  </si>
  <si>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</si>
  <si>
    <t>de</t>
  </si>
  <si>
    <t>Welche Kurse sind im Studienprogramm Philosophie enthalten?</t>
  </si>
  <si>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</si>
  <si>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</si>
  <si>
    <t>[{"source": null,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Modulen (je 15 ECTS Punkte), in denen bestehende Kenntnisse in lateinischer und griechischer Sprache und Literatur vertieft sowie methodische Grundlage",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Sprache, Literatur und historischem Kontext und führt in die Methoden der Klassischen Philologie ein.\n\nSection: MODUL 1: PROPÄDEUTIK GRIECHISCH (15 ECT",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ENZEN / SOFT SKILLS (12 ECTS)\n\nDieses Modul rundet den Bachelor Studiengang ab durch die Erwerbung von ergänzenden Kompetenzen in Geschichte, Archäologie, Literatur, Sprachen, etc.\n\nSection: 4 Lehrveranstaltungen\n\nFür die Validierung dieses Moduls belegen die Studierenden für insgesamt 12 ECTS-Punkte Lehrveranstaltungen, die sie aus einem oder mehreren der folgenden Studienbereiche auswählen: Geschichte, Archäologie, Literatur, Literaturtheorie, antike Philosophie, Patristik, a",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"991e33011e85c80ce74b56fe4592b6869e64c6fb::semantic_table::chunk::0027", "chunk_type": "semantic", "section": "4 Lehrveranstaltungen", "page_start": 1, "page_end": 1, "chunk_pages": [1], "contains_table": false, "block_kinds": ["text"], "prev_chunk_id": "991e33011e85c80ce74b56fe4592b6869e64c6fb::semantic_table::chunk::0026", "next_chunk_id": "991e33011e85c80ce74b56fe4592b6869e64c6fb::semantic_table::chunk::0028",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Archäologie, Literatur, Literaturtheorie, antike Philosophie, Patristik, alte Sprachen (Koptisch, Syrisch, Ägyptisch, …), Ägyptologie, Latein der Renaissance, Rezeption der Antike.\n\nSection: DIE EVALUATION\n\n̈\n\nSection: DIE EVALUATION\n\nDieser Studienplan stu tzt sich auf die Richtlinien u ber die Evaluation der Studienleistungen, die Vergabe der ECTS-Punkte und die Validierung der Module an der Philosophischen Fakulta t der Universita t Freiburg (Schweiz). In jeder Lehrveranstal",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"991e33011e85c80ce74b56fe4592b6869e64c6fb::semantic_table::chunk::0028", "chunk_type": "semantic", "section": "DIE EVALUATION", "page_start": 1, "page_end": 1, "chunk_pages": [1], "contains_table": false, "block_kinds": ["text"], "prev_chunk_id": "991e33011e85c80ce74b56fe4592b6869e64c6fb::semantic_table::chunk::0027", "next_chunk_id": "991e33011e85c80ce74b56fe4592b6869e64c6fb::semantic_table::chunk::0029",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t>
  </si>
  <si>
    <t>Bachelor_120_991e33011e85c80ce74b56fe4592b6869e64c6fb.txt</t>
  </si>
  <si>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</si>
  <si>
    <t>fr</t>
  </si>
  <si>
    <t>Quel est la langue d'enseignement du bachelor en informatique de gestion?</t>
  </si>
  <si>
    <t xml:space="preserve">explanation of bilingualism </t>
  </si>
  <si>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 Bachelor_60_de187ddb3891357b61d0665e5a4f0f2bc5bfd0bf.txt; Bachelor_60_de187ddb3891357b61d0665e5a4f0f2bc5bfd0bf.txt</t>
  </si>
  <si>
    <t>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9. [studyplans] Bachelor_60_de187ddb3891357b61d0665e5a4f0f2bc5bfd0bf.txt p.1 - Section: Studienjahr 2025/2026 Table rows: - ÜBERSICHTEN BA DaF [60] ab HS 2025: Was ist wann bei wem im Angebot? Eine praktische Hilfe zur inhaltlichen und zeitlichen Planung des DaF-Studiums; 18: 18 - ÜBERSICHTEN BA Da
10. [studyplans] Bachelor_60_de187ddb3891357b61d0665e5a4f0f2bc5bfd0bf.txt p.1 - Section: ORGANISATION IHRES STUDIUMS IM BA DaF [60] &gt; Modul 4: Table rows: - 1.Sem.: 2.Sem.; HS 25: FS 26; M1: M1; M2: M2; M3 incl. VL: M3 - 1.Sem.: 3.Sem.; HS 25: HS 26; M1: M1; M2: M2 incl. VL; M3 incl. VL: M3 - 1.Sem.</t>
  </si>
  <si>
    <t>[{"source": null,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1 - 6: Stage linguistique Peut être effectué à l'inter-semestre; Semestres 1 - 6: Stage linguistique Peut être effectué à l'inter-semestre\n- column_1: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Semestres 1 - 6: 1 ou 2 travaux (selon plan d'études); Semestres 1 - 6: 1 ou 2 travaux (selon plan d'études); Semestres 1 - 6: 1 ou 2 travaux (selon plan",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ou 4 séminaires (selon plan d'études) | 3 ou 4 séminaires (selon plan d'études) | 3 ou 4 séminaires (selon plan d'études) | 3 ou 4 séminaires (selon pl",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Séminaire; Mercredi: Linguistique : Séminaire; Vendredi: Interculturel : Séminaire\n- column_1: 15-17; Mardi: Didactique : Séminaire; Mercredi: Linguis",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Linguistique : Séminaire; Vendredi: Interculturel : Cours\n- column_1: 15-17\n- column_1: 17-19; Mardi: Linguistique : Cours; Mercredi: Accompagnement",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"Section: Studienjahr 2025/2026\n\nTable rows:\n- WILLKOMMEN IM DAF-STUDIUM!: ERSTE SCHRITTE; 4: 5\n- WILLKOMMEN IM DAF-STUDIUM!: Sich informieren; 4: 5\n- WILLKOMMEN IM DAF-STUDIUM!: Veranstaltungen vor Semesterbeginn; 4: 5\n- WILLKOMMEN IM DAF-STUDIUM!: Informationsmaterial; 4: 5\n- WILLKOMMEN IM DAF-STUDIUM!: Ansprechpersonen; 4: 5\n- WILLKOMMEN IM DAF-STUDIUM!: Studium planen; 4: 5\n- WILLKOMMEN IM DAF-STUDIUM!: Vorlesungszeiten und vorlesungsfreie Tage; 4: 6\n- WILLKOMMEN IM DAF-STUDIUM!: Studienberat",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"de187ddb3891357b61d0665e5a4f0f2bc5bfd0bf::semantic_table::chunk::0002", "chunk_type": "table", "section": "Studienjahr 2025/2026", "page_start": 1, "page_end": 1, "chunk_pages": [1], "contains_table": true, "block_kinds": ["table"], "prev_chunk_id": "de187ddb3891357b61d0665e5a4f0f2bc5bfd0bf::semantic_table::chunk::0001", "next_chunk_id": "de187ddb3891357b61d0665e5a4f0f2bc5bfd0bf::semantic_table::chunk::0003",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 ORGANISATION IHRES STUDIUMS IM BA DaF [60]; 4: 12\n- WILLKOMMEN IM DAF-STUDIUM!: Empfohlener Studienaufbau über 3 Jahre bei Beginn im HS25; 4: 12\n- WILLKOMMEN IM DAF-STUDIUM!: Empfohlener Studienaufbau bei Beginn im FS26; 4: 13\n- WILLKOMMEN IM DAF-STUDIUM!: Empfohlener Studienaufbau über 2 Jahre, Beginn HS25; 4: 14\n- WILLKOMMEN IM DAF-STUDIUM!: SCHRIFTLICHE ARBEIT (SEMINARARBEIT) IM BA DAF (60); 4: 15\n- WILLKOMMEN IM DAF-STUDIUM!: Inhalte und Ziele der Seminararbeit; 4: 15\n- WILLKOMMEN IM DAF-S",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"de187ddb3891357b61d0665e5a4f0f2bc5bfd0bf::semantic_table::chunk::0003", "chunk_type": "table", "section": "Studienjahr 2025/2026", "page_start": 1, "page_end": 1, "chunk_pages": [1], "contains_table": true, "block_kinds": ["table"], "prev_chunk_id": "de187ddb3891357b61d0665e5a4f0f2bc5bfd0bf::semantic_table::chunk::0002", "next_chunk_id": "de187ddb3891357b61d0665e5a4f0f2bc5bfd0bf::semantic_table::chunk::0004",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"ON IHRES STUDIUMS IM BA DaF [60] | 12 |\n| Empfohlener Studienaufbau über 3 Jahre bei Beginn im HS25 | 12 |\n| Empfohlener Studienaufbau bei Beginn im FS26 | 13 |\n| Empfohlener Studienaufbau über 2 Jahre, Beginn HS25 | 14 |\n| SCHRIFTLICHE ARBEIT (SEMINARARBEIT) IM BA DAF (60) | 15 |\n| Inhalte und Ziele der Seminararbeit | 15 |\n| Informationen zur Seminararbeit | 15 |",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"de187ddb3891357b61d0665e5a4f0f2bc5bfd0bf::semantic_table::chunk::0004", "chunk_type": "table", "section": "Studienjahr 2025/2026", "page_start": 1, "page_end": 1, "chunk_pages": [1], "contains_table": true, "block_kinds": ["table"], "prev_chunk_id": "de187ddb3891357b61d0665e5a4f0f2bc5bfd0bf::semantic_table::chunk::0003", "next_chunk_id": "de187ddb3891357b61d0665e5a4f0f2bc5bfd0bf::semantic_table::chunk::0005",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"Section: Studienjahr 2025/2026\n\nTable rows:\n- ÜBERSICHTEN BA DaF [60] ab HS 2025: Was ist wann bei wem im Angebot? Eine praktische Hilfe zur inhaltlichen und zeitlichen Planung des DaF-Studiums; 18: 18\n- ÜBERSICHTEN BA DaF [60] ab HS 2025: Wochenplanung Herbstsemester 2025; 18: 20\n- ÜBERSICHTEN BA DaF [60] ab HS 2025: Wochenplanung Frühjahrssemester 2026; 18: 20\n\nRaw table:\n| ÜBERSICHTEN BA DaF [60] ab HS 2025 | 18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"de187ddb3891357b61d0665e5a4f0f2bc5bfd0bf::semantic_table::chunk::0006", "chunk_type": "table", "section": "Studienjahr 2025/2026", "page_start": 1, "page_end": 1, "chunk_pages": [1], "contains_table": true, "block_kinds": ["table"], "prev_chunk_id": "de187ddb3891357b61d0665e5a4f0f2bc5bfd0bf::semantic_table::chunk::0005", "next_chunk_id": "de187ddb3891357b61d0665e5a4f0f2bc5bfd0bf::semantic_table::chunk::0007",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 {"source": null, "page": 1, "snippet": "Section: ORGANISATION IHRES STUDIUMS IM BA DaF [60] &gt; Modul 4:\n\nTable rows:\n- 1.Sem.: 2.Sem.; HS 25: FS 26; M1: M1; M2: M2; M3 incl. VL: M3\n- 1.Sem.: 3.Sem.; HS 25: HS 26; M1: M1; M2: M2 incl. VL; M3 incl. VL: M3\n- 1.Sem.: 4.Sem.; HS 25: FS 27; M1: M1; M2: M2; M3 incl. VL: M3; column_6: M4\n- 1.Sem.: 5.Sem.; HS 25: HS 27; M3 incl. VL: M3; column_6: M4\n- 1.Sem.: 6.Sem.; HS 25: FS 28; M3 incl. VL: M3; column_6: M4\n\nRaw table:\n| 1.Sem. | HS 25 | M1 | M2 | M3 incl. VL |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"de187ddb3891357b61d0665e5a4f0f2bc5bfd0bf::semantic_table::chunk::0040", "chunk_type": "table", "section": "ORGANISATION IHRES STUDIUMS IM BA DaF [60] &gt; Modul 4:", "page_start": 1, "page_end": 1, "chunk_pages": [1], "contains_table": true, "block_kinds": ["table"], "prev_chunk_id": "de187ddb3891357b61d0665e5a4f0f2bc5bfd0bf::semantic_table::chunk::0039", "next_chunk_id": "de187ddb3891357b61d0665e5a4f0f2bc5bfd0bf::semantic_table::chunk::0041", "rag_source": "studyplans", "category": "studyplans", "retrieval_debug":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0, "source_intent": "base_data", "returned_count": 10, "returned_programs": ["German as a Foreign Language"], "query": "Quel est la langue d'enseignement du bachelor en informatique de gestion?", "query_language": "fr"}], "returned_count": 10}}]</t>
  </si>
  <si>
    <t>Bachelor_60_0db1ecc33192dca3d59fdf22e534a0faf17d221c.txt</t>
  </si>
  <si>
    <t xml:space="preserve">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 </t>
  </si>
  <si>
    <t>reglementation</t>
  </si>
  <si>
    <t>What does the reglementation say about quality assurance at the university of friburg?</t>
  </si>
  <si>
    <t>summary of https://webapps.unifr.ch/legal/de/110.000</t>
  </si>
  <si>
    <t>RAG</t>
  </si>
  <si>
    <t>regl vectorstore</t>
  </si>
  <si>
    <t>reglementations</t>
  </si>
  <si>
    <t>Bachelor_60_1d036b4e5f656b65bcfa7a6121fb5095582bb706.txt; Bachelor_60_1d036b4e5f656b65bcfa7a6121fb5095582bb706.txt;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t>
  </si>
  <si>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4.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
5. [studyplans] Bachelor_60_474591eeaefa6c5efdc21f30ddab4db20843f774.txt p.1 - Section: Abgabe - Archivierung - Veröffentlichung der wissenschaftlichen Abschlussarbeiten Table rows: - Doktorat: Abgabe; column_2: 1 PDF über MyUnifr 1 ; 5 gebundene (oder broschierte) Exemplare an das Dekanat (vgl. Re
6. [studyplans] Bachelor_60_474591eeaefa6c5efdc21f30ddab4db20843f774.txt p.1 - ----------------------------------------------------------------------------------------------------------------------------------------------------------------------------------------------------------------------------
7. [studyplans] Bachelor_60_474591eeaefa6c5efdc21f30ddab4db20843f774.txt p.1 - Section: Abgabe - Archivierung - Veröffentlichung der wissenschaftlichen Abschlussarbeiten &gt; 2 Gemäss Fakultätsbeschluss vom 11.12.2018 Table rows: - Habilitation: Abgabe; column_2: 1 elektronisches Dokument PDF 1 ; 4 ge
8. [studyplans] Bachelor_60_474591eeaefa6c5efdc21f30ddab4db20843f774.txt p.1 - ichtexemplare 3 | a) bei Veröffentlichung über einen Verlag : 8 Ex des gedruckten Buches an die Kantons- und Universitätsbibliothek https://www3.unifr.ch/biblio/de/ (davon sind: 3 Ex. für die Mitglieder der Jury, 1 Ex. f
9. [studyplans] Bachelor_60_474591eeaefa6c5efdc21f30ddab4db20843f774.txt p.1 - Section: Abgabe - Archivierung - Veröffentlichung der wissenschaftlichen Abschlussarbeiten &gt; 2 Gemäss Fakultätsbeschluss vom 11.12.2018 | Einband | Grundsätzlich gilt: Die zur Archivierung bestimmten Exemplare dürfen kei
10. [studyplans] Bachelor_60_474591eeaefa6c5efdc21f30ddab4db20843f774.txt p.1 - Section: Ehrenwörtliche Erklärung Table rows: - Prüfungs- und Diplomgebühren 4: Prüfungs- und Diplomgebühren 4; fällig bei der Abgabe der schriftlichen Arbeit, per Banküberweisung zu bezahlen (direkt über MyUnifr): Vollp</t>
  </si>
  <si>
    <t>[{"source": null,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Variable configurations; 3: 7\n- PREFACE: ACTING AND INTERACTING IN SITU; 3: 8\n- PREFACE: Progressing by managing instability; 3: 8\n- PREFACE: Having",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"ocuments; 3: 22\n- PREFACE: Tools; 3: 23\n- PREFACE: NOTES; 3: 24\n\nRaw table:\n| PREFACE | 3 |\n|--------------------------------------------------------------|-----|\n| CONDITIONSANDMEASURESTO FACILITATE DOCTORAL JOURNEY | 4 |\n| INDIVIDUAL CHARACTERISTICS AND CONTEXTUAL FACTORS | 5 |\n| Individual characteristics | 5 |\n| Organizational context | 6 |\n| Socio-professional environment | 6 |\n| Personal circle | 7 |\n| Variable configurations | 7 |\n| ACTING AND INTERACTING IN SITU | 8 |\n| Progressing by ma",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Bachelor |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Master, Diplom, Kan. Lizentiat: Abgabe; column_2: 1 PDF über MyUnifr 1 ; 3 gebundene Exemplare in Papierform an das Dekanat (davon je 1 Ex. für die zwei Zensoren); keine Spiralbindung\n- Master, Diplom, Kan. Lizentiat: Archivierung; column_2: 1 Exemplar in der Kantons- und Universitätsbibliothek (KUB)\n- Master, Diplom, Kan. Lizentiat: Veröffentlichung; column_2: Wenn die Arbeit mit der Mindes",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"474591eeaefa6c5efdc21f30ddab4db20843f774::semantic_table::chunk::0002", "chunk_type": "table", "section": "Abgabe - Archivierung - Veröffentlichung der wissenschaftlichen Abschlussarbeiten", "page_start": 1, "page_end": 1, "chunk_pages": [1], "contains_table": true, "block_kinds": ["table"], "prev_chunk_id": "474591eeaefa6c5efdc21f30ddab4db20843f774::semantic_table::chunk::0001", "next_chunk_id": "474591eeaefa6c5efdc21f30ddab4db20843f774::semantic_table::chunk::0003",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Abschlussarbeiten\n\nTable rows:\n- Doktorat: Abgabe; column_2: 1 PDF über MyUnifr 1 ; 5 gebundene (oder broschierte) Exemplare an das Dekanat (vgl. Reglement vom 17.12.1996), recto-verso gedruckt; keine Spiralbindung\n- Doktorat: Umfang; column_2: 200-300 Seiten mit 2'500 Zeichen/Seite; d.h. insges. 500'000-750'000 Zeichen (ohne Leerschläge)\n- Doktorat: Veröffentlichung; column_2: als gedrucktes Buch oder durch rero-doc oder i",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"474591eeaefa6c5efdc21f30ddab4db20843f774::semantic_table::chunk::0003", "chunk_type": "table", "section": "Abgabe - Archivierung - Veröffentlichung der wissenschaftlichen Abschlussarbeiten", "page_start": 1, "page_end": 1, "chunk_pages": [1], "contains_table": true, "block_kinds": ["table"], "prev_chunk_id": "474591eeaefa6c5efdc21f30ddab4db20843f774::semantic_table::chunk::0002", "next_chunk_id": "474591eeaefa6c5efdc21f30ddab4db20843f774::semantic_table::chunk::0004",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n| Abgabe | 1 PDF über MyUnifr 1 ; 5 gebundene (oder broschierte) Exemplare an das Dekanat (vgl. Reglement vom 17.12.1996), recto-verso",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"474591eeaefa6c5efdc21f30ddab4db20843f774::semantic_table::chunk::0004", "chunk_type": "table", "section": "Abgabe - Archivierung - Veröffentlichung der wissenschaftlichen Abschlussarbeiten", "page_start": 1, "page_end": 1, "chunk_pages": [1], "contains_table": true, "block_kinds": ["table"], "prev_chunk_id": "474591eeaefa6c5efdc21f30ddab4db20843f774::semantic_table::chunk::0003", "next_chunk_id": "474591eeaefa6c5efdc21f30ddab4db20843f774::semantic_table::chunk::0005",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 &gt; 2 Gemäss Fakultätsbeschluss vom 11.12.2018\n\nTable rows:\n- Habilitation: Abgabe; column_2: 1 elektronisches Dokument PDF 1 ; 4 gebundene (oder broschierte) Exemplare an das Dekanat (vgl. geltendes Habilitationsreglement); keine Spiralbindung\n- Habilitation: Veröffentlichung; column_2: als gedrucktes Buch\n- Habilitation: Pflichtexemplare 3; column_2: a) bei Veröffentlichung über einen Verlag : 8 Ex des ged",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"474591eeaefa6c5efdc21f30ddab4db20843f774::semantic_table::chunk::0007",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"474591eeaefa6c5efdc21f30ddab4db20843f774::semantic_table::chunk::0006", "next_chunk_id": "474591eeaefa6c5efdc21f30ddab4db20843f774::semantic_table::chunk::0008",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"ichtexemplare 3 | a) bei Veröffentlichung über einen Verlag : 8 Ex des gedruckten Buches an die Kantons- und Universitätsbibliothek https://www3.unifr.ch/biblio/de/ (davon sind: 3 Ex. für die Mitglieder der Jury, 1 Ex. für das Archiv der Fakultät, 2 Ex. für die KUB, 1 Ex. für die BHT, 1 Ex. für die Nationalbibliothek Bern); b) bei einer Veröffentlichung im Selbstverlag : 15 Ex. an die KUB (davon 8 Ex. wie unter a), die weiteren Exemplare zum Tausch unter Bibliotheken |",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"474591eeaefa6c5efdc21f30ddab4db20843f774::semantic_table::chunk::0008",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"474591eeaefa6c5efdc21f30ddab4db20843f774::semantic_table::chunk::0007", "next_chunk_id": "474591eeaefa6c5efdc21f30ddab4db20843f774::semantic_table::chunk::0009",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Abgabe - Archivierung - Veröffentlichung der wissenschaftlichen Abschlussarbeiten &gt; 2 Gemäss Fakultätsbeschluss vom 11.12.2018\n\n| Einband | Grundsätzlich gilt: Die zur Archivierung bestimmten Exemplare dürfen keine Spiralbindung haben.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"474591eeaefa6c5efdc21f30ddab4db20843f774::semantic_table::chunk::0009",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"474591eeaefa6c5efdc21f30ddab4db20843f774::semantic_table::chunk::0008", "next_chunk_id": "474591eeaefa6c5efdc21f30ddab4db20843f774::semantic_table::chunk::0010",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 {"source": null, "page": 1, "snippet": "Section: Ehrenwörtliche Erklärung\n\nTable rows:\n- Prüfungs- und Diplomgebühren 4: Prüfungs- und Diplomgebühren 4; fällig bei der Abgabe der schriftlichen Arbeit, per Banküberweisung zu bezahlen (direkt über MyUnifr): Vollprogramm; fällig bei der Abgabe der schriftlichen Arbeit, per Banküberweisung zu bezahlen (direkt über MyUnifr): Hauptprogramm; fällig bei der Abgabe der schriftlichen Arbeit, per Banküberweisung zu bezahlen (direkt über MyUnifr): Nebenprogramm\n- Prüfungs- und Diplomgebühren 4: B",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"474591eeaefa6c5efdc21f30ddab4db20843f774::semantic_table::chunk::0011", "chunk_type": "table", "section": "Ehrenwörtliche Erklärung", "page_start": 1, "page_end": 1, "chunk_pages": [1], "contains_table": true, "block_kinds": ["table"], "prev_chunk_id": "474591eeaefa6c5efdc21f30ddab4db20843f774::semantic_table::chunk::0010", "next_chunk_id": "474591eeaefa6c5efdc21f30ddab4db20843f774::semantic_table::chunk::0012", "rag_source": "studyplans", "category": "studyplans", "retrieval_debug":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"retrieval_debug":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10, "returned_programs": ["Theology"], "query": "What does the reglementation say about quality assurance at the university of friburg?", "query_language": "en"}], "returned_count": 10}}]</t>
  </si>
  <si>
    <t>Bachelor_60_1d036b4e5f656b65bcfa7a6121fb5095582bb706.txt</t>
  </si>
  <si>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</si>
  <si>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</si>
  <si>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</si>
  <si>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</si>
  <si>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</si>
  <si>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</si>
  <si>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</si>
  <si>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</si>
  <si>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</si>
  <si>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</si>
  <si>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</si>
  <si>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</si>
  <si>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</si>
  <si>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</si>
  <si>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</si>
  <si>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</si>
  <si>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</si>
  <si>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</si>
  <si>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</si>
  <si>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</si>
  <si>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</si>
  <si>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</si>
  <si>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</si>
  <si>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</si>
  <si>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</si>
  <si>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</si>
  <si>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</si>
  <si>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</si>
  <si>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</si>
  <si>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</si>
  <si>
    <t>now it found all the sources for the estern european studies but thats not the same as history….</t>
  </si>
  <si>
    <t>okay</t>
  </si>
  <si>
    <t>good!</t>
  </si>
  <si>
    <t>still wrong! no specific program!!</t>
  </si>
  <si>
    <t>still data analytics and economics is not math…</t>
  </si>
  <si>
    <t>and Klassische Philologie  is still not philosophie….</t>
  </si>
  <si>
    <t>shoud go to reglementations!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</si>
</sst>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tabSelected="1" topLeftCell="S1" zoomScale="54" workbookViewId="0">
      <pane ySplit="1" topLeftCell="A12" activePane="bottomLeft" state="frozen"/>
      <selection pane="bottomLeft" activeCell="AA12" sqref="AA12"/>
    </sheetView>
  </sheetViews>
  <sheetFormatPr baseColWidth="10" defaultColWidth="9.06640625" defaultRowHeight="14.25" x14ac:dyDescent="0.45"/>
  <cols>
    <col min="1" max="1" width="16" customWidth="1"/>
    <col min="2" max="2" width="28" customWidth="1"/>
    <col min="3" max="6" width="1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5" width="18" customWidth="1"/>
    <col min="16" max="17" width="16" customWidth="1"/>
    <col min="18" max="18" width="28" customWidth="1"/>
    <col min="19" max="19" width="18" customWidth="1"/>
    <col min="20" max="22" width="28" customWidth="1"/>
    <col min="23" max="23" width="55" customWidth="1"/>
    <col min="24" max="24" width="45" customWidth="1"/>
    <col min="25" max="27" width="28" customWidth="1"/>
    <col min="28" max="28" width="55" customWidth="1"/>
    <col min="29" max="40" width="18" customWidth="1"/>
  </cols>
  <sheetData>
    <row r="1" spans="1:40"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09.5" x14ac:dyDescent="0.45">
      <c r="A2" s="2" t="s">
        <v>40</v>
      </c>
      <c r="B2" s="2">
        <v>2</v>
      </c>
      <c r="C2" s="2">
        <v>1</v>
      </c>
      <c r="D2" s="2" t="s">
        <v>41</v>
      </c>
      <c r="E2" s="2" t="s">
        <v>42</v>
      </c>
      <c r="F2" s="2" t="s">
        <v>43</v>
      </c>
      <c r="G2" s="2" t="s">
        <v>44</v>
      </c>
      <c r="H2" s="2" t="s">
        <v>45</v>
      </c>
      <c r="I2" s="2" t="s">
        <v>46</v>
      </c>
      <c r="J2" s="2"/>
      <c r="K2" s="2" t="s">
        <v>47</v>
      </c>
      <c r="L2" s="2"/>
      <c r="M2" s="2"/>
      <c r="N2" s="2">
        <v>200</v>
      </c>
      <c r="O2" s="2">
        <v>1</v>
      </c>
      <c r="P2" s="2">
        <v>52758.26</v>
      </c>
      <c r="Q2" s="2"/>
      <c r="R2" s="2">
        <v>10</v>
      </c>
      <c r="S2" s="2"/>
      <c r="T2" s="2" t="s">
        <v>48</v>
      </c>
      <c r="U2" s="2" t="s">
        <v>49</v>
      </c>
      <c r="V2" s="2" t="s">
        <v>50</v>
      </c>
      <c r="W2" s="2" t="s">
        <v>51</v>
      </c>
      <c r="X2" s="2" t="s">
        <v>52</v>
      </c>
      <c r="Y2" s="2" t="s">
        <v>53</v>
      </c>
      <c r="Z2" s="2" t="s">
        <v>54</v>
      </c>
      <c r="AA2" s="2">
        <v>1</v>
      </c>
      <c r="AB2" s="2" t="s">
        <v>55</v>
      </c>
      <c r="AC2" s="2">
        <v>0</v>
      </c>
      <c r="AD2" s="2">
        <v>0</v>
      </c>
      <c r="AE2" s="2">
        <v>0</v>
      </c>
      <c r="AF2" s="2">
        <v>0</v>
      </c>
      <c r="AG2" s="2">
        <v>0</v>
      </c>
      <c r="AH2" s="2"/>
      <c r="AI2" s="2"/>
      <c r="AJ2" s="2"/>
      <c r="AK2" s="2"/>
      <c r="AL2" s="2"/>
      <c r="AM2" s="2"/>
      <c r="AN2" s="2" t="s">
        <v>168</v>
      </c>
    </row>
    <row r="3" spans="1:40" ht="409.5" x14ac:dyDescent="0.45">
      <c r="A3" s="2" t="s">
        <v>40</v>
      </c>
      <c r="B3" s="2">
        <v>3</v>
      </c>
      <c r="C3" s="2">
        <v>2</v>
      </c>
      <c r="D3" s="2" t="s">
        <v>41</v>
      </c>
      <c r="E3" s="2" t="s">
        <v>57</v>
      </c>
      <c r="F3" s="2" t="s">
        <v>43</v>
      </c>
      <c r="G3" s="2" t="s">
        <v>58</v>
      </c>
      <c r="H3" s="2" t="s">
        <v>59</v>
      </c>
      <c r="I3" s="2" t="s">
        <v>46</v>
      </c>
      <c r="J3" s="2"/>
      <c r="K3" s="2" t="s">
        <v>47</v>
      </c>
      <c r="L3" s="2"/>
      <c r="M3" s="2"/>
      <c r="N3" s="2">
        <v>200</v>
      </c>
      <c r="O3" s="2">
        <v>1</v>
      </c>
      <c r="P3" s="2">
        <v>11233.22</v>
      </c>
      <c r="Q3" s="2"/>
      <c r="R3" s="2">
        <v>10</v>
      </c>
      <c r="S3" s="2"/>
      <c r="T3" s="2" t="s">
        <v>60</v>
      </c>
      <c r="U3" s="2" t="s">
        <v>61</v>
      </c>
      <c r="V3" s="2" t="s">
        <v>62</v>
      </c>
      <c r="W3" s="2" t="s">
        <v>63</v>
      </c>
      <c r="X3" s="2" t="s">
        <v>64</v>
      </c>
      <c r="Y3" s="2" t="s">
        <v>65</v>
      </c>
      <c r="Z3" s="2" t="s">
        <v>66</v>
      </c>
      <c r="AA3" s="2"/>
      <c r="AB3" s="2" t="s">
        <v>67</v>
      </c>
      <c r="AC3" s="2">
        <v>0</v>
      </c>
      <c r="AD3" s="2">
        <v>0</v>
      </c>
      <c r="AE3" s="2">
        <v>0</v>
      </c>
      <c r="AF3" s="2">
        <v>0</v>
      </c>
      <c r="AG3" s="2">
        <v>0</v>
      </c>
      <c r="AH3" s="2"/>
      <c r="AI3" s="2"/>
      <c r="AJ3" s="2"/>
      <c r="AK3" s="2"/>
      <c r="AL3" s="2"/>
      <c r="AM3" s="2"/>
      <c r="AN3" s="2" t="s">
        <v>169</v>
      </c>
    </row>
    <row r="4" spans="1:40" ht="409.5" x14ac:dyDescent="0.45">
      <c r="A4" s="2" t="s">
        <v>40</v>
      </c>
      <c r="B4" s="2">
        <v>4</v>
      </c>
      <c r="C4" s="2">
        <v>3</v>
      </c>
      <c r="D4" s="2" t="s">
        <v>41</v>
      </c>
      <c r="E4" s="2" t="s">
        <v>68</v>
      </c>
      <c r="F4" s="2" t="s">
        <v>43</v>
      </c>
      <c r="G4" s="2" t="s">
        <v>69</v>
      </c>
      <c r="H4" s="2" t="s">
        <v>70</v>
      </c>
      <c r="I4" s="2" t="s">
        <v>46</v>
      </c>
      <c r="J4" s="2"/>
      <c r="K4" s="2" t="s">
        <v>47</v>
      </c>
      <c r="L4" s="2"/>
      <c r="M4" s="2"/>
      <c r="N4" s="2">
        <v>200</v>
      </c>
      <c r="O4" s="2">
        <v>1</v>
      </c>
      <c r="P4" s="2">
        <v>13648.28</v>
      </c>
      <c r="Q4" s="2"/>
      <c r="R4" s="2">
        <v>10</v>
      </c>
      <c r="S4" s="2"/>
      <c r="T4" s="2" t="s">
        <v>71</v>
      </c>
      <c r="U4" s="2" t="s">
        <v>49</v>
      </c>
      <c r="V4" s="2" t="s">
        <v>50</v>
      </c>
      <c r="W4" s="2" t="s">
        <v>72</v>
      </c>
      <c r="X4" s="2" t="s">
        <v>73</v>
      </c>
      <c r="Y4" s="2" t="s">
        <v>74</v>
      </c>
      <c r="Z4" s="2" t="s">
        <v>54</v>
      </c>
      <c r="AA4" s="2">
        <v>1</v>
      </c>
      <c r="AB4" s="2" t="s">
        <v>75</v>
      </c>
      <c r="AC4" s="2">
        <v>0</v>
      </c>
      <c r="AD4" s="2">
        <v>0</v>
      </c>
      <c r="AE4" s="2">
        <v>0</v>
      </c>
      <c r="AF4" s="2">
        <v>0</v>
      </c>
      <c r="AG4" s="2">
        <v>0</v>
      </c>
      <c r="AH4" s="2"/>
      <c r="AI4" s="2"/>
      <c r="AJ4" s="2"/>
      <c r="AK4" s="2"/>
      <c r="AL4" s="2"/>
      <c r="AM4" s="2"/>
      <c r="AN4" s="2" t="s">
        <v>170</v>
      </c>
    </row>
    <row r="5" spans="1:40" ht="409.5" x14ac:dyDescent="0.45">
      <c r="A5" s="2" t="s">
        <v>40</v>
      </c>
      <c r="B5" s="2">
        <v>5</v>
      </c>
      <c r="C5" s="2">
        <v>4</v>
      </c>
      <c r="D5" s="2" t="s">
        <v>76</v>
      </c>
      <c r="E5" s="2" t="s">
        <v>42</v>
      </c>
      <c r="F5" s="2" t="s">
        <v>43</v>
      </c>
      <c r="G5" s="2" t="s">
        <v>77</v>
      </c>
      <c r="H5" s="2" t="s">
        <v>78</v>
      </c>
      <c r="I5" s="2" t="s">
        <v>46</v>
      </c>
      <c r="J5" s="2"/>
      <c r="K5" s="2" t="s">
        <v>79</v>
      </c>
      <c r="L5" s="2"/>
      <c r="M5" s="2" t="s">
        <v>66</v>
      </c>
      <c r="N5" s="2">
        <v>200</v>
      </c>
      <c r="O5" s="2">
        <v>1</v>
      </c>
      <c r="P5" s="2">
        <v>14382.29</v>
      </c>
      <c r="Q5" s="2"/>
      <c r="R5" s="2">
        <v>10</v>
      </c>
      <c r="S5" s="2"/>
      <c r="T5" s="2" t="s">
        <v>80</v>
      </c>
      <c r="U5" s="2" t="s">
        <v>49</v>
      </c>
      <c r="V5" s="2" t="s">
        <v>50</v>
      </c>
      <c r="W5" s="2" t="s">
        <v>81</v>
      </c>
      <c r="X5" s="2" t="s">
        <v>82</v>
      </c>
      <c r="Y5" s="2" t="s">
        <v>83</v>
      </c>
      <c r="Z5" s="2" t="s">
        <v>54</v>
      </c>
      <c r="AA5" s="2">
        <v>1</v>
      </c>
      <c r="AB5" s="2" t="s">
        <v>84</v>
      </c>
      <c r="AC5" s="2">
        <v>0</v>
      </c>
      <c r="AD5" s="2">
        <v>0</v>
      </c>
      <c r="AE5" s="2">
        <v>0</v>
      </c>
      <c r="AF5" s="2">
        <v>0</v>
      </c>
      <c r="AG5" s="2">
        <v>0</v>
      </c>
      <c r="AH5" s="2"/>
      <c r="AI5" s="2"/>
      <c r="AJ5" s="2"/>
      <c r="AK5" s="2"/>
      <c r="AL5" s="2"/>
      <c r="AM5" s="2"/>
      <c r="AN5" s="2" t="s">
        <v>171</v>
      </c>
    </row>
    <row r="6" spans="1:40" ht="409.5" x14ac:dyDescent="0.45">
      <c r="A6" s="2" t="s">
        <v>40</v>
      </c>
      <c r="B6" s="2">
        <v>6</v>
      </c>
      <c r="C6" s="2">
        <v>5</v>
      </c>
      <c r="D6" s="2" t="s">
        <v>76</v>
      </c>
      <c r="E6" s="2" t="s">
        <v>68</v>
      </c>
      <c r="F6" s="2" t="s">
        <v>43</v>
      </c>
      <c r="G6" s="2" t="s">
        <v>85</v>
      </c>
      <c r="H6" s="2" t="s">
        <v>86</v>
      </c>
      <c r="I6" s="2" t="s">
        <v>46</v>
      </c>
      <c r="J6" s="2"/>
      <c r="K6" s="2" t="s">
        <v>79</v>
      </c>
      <c r="L6" s="2"/>
      <c r="M6" s="2" t="s">
        <v>66</v>
      </c>
      <c r="N6" s="2">
        <v>200</v>
      </c>
      <c r="O6" s="2">
        <v>1</v>
      </c>
      <c r="P6" s="2">
        <v>8305.64</v>
      </c>
      <c r="Q6" s="2"/>
      <c r="R6" s="2">
        <v>10</v>
      </c>
      <c r="S6" s="2"/>
      <c r="T6" s="2" t="s">
        <v>87</v>
      </c>
      <c r="U6" s="2" t="s">
        <v>61</v>
      </c>
      <c r="V6" s="2" t="s">
        <v>62</v>
      </c>
      <c r="W6" s="2" t="s">
        <v>88</v>
      </c>
      <c r="X6" s="2" t="s">
        <v>89</v>
      </c>
      <c r="Y6" s="2" t="s">
        <v>90</v>
      </c>
      <c r="Z6" s="2" t="s">
        <v>66</v>
      </c>
      <c r="AA6" s="2"/>
      <c r="AB6" s="2" t="s">
        <v>91</v>
      </c>
      <c r="AC6" s="2">
        <v>1</v>
      </c>
      <c r="AD6" s="2">
        <v>1</v>
      </c>
      <c r="AE6" s="2">
        <v>1</v>
      </c>
      <c r="AF6" s="2">
        <v>1</v>
      </c>
      <c r="AG6" s="2">
        <v>1</v>
      </c>
      <c r="AH6" s="2"/>
      <c r="AI6" s="2"/>
      <c r="AJ6" s="2"/>
      <c r="AK6" s="2"/>
      <c r="AL6" s="2"/>
      <c r="AM6" s="2"/>
      <c r="AN6" s="2" t="s">
        <v>56</v>
      </c>
    </row>
    <row r="7" spans="1:40" ht="409.5" x14ac:dyDescent="0.45">
      <c r="A7" s="2" t="s">
        <v>40</v>
      </c>
      <c r="B7" s="2">
        <v>7</v>
      </c>
      <c r="C7" s="2">
        <v>6</v>
      </c>
      <c r="D7" s="2" t="s">
        <v>41</v>
      </c>
      <c r="E7" s="2" t="s">
        <v>57</v>
      </c>
      <c r="F7" s="2" t="s">
        <v>43</v>
      </c>
      <c r="G7" s="2" t="s">
        <v>92</v>
      </c>
      <c r="H7" s="2" t="s">
        <v>93</v>
      </c>
      <c r="I7" s="2" t="s">
        <v>46</v>
      </c>
      <c r="J7" s="2"/>
      <c r="K7" s="2" t="s">
        <v>47</v>
      </c>
      <c r="L7" s="2"/>
      <c r="M7" s="2" t="s">
        <v>66</v>
      </c>
      <c r="N7" s="2">
        <v>200</v>
      </c>
      <c r="O7" s="2">
        <v>1</v>
      </c>
      <c r="P7" s="2">
        <v>19540.45</v>
      </c>
      <c r="Q7" s="2"/>
      <c r="R7" s="2">
        <v>10</v>
      </c>
      <c r="S7" s="2"/>
      <c r="T7" s="2" t="s">
        <v>94</v>
      </c>
      <c r="U7" s="2" t="s">
        <v>49</v>
      </c>
      <c r="V7" s="2" t="s">
        <v>50</v>
      </c>
      <c r="W7" s="2" t="s">
        <v>95</v>
      </c>
      <c r="X7" s="2" t="s">
        <v>96</v>
      </c>
      <c r="Y7" s="2" t="s">
        <v>97</v>
      </c>
      <c r="Z7" s="2" t="s">
        <v>54</v>
      </c>
      <c r="AA7" s="2">
        <v>1</v>
      </c>
      <c r="AB7" s="2" t="s">
        <v>98</v>
      </c>
      <c r="AC7" s="2">
        <v>0</v>
      </c>
      <c r="AD7" s="2">
        <v>0</v>
      </c>
      <c r="AE7" s="2">
        <v>0</v>
      </c>
      <c r="AF7" s="2">
        <v>0</v>
      </c>
      <c r="AG7" s="2">
        <v>0</v>
      </c>
      <c r="AH7" s="2"/>
      <c r="AI7" s="2"/>
      <c r="AJ7" s="2"/>
      <c r="AK7" s="2"/>
      <c r="AL7" s="2"/>
      <c r="AM7" s="2"/>
      <c r="AN7" s="2" t="s">
        <v>56</v>
      </c>
    </row>
    <row r="8" spans="1:40" ht="409.5" x14ac:dyDescent="0.45">
      <c r="A8" s="2" t="s">
        <v>40</v>
      </c>
      <c r="B8" s="2">
        <v>8</v>
      </c>
      <c r="C8" s="2">
        <v>7</v>
      </c>
      <c r="D8" s="2" t="s">
        <v>41</v>
      </c>
      <c r="E8" s="2" t="s">
        <v>68</v>
      </c>
      <c r="F8" s="2" t="s">
        <v>43</v>
      </c>
      <c r="G8" s="2" t="s">
        <v>99</v>
      </c>
      <c r="H8" s="2" t="s">
        <v>100</v>
      </c>
      <c r="I8" s="2" t="s">
        <v>46</v>
      </c>
      <c r="J8" s="2"/>
      <c r="K8" s="2" t="s">
        <v>47</v>
      </c>
      <c r="L8" s="2"/>
      <c r="M8" s="2"/>
      <c r="N8" s="2">
        <v>200</v>
      </c>
      <c r="O8" s="2">
        <v>1</v>
      </c>
      <c r="P8" s="2">
        <v>10477.24</v>
      </c>
      <c r="Q8" s="2"/>
      <c r="R8" s="2">
        <v>10</v>
      </c>
      <c r="S8" s="2"/>
      <c r="T8" s="2" t="s">
        <v>101</v>
      </c>
      <c r="U8" s="2" t="s">
        <v>49</v>
      </c>
      <c r="V8" s="2" t="s">
        <v>50</v>
      </c>
      <c r="W8" s="2" t="s">
        <v>102</v>
      </c>
      <c r="X8" s="2" t="s">
        <v>103</v>
      </c>
      <c r="Y8" s="2" t="s">
        <v>104</v>
      </c>
      <c r="Z8" s="2" t="s">
        <v>54</v>
      </c>
      <c r="AA8" s="2">
        <v>1</v>
      </c>
      <c r="AB8" s="2" t="s">
        <v>105</v>
      </c>
      <c r="AC8" s="2">
        <v>0</v>
      </c>
      <c r="AD8" s="2">
        <v>0</v>
      </c>
      <c r="AE8" s="2">
        <v>0</v>
      </c>
      <c r="AF8" s="2">
        <v>0</v>
      </c>
      <c r="AG8" s="2">
        <v>0</v>
      </c>
      <c r="AH8" s="2"/>
      <c r="AI8" s="2"/>
      <c r="AJ8" s="2"/>
      <c r="AK8" s="2"/>
      <c r="AL8" s="2"/>
      <c r="AM8" s="2"/>
      <c r="AN8" s="2" t="s">
        <v>56</v>
      </c>
    </row>
    <row r="9" spans="1:40" ht="409.5" x14ac:dyDescent="0.45">
      <c r="A9" s="2" t="s">
        <v>40</v>
      </c>
      <c r="B9" s="2">
        <v>9</v>
      </c>
      <c r="C9" s="2">
        <v>8</v>
      </c>
      <c r="D9" s="2" t="s">
        <v>41</v>
      </c>
      <c r="E9" s="2" t="s">
        <v>68</v>
      </c>
      <c r="F9" s="2" t="s">
        <v>43</v>
      </c>
      <c r="G9" s="2" t="s">
        <v>106</v>
      </c>
      <c r="H9" s="2" t="s">
        <v>107</v>
      </c>
      <c r="I9" s="2" t="s">
        <v>46</v>
      </c>
      <c r="J9" s="2"/>
      <c r="K9" s="2" t="s">
        <v>47</v>
      </c>
      <c r="L9" s="2"/>
      <c r="M9" s="2"/>
      <c r="N9" s="2">
        <v>200</v>
      </c>
      <c r="O9" s="2">
        <v>1</v>
      </c>
      <c r="P9" s="2">
        <v>11676.85</v>
      </c>
      <c r="Q9" s="2"/>
      <c r="R9" s="2">
        <v>10</v>
      </c>
      <c r="S9" s="2"/>
      <c r="T9" s="2" t="s">
        <v>108</v>
      </c>
      <c r="U9" s="2" t="s">
        <v>49</v>
      </c>
      <c r="V9" s="2" t="s">
        <v>50</v>
      </c>
      <c r="W9" s="2" t="s">
        <v>109</v>
      </c>
      <c r="X9" s="2" t="s">
        <v>110</v>
      </c>
      <c r="Y9" s="2" t="s">
        <v>111</v>
      </c>
      <c r="Z9" s="2" t="s">
        <v>54</v>
      </c>
      <c r="AA9" s="2">
        <v>1</v>
      </c>
      <c r="AB9" s="2" t="s">
        <v>112</v>
      </c>
      <c r="AC9" s="2">
        <v>0</v>
      </c>
      <c r="AD9" s="2">
        <v>0</v>
      </c>
      <c r="AE9" s="2">
        <v>0</v>
      </c>
      <c r="AF9" s="2">
        <v>0</v>
      </c>
      <c r="AG9" s="2">
        <v>0</v>
      </c>
      <c r="AH9" s="2"/>
      <c r="AI9" s="2"/>
      <c r="AJ9" s="2"/>
      <c r="AK9" s="2"/>
      <c r="AL9" s="2"/>
      <c r="AM9" s="2"/>
      <c r="AN9" s="2" t="s">
        <v>172</v>
      </c>
    </row>
    <row r="10" spans="1:40" ht="409.5" x14ac:dyDescent="0.45">
      <c r="A10" s="2" t="s">
        <v>40</v>
      </c>
      <c r="B10" s="2">
        <v>10</v>
      </c>
      <c r="C10" s="2">
        <v>9</v>
      </c>
      <c r="D10" s="2" t="s">
        <v>41</v>
      </c>
      <c r="E10" s="2" t="s">
        <v>68</v>
      </c>
      <c r="F10" s="2" t="s">
        <v>113</v>
      </c>
      <c r="G10" s="2" t="s">
        <v>114</v>
      </c>
      <c r="H10" s="2" t="s">
        <v>70</v>
      </c>
      <c r="I10" s="2" t="s">
        <v>46</v>
      </c>
      <c r="J10" s="2"/>
      <c r="K10" s="2" t="s">
        <v>47</v>
      </c>
      <c r="L10" s="2"/>
      <c r="M10" s="2"/>
      <c r="N10" s="2">
        <v>200</v>
      </c>
      <c r="O10" s="2">
        <v>1</v>
      </c>
      <c r="P10" s="2">
        <v>13332.98</v>
      </c>
      <c r="Q10" s="2"/>
      <c r="R10" s="2">
        <v>10</v>
      </c>
      <c r="S10" s="2"/>
      <c r="T10" s="2" t="s">
        <v>115</v>
      </c>
      <c r="U10" s="2" t="s">
        <v>49</v>
      </c>
      <c r="V10" s="2" t="s">
        <v>50</v>
      </c>
      <c r="W10" s="2" t="s">
        <v>116</v>
      </c>
      <c r="X10" s="2" t="s">
        <v>117</v>
      </c>
      <c r="Y10" s="2" t="s">
        <v>118</v>
      </c>
      <c r="Z10" s="2" t="s">
        <v>54</v>
      </c>
      <c r="AA10" s="2">
        <v>1</v>
      </c>
      <c r="AB10" s="2" t="s">
        <v>119</v>
      </c>
      <c r="AC10" s="2">
        <v>0</v>
      </c>
      <c r="AD10" s="2">
        <v>0</v>
      </c>
      <c r="AE10" s="2">
        <v>0</v>
      </c>
      <c r="AF10" s="2">
        <v>0</v>
      </c>
      <c r="AG10" s="2">
        <v>0</v>
      </c>
      <c r="AH10" s="2"/>
      <c r="AI10" s="2"/>
      <c r="AJ10" s="2"/>
      <c r="AK10" s="2"/>
      <c r="AL10" s="2"/>
      <c r="AM10" s="2"/>
      <c r="AN10" s="2" t="s">
        <v>173</v>
      </c>
    </row>
    <row r="11" spans="1:40" ht="409.5" x14ac:dyDescent="0.45">
      <c r="A11" s="2" t="s">
        <v>40</v>
      </c>
      <c r="B11" s="2">
        <v>11</v>
      </c>
      <c r="C11" s="2">
        <v>10</v>
      </c>
      <c r="D11" s="2" t="s">
        <v>41</v>
      </c>
      <c r="E11" s="2" t="s">
        <v>42</v>
      </c>
      <c r="F11" s="2" t="s">
        <v>120</v>
      </c>
      <c r="G11" s="2" t="s">
        <v>121</v>
      </c>
      <c r="H11" s="2" t="s">
        <v>122</v>
      </c>
      <c r="I11" s="2" t="s">
        <v>46</v>
      </c>
      <c r="J11" s="2"/>
      <c r="K11" s="2" t="s">
        <v>47</v>
      </c>
      <c r="L11" s="2"/>
      <c r="M11" s="2"/>
      <c r="N11" s="2">
        <v>200</v>
      </c>
      <c r="O11" s="2">
        <v>1</v>
      </c>
      <c r="P11" s="2">
        <v>16307.26</v>
      </c>
      <c r="Q11" s="2"/>
      <c r="R11" s="2">
        <v>10</v>
      </c>
      <c r="S11" s="2"/>
      <c r="T11" s="2" t="s">
        <v>123</v>
      </c>
      <c r="U11" s="2" t="s">
        <v>49</v>
      </c>
      <c r="V11" s="2" t="s">
        <v>50</v>
      </c>
      <c r="W11" s="2" t="s">
        <v>124</v>
      </c>
      <c r="X11" s="2" t="s">
        <v>125</v>
      </c>
      <c r="Y11" s="2" t="s">
        <v>126</v>
      </c>
      <c r="Z11" s="2" t="s">
        <v>54</v>
      </c>
      <c r="AA11" s="2">
        <v>1</v>
      </c>
      <c r="AB11" s="2" t="s">
        <v>127</v>
      </c>
      <c r="AC11" s="2">
        <v>0</v>
      </c>
      <c r="AD11" s="2">
        <v>0</v>
      </c>
      <c r="AE11" s="2">
        <v>0</v>
      </c>
      <c r="AF11" s="2">
        <v>0</v>
      </c>
      <c r="AG11" s="2">
        <v>0</v>
      </c>
      <c r="AH11" s="2"/>
      <c r="AI11" s="2"/>
      <c r="AJ11" s="2"/>
      <c r="AK11" s="2"/>
      <c r="AL11" s="2"/>
      <c r="AM11" s="2"/>
      <c r="AN11" s="2" t="s">
        <v>56</v>
      </c>
    </row>
    <row r="12" spans="1:40" ht="409.5" x14ac:dyDescent="0.45">
      <c r="A12" s="2" t="s">
        <v>40</v>
      </c>
      <c r="B12" s="2">
        <v>12</v>
      </c>
      <c r="C12" s="2">
        <v>11</v>
      </c>
      <c r="D12" s="2" t="s">
        <v>128</v>
      </c>
      <c r="E12" s="2" t="s">
        <v>42</v>
      </c>
      <c r="F12" s="2" t="s">
        <v>43</v>
      </c>
      <c r="G12" s="2" t="s">
        <v>129</v>
      </c>
      <c r="H12" s="2" t="s">
        <v>130</v>
      </c>
      <c r="I12" s="2" t="s">
        <v>131</v>
      </c>
      <c r="J12" s="2"/>
      <c r="K12" s="2" t="s">
        <v>132</v>
      </c>
      <c r="L12" s="2"/>
      <c r="M12" s="2" t="s">
        <v>133</v>
      </c>
      <c r="N12" s="2">
        <v>200</v>
      </c>
      <c r="O12" s="2">
        <v>1</v>
      </c>
      <c r="P12" s="2">
        <v>17122.57</v>
      </c>
      <c r="Q12" s="2"/>
      <c r="R12" s="2">
        <v>10</v>
      </c>
      <c r="S12" s="2"/>
      <c r="T12" s="2" t="s">
        <v>134</v>
      </c>
      <c r="U12" s="2" t="s">
        <v>49</v>
      </c>
      <c r="V12" s="2" t="s">
        <v>50</v>
      </c>
      <c r="W12" s="2" t="s">
        <v>135</v>
      </c>
      <c r="X12" s="2" t="s">
        <v>136</v>
      </c>
      <c r="Y12" s="2" t="s">
        <v>137</v>
      </c>
      <c r="Z12" s="2" t="s">
        <v>54</v>
      </c>
      <c r="AA12" s="2">
        <v>1</v>
      </c>
      <c r="AB12" s="2" t="s">
        <v>138</v>
      </c>
      <c r="AC12" s="2">
        <v>0</v>
      </c>
      <c r="AD12" s="2">
        <v>0</v>
      </c>
      <c r="AE12" s="2">
        <v>0</v>
      </c>
      <c r="AF12" s="2">
        <v>0</v>
      </c>
      <c r="AG12" s="2">
        <v>0</v>
      </c>
      <c r="AH12" s="2"/>
      <c r="AI12" s="2"/>
      <c r="AJ12" s="2"/>
      <c r="AK12" s="2"/>
      <c r="AL12" s="2"/>
      <c r="AM12" s="2"/>
      <c r="AN12" s="2" t="s">
        <v>174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baseColWidth="10" defaultColWidth="9.06640625" defaultRowHeight="14.25" x14ac:dyDescent="0.45"/>
  <cols>
    <col min="1" max="3" width="18" customWidth="1"/>
  </cols>
  <sheetData>
    <row r="1" spans="1:3" x14ac:dyDescent="0.45">
      <c r="A1" s="1" t="s">
        <v>139</v>
      </c>
      <c r="B1" s="1" t="s">
        <v>140</v>
      </c>
      <c r="C1" s="1" t="s">
        <v>141</v>
      </c>
    </row>
    <row r="2" spans="1:3" ht="28.5" x14ac:dyDescent="0.45">
      <c r="A2" s="2" t="s">
        <v>142</v>
      </c>
      <c r="B2" s="2" t="s">
        <v>143</v>
      </c>
      <c r="C2" s="2">
        <f>COUNTA(RAG_Retrieval_Only!G:G)-1</f>
        <v>11</v>
      </c>
    </row>
    <row r="3" spans="1:3" ht="42.75" x14ac:dyDescent="0.45">
      <c r="A3" s="2" t="s">
        <v>144</v>
      </c>
      <c r="B3" s="2" t="s">
        <v>145</v>
      </c>
      <c r="C3" s="2">
        <f>AVERAGE(RAG_Retrieval_Only!O:O)</f>
        <v>1</v>
      </c>
    </row>
    <row r="4" spans="1:3" ht="42.75" x14ac:dyDescent="0.45">
      <c r="A4" s="2" t="s">
        <v>146</v>
      </c>
      <c r="B4" s="2" t="s">
        <v>147</v>
      </c>
      <c r="C4" s="2">
        <f>AVERAGE(RAG_Retrieval_Only!P:P)</f>
        <v>17162.276363636367</v>
      </c>
    </row>
    <row r="5" spans="1:3" ht="42.75" x14ac:dyDescent="0.45">
      <c r="A5" s="2" t="s">
        <v>148</v>
      </c>
      <c r="B5" s="2" t="s">
        <v>149</v>
      </c>
      <c r="C5" s="2">
        <f>MEDIAN(RAG_Retrieval_Only!P:P)</f>
        <v>13648.28</v>
      </c>
    </row>
    <row r="6" spans="1:3" ht="28.5" x14ac:dyDescent="0.45">
      <c r="A6" s="2" t="s">
        <v>150</v>
      </c>
      <c r="B6" s="2" t="s">
        <v>151</v>
      </c>
      <c r="C6" s="2">
        <f>AVERAGE(RAG_Retrieval_Only!R:R)</f>
        <v>10</v>
      </c>
    </row>
    <row r="7" spans="1:3" ht="42.75" x14ac:dyDescent="0.45">
      <c r="A7" s="2" t="s">
        <v>152</v>
      </c>
      <c r="B7" s="2" t="s">
        <v>153</v>
      </c>
      <c r="C7" s="2">
        <f>AVERAGE(RAG_Retrieval_Only!AC:AC)</f>
        <v>9.0909090909090912E-2</v>
      </c>
    </row>
    <row r="8" spans="1:3" ht="42.75" x14ac:dyDescent="0.45">
      <c r="A8" s="2" t="s">
        <v>154</v>
      </c>
      <c r="B8" s="2" t="s">
        <v>155</v>
      </c>
      <c r="C8" s="2">
        <f>AVERAGE(RAG_Retrieval_Only!AD:AD)</f>
        <v>9.0909090909090912E-2</v>
      </c>
    </row>
    <row r="9" spans="1:3" ht="42.75" x14ac:dyDescent="0.45">
      <c r="A9" s="2" t="s">
        <v>156</v>
      </c>
      <c r="B9" s="2" t="s">
        <v>157</v>
      </c>
      <c r="C9" s="2">
        <f>AVERAGE(RAG_Retrieval_Only!AE:AE)</f>
        <v>9.0909090909090912E-2</v>
      </c>
    </row>
    <row r="10" spans="1:3" ht="57" x14ac:dyDescent="0.45">
      <c r="A10" s="2" t="s">
        <v>158</v>
      </c>
      <c r="B10" s="2" t="s">
        <v>159</v>
      </c>
      <c r="C10" s="2">
        <f>AVERAGE(RAG_Retrieval_Only!AF:AF)</f>
        <v>9.0909090909090912E-2</v>
      </c>
    </row>
    <row r="11" spans="1:3" ht="42.75" x14ac:dyDescent="0.45">
      <c r="A11" s="2" t="s">
        <v>160</v>
      </c>
      <c r="B11" s="2" t="s">
        <v>161</v>
      </c>
      <c r="C11" s="2">
        <f>AVERAGE(RAG_Retrieval_Only!AG:AG)</f>
        <v>9.0909090909090912E-2</v>
      </c>
    </row>
    <row r="12" spans="1:3" ht="42.75" x14ac:dyDescent="0.45">
      <c r="A12" s="2" t="s">
        <v>162</v>
      </c>
      <c r="B12" s="2" t="s">
        <v>163</v>
      </c>
      <c r="C12" s="2" t="e">
        <f>AVERAGE(RAG_Retrieval_Only!AI:AI)</f>
        <v>#DIV/0!</v>
      </c>
    </row>
    <row r="13" spans="1:3" ht="42.75" x14ac:dyDescent="0.45">
      <c r="A13" s="2" t="s">
        <v>164</v>
      </c>
      <c r="B13" s="2" t="s">
        <v>163</v>
      </c>
      <c r="C13" s="2" t="e">
        <f>AVERAGE(RAG_Retrieval_Only!AJ:AJ)</f>
        <v>#DIV/0!</v>
      </c>
    </row>
    <row r="14" spans="1:3" ht="42.75" x14ac:dyDescent="0.45">
      <c r="A14" s="2" t="s">
        <v>165</v>
      </c>
      <c r="B14" s="2" t="s">
        <v>163</v>
      </c>
      <c r="C14" s="2" t="e">
        <f>AVERAGE(RAG_Retrieval_Only!AK:AK)</f>
        <v>#DIV/0!</v>
      </c>
    </row>
    <row r="15" spans="1:3" ht="42.75" x14ac:dyDescent="0.45">
      <c r="A15" s="2" t="s">
        <v>166</v>
      </c>
      <c r="B15" s="2" t="s">
        <v>163</v>
      </c>
      <c r="C15" s="2" t="e">
        <f>AVERAGE(RAG_Retrieval_Only!AL:AL)</f>
        <v>#DIV/0!</v>
      </c>
    </row>
    <row r="16" spans="1:3" ht="42.75" x14ac:dyDescent="0.45">
      <c r="A16" s="2" t="s">
        <v>167</v>
      </c>
      <c r="B16" s="2" t="s">
        <v>163</v>
      </c>
      <c r="C16" s="2" t="e">
        <f>AVERAGE(RAG_Retrieval_Only!AM:AM)</f>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RAG_Retrieval_Only</vt:lpstr>
      <vt:lpstr>Retrieval_Metrics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2026-05-18T15:20:47Z</dcterms:created>
  <dcterms:modified xsi:type="dcterms:W3CDTF">2026-05-18T15:34:23Z</dcterms:modified>
</cp:coreProperties>
</file>