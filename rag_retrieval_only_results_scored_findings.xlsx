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nofactorych-my.sharepoint.com/personal/sara_innofactory_ch/Documents/Desktop/BA_Thesis_Dev/"/>
    </mc:Choice>
  </mc:AlternateContent>
  <xr:revisionPtr revIDLastSave="0" documentId="8_{BDC3BD75-B03C-4C42-93C8-0F6E7B1113D7}" xr6:coauthVersionLast="47" xr6:coauthVersionMax="47" xr10:uidLastSave="{00000000-0000-0000-0000-000000000000}"/>
  <bookViews>
    <workbookView xWindow="-98" yWindow="-98" windowWidth="21795" windowHeight="13875" xr2:uid="{00000000-000D-0000-FFFF-FFFF00000000}"/>
  </bookViews>
  <sheets>
    <sheet name="RAG_Retrieval_Only" sheetId="1" r:id="rId1"/>
    <sheet name="Retrieval_Metrics" sheetId="2" r:id="rId2"/>
    <sheet name="Qualitative_Evalua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 l="1"/>
  <c r="C16" i="2"/>
  <c r="C15" i="2"/>
  <c r="C14" i="2"/>
  <c r="C13" i="2"/>
  <c r="C11" i="2"/>
  <c r="C10" i="2"/>
  <c r="C9" i="2"/>
  <c r="C8" i="2"/>
  <c r="C7" i="2"/>
  <c r="C6" i="2"/>
  <c r="C5" i="2"/>
  <c r="C4" i="2"/>
  <c r="C3" i="2"/>
  <c r="C2" i="2"/>
</calcChain>
</file>

<file path=xl/sharedStrings.xml><?xml version="1.0" encoding="utf-8"?>
<sst xmlns="http://schemas.openxmlformats.org/spreadsheetml/2006/main" count="391" uniqueCount="240">
  <si>
    <t>run_timestamp</t>
  </si>
  <si>
    <t>source_row</t>
  </si>
  <si>
    <t>id</t>
  </si>
  <si>
    <t>category</t>
  </si>
  <si>
    <t>difficulty</t>
  </si>
  <si>
    <t>language</t>
  </si>
  <si>
    <t>question</t>
  </si>
  <si>
    <t>expected_answer</t>
  </si>
  <si>
    <t>source_of_truth</t>
  </si>
  <si>
    <t>expected_flow</t>
  </si>
  <si>
    <t>gold_source</t>
  </si>
  <si>
    <t>required_fields</t>
  </si>
  <si>
    <t>expected_source_category</t>
  </si>
  <si>
    <t>debug_http_status</t>
  </si>
  <si>
    <t>success</t>
  </si>
  <si>
    <t>debug_time_ms</t>
  </si>
  <si>
    <t>server_elapsed_ms</t>
  </si>
  <si>
    <t>sources_count</t>
  </si>
  <si>
    <t>error</t>
  </si>
  <si>
    <t>retrieved_source_keys</t>
  </si>
  <si>
    <t>retrieved_source_categories</t>
  </si>
  <si>
    <t>retrieved_source_pages</t>
  </si>
  <si>
    <t>retrieved_sources_ranked</t>
  </si>
  <si>
    <t>retrieved_sources_json</t>
  </si>
  <si>
    <t>top1_source_key</t>
  </si>
  <si>
    <t>top1_source_category</t>
  </si>
  <si>
    <t>top1_source_page</t>
  </si>
  <si>
    <t>top1_source_snippet</t>
  </si>
  <si>
    <t>category_recall_at_1</t>
  </si>
  <si>
    <t>category_recall_at_3</t>
  </si>
  <si>
    <t>category_recall_at_5</t>
  </si>
  <si>
    <t>category_precision_at_5</t>
  </si>
  <si>
    <t>category_mrr</t>
  </si>
  <si>
    <t>manual_relevant_ranks</t>
  </si>
  <si>
    <t>manual_recall_at_1</t>
  </si>
  <si>
    <t>manual_recall_at_3</t>
  </si>
  <si>
    <t>manual_recall_at_5</t>
  </si>
  <si>
    <t>manual_precision_at_5</t>
  </si>
  <si>
    <t>manual_mrr</t>
  </si>
  <si>
    <t>notes</t>
  </si>
  <si>
    <t xml:space="preserve">i dont really know what the right source would be, i cannot look at the available vectorstore entries, i only can say which doc it would be…. In this column i pase the source doc keys that would contain the info </t>
  </si>
  <si>
    <t>general problem: I have very small snippets! If only 10 are retirieved totally and from the best fitting one the answer is constructed i will never get good answers… not sure if the answer is only based on one snippet though… i think i need more and also i still only reach studyplan.... i want to no matter the question / no matter the keywords still search in all 3 vectorstores for matching sources (maybe like 30 in the best fitting, and 5 each in the others, then look which one makes the most sence and if necessary search again in this vecotrstore for more! Do i need to add more vectorstore? like general info not in the small tables to find the correct source and only then look at details?</t>
  </si>
  <si>
    <t>qualitative_retrieval_score</t>
  </si>
  <si>
    <t>retrieval_assessment</t>
  </si>
  <si>
    <t>estimated_recall</t>
  </si>
  <si>
    <t>estimated_precision</t>
  </si>
  <si>
    <t>estimated_mrr</t>
  </si>
  <si>
    <t>2026-05-16T09:45:49</t>
  </si>
  <si>
    <t>program_overview</t>
  </si>
  <si>
    <t>medium</t>
  </si>
  <si>
    <t>en</t>
  </si>
  <si>
    <t>Which minor programs does Unifr offer?</t>
  </si>
  <si>
    <t>List of minor-like programs, e.g. programs with total ECTS &lt;= 60, excluding null/doctorate entries.</t>
  </si>
  <si>
    <t>DB</t>
  </si>
  <si>
    <t>API /programs?max_ects=60</t>
  </si>
  <si>
    <t>StudyProgram table</t>
  </si>
  <si>
    <t>program names, ECTS</t>
  </si>
  <si>
    <t>base_data</t>
  </si>
  <si>
    <t>Master_120_01bbda8c711c5a89682db2abd81e3f34bdb10c1b.txt; Master_120_01bbda8c711c5a89682db2abd81e3f34bdb10c1b.txt; Master_120_01bbda8c711c5a89682db2abd81e3f34bdb10c1b.txt; Master_120_01bbda8c711c5a89682db2abd81e3f34bdb10c1b.txt; Master_120_0308a9587c01e3d3dfba6f941cf1acff0c56e155.txt; Master_120_0308a9587c01e3d3dfba6f941cf1acff0c56e155.txt; Master_120_0308a9587c01e3d3dfba6f941cf1acff0c56e155.txt; Master_120_0308a9587c01e3d3dfba6f941cf1acff0c56e155.txt; Master_120_0308a9587c01e3d3dfba6f941cf1acff0c56e155.txt; Master_120_0308a9587c01e3d3dfba6f941cf1acff0c56e155.txt</t>
  </si>
  <si>
    <t>studyplans; studyplans; studyplans; studyplans; studyplans; studyplans; studyplans; studyplans; studyplans; studyplans</t>
  </si>
  <si>
    <t>1; 1; 1; 1; 1; 1; 1; 1; 1; 1</t>
  </si>
  <si>
    <t>1. [studyplans] Master_120_01bbda8c711c5a89682db2abd81e3f34bdb10c1b.txt p.1 - Section: Common module Table rows: - Code: SGG.00409; Course: Models, modelling and representations; Semester: AS; tot. h.: 28; ECTS: 3 - Code: SGG.00424; Course: Hazards, risks and vulnerability; Semester: AS; tot. h.: 
2. [studyplans] Master_120_01bbda8c711c5a89682db2abd81e3f34bdb10c1b.txt p.1 - Section: Master thesis module Table rows: - Code: SGG.00410; Course: Master thesis seminar (preliminary); Semester: AS/SS; tot. h.: 14; ECTS: 2 - Code: SGG.00503; Course: Master thesis (with final public presentation); t
3. [studyplans] Master_120_01bbda8c711c5a89682db2abd81e3f34bdb10c1b.txt p.1 - Section: Specialisation Module Table rows: - Course: Compulsory courses - Code: SGG.00471; Course: New approaches in human geography *; Semester: SS; tot. h.: 28; ECTS: 3 - Code: SGG.00473; Course: Seminar in global chan
4. [studyplans] Master_120_01bbda8c711c5a89682db2abd81e3f34bdb10c1b.txt p.1 - | SS | 28 | 3 | | SGG.00484 | Social theories (seminar) | AS | 28 | 3 | | | Elective courses | | | | | SGG.00486 | Advanced social research methods | AS | 28 | 3 | | SGG.00487 | Issues in environmental ethics * | AS | 28
5. [studyplans] Master_120_0308a9587c01e3d3dfba6f941cf1acff0c56e155.txt p.1 - Section: 1 st and 2 nd Semester (Autumn and/or Spring) Table rows: - Course Unit: Compulsory - Code: MO-SCH.00074; Course Unit: Inorganic chemistry module, consisting of: - Code: SCH.04021; Course Unit: Inorganic chemist
6. [studyplans] Master_120_0308a9587c01e3d3dfba6f941cf1acff0c56e155.txt p.1 - . | ECTS | |--------------|-------------------------------------------------|-----------|--------| | | Compulsory | | | | MO-SCH.00074 | Inorganic chemistry module, consisting of: | | | | SCH.04021 | Inorganic chemistry 
7. [studyplans] Master_120_0308a9587c01e3d3dfba6f941cf1acff0c56e155.txt p.1 - Section: 3 rd Semester Table rows: - Elective at the Chemistry Department 1: MO-SCH.04251; Elective at the Chemistry Department 1: Analytical chemistry module, consisting of: - Elective at the Chemistry Department 1: SCH
8. [studyplans] Master_120_0308a9587c01e3d3dfba6f941cf1acff0c56e155.txt p.1 - Chemistry Department 1: 28; Elective at the Chemistry Department 1: 3 - Elective at the Chemistry Department 1: SCH.04707; Elective at the Chemistry Department 1: Metals in materials and life (lecture); Elective at the C
9. [studyplans] Master_120_0308a9587c01e3d3dfba6f941cf1acff0c56e155.txt p.1 - 4421 Advanced materials chemistry module, consisting of:; Elective at the Chemistry Department 1: MO-SCH.04421 Advanced materials chemistry module, consisting of: - Elective at the Chemistry Department 1: SCH.04421; Elec
10. [studyplans] Master_120_0308a9587c01e3d3dfba6f941cf1acff0c56e155.txt p.1 - y Department 1: SCH.04806; Elective at the Chemistry Department 1: Selected topics in polymer science (seminar); Elective at the Chemistry Department 1: 14; Elective at the Chemistry Department 1: 1.5 - Elective at the C</t>
  </si>
  <si>
    <t>[{"source": "Master_120_01bbda8c711c5a89682db2abd81e3f34bdb10c1b.txt", "page": 1, "snippet": "Section: Common module\n\nTable rows:\n- Code: SGG.00409; Course: Models, modelling and representations; Semester: AS; tot. h.: 28; ECTS: 3\n- Code: SGG.00424; Course: Hazards, risks and vulnerability; Semester: AS; tot. h.: 28; ECTS: 3\n- Code: SGG.00426; Course: Climate change: state of the art and debates; Semester: AS; tot. h.: 28; ECTS: 3\n- Code: SGG.00425; Course: Data and methods for environmental analysis; Semester: AS; tot. h.: 28; ECTS: 3\n- Code: SGG.00512; Course: Geocolloquium 1; Semester", "metadata": {"parsed_at": "2026-04-08T22:25:13.741Z", "pages": 1, "parser": "docling", "doc_key": "01bbda8c711c5a89682db2abd81e3f34bdb10c1b", "degree_level": "Master", "total_ects": 120, "program_name": "Experimental Biomedical Research", "doc_label": "SpMSc in Nature, Society and Politics", "source_url": "https://cdn.unifr.ch/scimed/plans/2023/Plan_MScSp_NSP_en.pdf", "source_type": "pdf", "curriculum_url": "http://studies.unifr.ch/go/vBvMa", "fetched_at": "2026-04-03T11:26:39.385Z", "source_file": "Master_120_01bbda8c711c5a89682db2abd81e3f34bdb10c1b.txt", "index_variant": "table_semantic_v1", "chunk_id": "01bbda8c711c5a89682db2abd81e3f34bdb10c1b::semantic_table::chunk::0018", "chunk_type": "table", "section": "Common module", "page_start": 1, "page_end": 1, "chunk_pages": [1], "contains_table": true, "block_kinds": ["table"], "prev_chunk_id": "01bbda8c711c5a89682db2abd81e3f34bdb10c1b::semantic_table::chunk::0017", "next_chunk_id": "01bbda8c711c5a89682db2abd81e3f34bdb10c1b::semantic_table::chunk::0019",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"Master_120_01bbda8c711c5a89682db2abd81e3f34bdb10c1b.txt", "page": 1, "snippet": "Section: Master thesis module\n\nTable rows:\n- Code: SGG.00410; Course: Master thesis seminar (preliminary); Semester: AS/SS; tot. h.: 14; ECTS: 2\n- Code: SGG.00503; Course: Master thesis (with final public presentation); tot. h.: -; ECTS: 58\n- Code: Total; Course: Total; Semester: Total; tot. h.: Total; ECTS: 60\n\nRaw table:\n| Code | Course | Semester | tot. h. | ECTS |\n|-----------|------------------------------------------------|------------|-----------|--------|\n| SGG.00410 | Master thesis semi", "metadata": {"parsed_at": "2026-04-08T22:25:13.741Z", "pages": 1, "parser": "docling", "doc_key": "01bbda8c711c5a89682db2abd81e3f34bdb10c1b", "degree_level": "Master", "total_ects": 120, "program_name": "Experimental Biomedical Research", "doc_label": "SpMSc in Nature, Society and Politics", "source_url": "https://cdn.unifr.ch/scimed/plans/2023/Plan_MScSp_NSP_en.pdf", "source_type": "pdf", "curriculum_url": "http://studies.unifr.ch/go/vBvMa", "fetched_at": "2026-04-03T11:26:39.385Z", "source_file": "Master_120_01bbda8c711c5a89682db2abd81e3f34bdb10c1b.txt", "index_variant": "table_semantic_v1", "chunk_id": "01bbda8c711c5a89682db2abd81e3f34bdb10c1b::semantic_table::chunk::0019", "chunk_type": "table", "section": "Master thesis module", "page_start": 1, "page_end": 1, "chunk_pages": [1], "contains_table": true, "block_kinds": ["table"], "prev_chunk_id": "01bbda8c711c5a89682db2abd81e3f34bdb10c1b::semantic_table::chunk::0018", "next_chunk_id": "01bbda8c711c5a89682db2abd81e3f34bdb10c1b::semantic_table::chunk::0020",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"Master_120_01bbda8c711c5a89682db2abd81e3f34bdb10c1b.txt", "page": 1, "snippet": "Section: Specialisation Module\n\nTable rows:\n- Course: Compulsory courses\n- Code: SGG.00471; Course: New approaches in human geography *; Semester: SS; tot. h.: 28; ECTS: 3\n- Code: SGG.00473; Course: Seminar in global change, development and ethics; Semester: SS; tot. h.: 28; ECTS: 3\n- Code: SGG.00485; Course: Environmental history; Semester: SS; tot. h.: 28; ECTS: 3\n- Code: SGG.00477; Course: Political ecology; Semester: SS; tot. h.: 28; ECTS: 3\n- Code: SGG.00484; Course: Social theories (semina", "metadata": {"parsed_at": "2026-04-08T22:25:13.741Z", "pages": 1, "parser": "docling", "doc_key": "01bbda8c711c5a89682db2abd81e3f34bdb10c1b", "degree_level": "Master", "total_ects": 120, "program_name": "Experimental Biomedical Research", "doc_label": "SpMSc in Nature, Society and Politics", "source_url": "https://cdn.unifr.ch/scimed/plans/2023/Plan_MScSp_NSP_en.pdf", "source_type": "pdf", "curriculum_url": "http://studies.unifr.ch/go/vBvMa", "fetched_at": "2026-04-03T11:26:39.385Z", "source_file": "Master_120_01bbda8c711c5a89682db2abd81e3f34bdb10c1b.txt", "index_variant": "table_semantic_v1", "chunk_id": "01bbda8c711c5a89682db2abd81e3f34bdb10c1b::semantic_table::chunk::0020", "chunk_type": "table", "section": "Specialisation Module", "page_start": 1, "page_end": 1, "chunk_pages": [1], "contains_table": true, "block_kinds": ["table"], "prev_chunk_id": "01bbda8c711c5a89682db2abd81e3f34bdb10c1b::semantic_table::chunk::0019", "next_chunk_id": "01bbda8c711c5a89682db2abd81e3f34bdb10c1b::semantic_table::chunk::0021",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"Master_120_01bbda8c711c5a89682db2abd81e3f34bdb10c1b.txt", "page": 1, "snippet": "| SS | 28 | 3 |\n| SGG.00484 | Social theories (seminar) | AS | 28 | 3 |\n| | Elective courses | | | |\n| SGG.00486 | Advanced social research methods | AS | 28 | 3 |\n| SGG.00487 | Issues in environmental ethics * | AS | 28 | 3 |\n| SGG.00480 | Field course I in human geography * | AS/SS | 40 | 5 |\n| SGG.00481 | Field course II in human geography * | AS/SS | 40 | 5 |\n| Total minimum 23, maximum | Total minimum 23, maximum | Total minimum 23, maximum | Total minimum 23, maximum | Total minimum 23, ma", "metadata": {"parsed_at": "2026-04-08T22:25:13.741Z", "pages": 1, "parser": "docling", "doc_key": "01bbda8c711c5a89682db2abd81e3f34bdb10c1b", "degree_level": "Master", "total_ects": 120, "program_name": "Experimental Biomedical Research", "doc_label": "SpMSc in Nature, Society and Politics", "source_url": "https://cdn.unifr.ch/scimed/plans/2023/Plan_MScSp_NSP_en.pdf", "source_type": "pdf", "curriculum_url": "http://studies.unifr.ch/go/vBvMa", "fetched_at": "2026-04-03T11:26:39.385Z", "source_file": "Master_120_01bbda8c711c5a89682db2abd81e3f34bdb10c1b.txt", "index_variant": "table_semantic_v1", "chunk_id": "01bbda8c711c5a89682db2abd81e3f34bdb10c1b::semantic_table::chunk::0021", "chunk_type": "table", "section": "Specialisation Module", "page_start": 1, "page_end": 1, "chunk_pages": [1], "contains_table": true, "block_kinds": ["table"], "prev_chunk_id": "01bbda8c711c5a89682db2abd81e3f34bdb10c1b::semantic_table::chunk::0020", "next_chunk_id": "01bbda8c711c5a89682db2abd81e3f34bdb10c1b::semantic_table::chunk::0022",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"Section: 1 st and 2 nd Semester (Autumn and/or Spring)\n\nTable rows:\n- Course Unit: Compulsory\n- Code: MO-SCH.00074; Course Unit: Inorganic chemistry module, consisting of:\n- Code: SCH.04021; Course Unit: Inorganic chemistry I (lectures); tot. h.: 28; ECTS: 3\n- Code: SCH.04022; Course Unit: Inorganic chemistry II (lectures); tot. h.: 28; ECTS: 3\n- Code: MO-SCH.04141; Course Unit: Organic chemistry module, consisting of:\n- Code: SCH.04144; Course Unit: Advanced Organic chemistry I (lectures); tot.",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"0308a9587c01e3d3dfba6f941cf1acff0c56e155::semantic_table::chunk::0020", "chunk_type": "table", "section": "1 st and 2 nd Semester (Autumn and/or Spring)", "page_start": 1, "page_end": 1, "chunk_pages": [1], "contains_table": true, "block_kinds": ["table"], "prev_chunk_id": "0308a9587c01e3d3dfba6f941cf1acff0c56e155::semantic_table::chunk::0019", "next_chunk_id": "0308a9587c01e3d3dfba6f941cf1acff0c56e155::semantic_table::chunk::0021",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 | ECTS |\n|--------------|-------------------------------------------------|-----------|--------|\n| | Compulsory | | |\n| MO-SCH.00074 | Inorganic chemistry module, consisting of: | | |\n| SCH.04021 | Inorganic chemistry I (lectures) | 28 | 3 |\n| SCH.04022 | Inorganic chemistry II (lectures) | 28 | 3 |\n| MO-SCH.04141 | Organic chemistry module, consisting of: | | |\n| SCH.04144 | Advanced Organic chemistry I (lectures) | 28 | 3 |\n| SCH.04145 | Advanced Organic chemistry II (lectures) | 28 | 3 |\n| ",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"0308a9587c01e3d3dfba6f941cf1acff0c56e155::semantic_table::chunk::0021", "chunk_type": "table", "section": "1 st and 2 nd Semester (Autumn and/or Spring)", "page_start": 1, "page_end": 1, "chunk_pages": [1], "contains_table": true, "block_kinds": ["table"], "prev_chunk_id": "0308a9587c01e3d3dfba6f941cf1acff0c56e155::semantic_table::chunk::0020", "next_chunk_id": "0308a9587c01e3d3dfba6f941cf1acff0c56e155::semantic_table::chunk::0022",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"Section: 3 rd Semester\n\nTable rows:\n- Elective at the Chemistry Department 1: MO-SCH.04251; Elective at the Chemistry Department 1: Analytical chemistry module, consisting of:\n- Elective at the Chemistry Department 1: SCH.04251; Elective at the Chemistry Department 1: Analytical chemistry I (lectures); Elective at the Chemistry Department 1: 28; Elective at the Chemistry Department 1: 3\n- Elective at the Chemistry Department 1: SCH.04252; Elective at the Chemistry Department 1: Analytical chemis",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"0308a9587c01e3d3dfba6f941cf1acff0c56e155::semantic_table::chunk::0022", "chunk_type": "table", "section": "3 rd Semester", "page_start": 1, "page_end": 1, "chunk_pages": [1], "contains_table": true, "block_kinds": ["table"], "prev_chunk_id": "0308a9587c01e3d3dfba6f941cf1acff0c56e155::semantic_table::chunk::0021", "next_chunk_id": "0308a9587c01e3d3dfba6f941cf1acff0c56e155::semantic_table::chunk::0023",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"Chemistry Department 1: 28; Elective at the Chemistry Department 1: 3\n- Elective at the Chemistry Department 1: SCH.04707; Elective at the Chemistry Department 1: Metals in materials and life (lecture); Elective at the Chemistry Department 1: 28; Elective at the Chemistry Department 1: 3\n- Elective at the Chemistry Department 1: MO-SCH.04013 Advanced organic chemistry module, consisting of:; Elective at the Chemistry Department 1: MO-SCH.04013 Advanced organic chemistry module, consisting of:; E",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"0308a9587c01e3d3dfba6f941cf1acff0c56e155::semantic_table::chunk::0023", "chunk_type": "table", "section": "3 rd Semester", "page_start": 1, "page_end": 1, "chunk_pages": [1], "contains_table": true, "block_kinds": ["table"], "prev_chunk_id": "0308a9587c01e3d3dfba6f941cf1acff0c56e155::semantic_table::chunk::0022", "next_chunk_id": "0308a9587c01e3d3dfba6f941cf1acff0c56e155::semantic_table::chunk::0024",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"4421 Advanced materials chemistry module, consisting of:; Elective at the Chemistry Department 1: MO-SCH.04421 Advanced materials chemistry module, consisting of:\n- Elective at the Chemistry Department 1: SCH.04421; Elective at the Chemistry Department 1: Biophysical chemistry (lectures); Elective at the Chemistry Department 1: 28; Elective at the Chemistry Department 1: 3\n- Elective at the Chemistry Department 1: SCH.04425; Elective at the Chemistry Department 1: Functional materials I (lecture",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"0308a9587c01e3d3dfba6f941cf1acff0c56e155::semantic_table::chunk::0024", "chunk_type": "table", "section": "3 rd Semester", "page_start": 1, "page_end": 1, "chunk_pages": [1], "contains_table": true, "block_kinds": ["table"], "prev_chunk_id": "0308a9587c01e3d3dfba6f941cf1acff0c56e155::semantic_table::chunk::0023", "next_chunk_id": "0308a9587c01e3d3dfba6f941cf1acff0c56e155::semantic_table::chunk::0025",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 {"source": "Master_120_0308a9587c01e3d3dfba6f941cf1acff0c56e155.txt", "page": 1, "snippet": "y Department 1: SCH.04806; Elective at the Chemistry Department 1: Selected topics in polymer science (seminar); Elective at the Chemistry Department 1: 14; Elective at the Chemistry Department 1: 1.5\n- Elective at the Chemistry Department 1: 18\n- Elective at the Chemistry Department 1: Semester; Elective at the Chemistry Department 1: Semester; Elective at the Chemistry Department 1: Semester; Elective at the Chemistry Department 1: Semester\n- Elective at the Chemistry Department 1: Code; Elect", "metadata": {"parsed_at": "2026-04-08T21:22:00.460Z", "pages": 1, "parser": "docling", "doc_key": "0308a9587c01e3d3dfba6f941cf1acff0c56e155", "degree_level": "Master", "total_ects": 120, "program_name": "Experimental Biomedical Research", "doc_label": "Master of Science in Chemistry", "source_url": "https://cdn.unifr.ch/scimed/plans/2024/Plan_MSc_CH90_en.pdf", "source_type": "pdf", "curriculum_url": "http://studies.unifr.ch/go/vBvMa", "fetched_at": "2026-04-03T11:26:34.199Z", "source_file": "Master_120_0308a9587c01e3d3dfba6f941cf1acff0c56e155.txt", "index_variant": "table_semantic_v1", "chunk_id": "0308a9587c01e3d3dfba6f941cf1acff0c56e155::semantic_table::chunk::0025", "chunk_type": "table", "section": "3 rd Semester", "page_start": 1, "page_end": 1, "chunk_pages": [1], "contains_table": true, "block_kinds": ["table"], "prev_chunk_id": "0308a9587c01e3d3dfba6f941cf1acff0c56e155::semantic_table::chunk::0024", "next_chunk_id": "0308a9587c01e3d3dfba6f941cf1acff0c56e155::semantic_table::chunk::0026", "rag_source": "studyplans", "category": "studyplans", "retrieval_debug":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null, "detected_ects": null, "detected_year": null, "retrieval_mode": "metadata_first", "candidate_count_after_program_degree_ects": 4799, "source_intent": "base_data", "returned_count": 10, "returned_programs": ["Experimental Biomedical Research"], "query": "Which minor programs does Unifr offer?", "query_language": "en"}], "returned_count": 10}}]</t>
  </si>
  <si>
    <t>Master_120_01bbda8c711c5a89682db2abd81e3f34bdb10c1b.txt</t>
  </si>
  <si>
    <t>studyplans</t>
  </si>
  <si>
    <t>Section: Common module Table rows: - Code: SGG.00409; Course: Models, modelling and representations; Semester: AS; tot. h.: 28; ECTS: 3 - Code: SGG.00424; Course: Hazards, risks and vulnerability; Semester: AS; tot. h.: 28; ECTS: 3 - Code: SGG.00426; Course: Climate change: state of the art and debates; Semester: AS; tot. h.: 28; ECTS: 3 - Code: SG</t>
  </si>
  <si>
    <t>actually the correct answer is not listed in the files… if the answer were to be correct the chatbot would have to extract all the program documents that are for a program with less than 90 ects and count them / list the names of those programs… alsmost impossible...</t>
  </si>
  <si>
    <t>not one single source</t>
  </si>
  <si>
    <t>unknown</t>
  </si>
  <si>
    <t>program_courses</t>
  </si>
  <si>
    <t>hard</t>
  </si>
  <si>
    <t>What courses are mandatory in the Bachelor of Business Informatics with 180 ECTS?</t>
  </si>
  <si>
    <t>List of mandatory courses for the specified program.</t>
  </si>
  <si>
    <t>API /programs/:id/courses?type=Mandatory</t>
  </si>
  <si>
    <t>consist_of + StudyProgram</t>
  </si>
  <si>
    <t>course codes, titles, mandatory status</t>
  </si>
  <si>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</si>
  <si>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</si>
  <si>
    <t>[{"source": "Bachelor_180_80b173004838b5856a2ed1a73ccc60de140ce7f4.txt",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ECTS: 6\n- Code: SIN.04023; Lehreinheit: Software Engineering; Lehrer(innen): Fischer; Semester: FS-2026; Niveau: BA; Sprache: fr; Bewertung: Schriftl",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"au | Sprache | Bewertung | ECTS |\n|-----------|---------------------------------|-----------------|------------|----------|-----------|----------------------|--------|\n| ESE.00040 | Microéconomie I | Gugler | HS-2025 | BA | fr | Schriftliche Prüfung | 6 |\n| ESE.00041 | Mikroökonomie I | Büchel | HS-2025 | BA | de | Schriftliche Prüfung | 6 |\n| SIN.04023 | Software Engineering | Fischer | FS-2026 | BA | fr | Schriftliche Prüfung | 6 |\n| EIG.00015 | Operations Management (d) | Trautmann | FS-2026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"Section: Informationskompetenz in den Wirtschaftswissenschaften\n\nTable rows:\n- EDK.00951: EDK.00954; Compétences documentaires en économie 1 - Groupe A: Compétences documentaires en économie 1 - Groupe B; Brodard, Lüscher: Brodard, Lüscher; HS-2025: HS-2025; BA: BA; fr: fr; Fortlaufende Evaluation: Fortlaufende Evaluation; 0: 0\n- EDK.00951: EDK.00955; Compétences documentaires en économie 1 - Groupe A: Compétences documentaires en économie 1 - Groupe C; Brodard, Lüscher: Brodard, Lüscher; HS-202",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"80b173004838b5856a2ed1a73ccc60de140ce7f4::semantic_table::chunk::0020", "chunk_type": "table", "section": "Informationskompetenz in den Wirtschaftswissenschaften", "page_start": 1, "page_end": 1, "chunk_pages": [1], "contains_table": true, "block_kinds": ["table"], "prev_chunk_id": "80b173004838b5856a2ed1a73ccc60de140ce7f4::semantic_table::chunk::0019", "next_chunk_id": "80b173004838b5856a2ed1a73ccc60de140ce7f4::semantic_table::chunk::0021",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 {"source": "Bachelor_180_80b173004838b5856a2ed1a73ccc60de140ce7f4.txt", "page": 1, "snippet": "EDK.00951: EDK.00965; Compétences documentaires en économie 1 - Groupe A: Compétences documentaires en informatique de Gestion 2 - Groupe G; Brodard, Lüscher: Brodard, Lüscher; HS-2025: FS-2026; BA: BA; fr: fr; Fortlaufende Evaluation: Fortlaufende Evaluation; 0: 0\n- EDK.00951: EDK.00967; Compétences documentaires en économie 1 - Groupe A: Informationskompetenz in der Wirtschaftsinformatik; Brodard, Lüscher: Lüscher; HS-2025: HS-2025; BA: BA; fr: de; Fortlaufende Evaluation: Fortlaufende Evaluat",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"80b173004838b5856a2ed1a73ccc60de140ce7f4::semantic_table::chunk::0021", "chunk_type": "table", "section": "Informationskompetenz in den Wirtschaftswissenschaften", "page_start": 1, "page_end": 1, "chunk_pages": [1], "contains_table": true, "block_kinds": ["table"], "prev_chunk_id": "80b173004838b5856a2ed1a73ccc60de140ce7f4::semantic_table::chunk::0020", "next_chunk_id": "80b173004838b5856a2ed1a73ccc60de140ce7f4::semantic_table::chunk::0022",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courses are mandatory in the Bachelor of Business Informatics with 180 ECTS?", "query_language": "en"}], "returned_count": 10}}]</t>
  </si>
  <si>
    <t>Bachelor_180_80b173004838b5856a2ed1a73ccc60de140ce7f4.txt</t>
  </si>
  <si>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</si>
  <si>
    <t>to actually answer the full question several snippets would be needed… the top one is correct but it should also find 2. year 60 ects section puls a section like "mandatory courses 37ects". But because the table is split into a single line per course, the 10 sources are already exhausted with the "subsources" of the first year..</t>
  </si>
  <si>
    <t xml:space="preserve">0ab936897a42c79a853ca3003c5f249d361b5b72 and/or 80b173004838b5856a2ed1a73ccc60de140ce7f4 </t>
  </si>
  <si>
    <t>partial</t>
  </si>
  <si>
    <t>program_requirements</t>
  </si>
  <si>
    <t>How long does the bachelor program usually take?</t>
  </si>
  <si>
    <t>rag answer from base data</t>
  </si>
  <si>
    <t>RAG</t>
  </si>
  <si>
    <t>API first, RAG fallback</t>
  </si>
  <si>
    <t>StudyProgram table or regulation document</t>
  </si>
  <si>
    <t>duration semesters</t>
  </si>
  <si>
    <t>Bachelor_60_1d036b4e5f656b65bcfa7a6121fb5095582bb706.txt; Bachelor_60_1d036b4e5f656b65bcfa7a6121fb5095582bb706.txt;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t>
  </si>
  <si>
    <t>1. [studyplans] Bachelor_60_1d036b4e5f656b65bcfa7a6121fb5095582bb706.txt p.1 - Section: TABLE OF CONTENTS Table rows: - PREFACE: CONDITIONSANDMEASURESTO FACILITATE DOCTORAL JOURNEY; 3: 4 - PREFACE: INDIVIDUAL CHARACTERISTICS AND CONTEXTUAL FACTORS; 3: 5 - PREFACE: Individual characteristics; 3: 5 -
2. [studyplans] Bachelor_60_1d036b4e5f656b65bcfa7a6121fb5095582bb706.txt p.1 - ocuments; 3: 22 - PREFACE: Tools; 3: 23 - PREFACE: NOTES; 3: 24 Raw table: | PREFACE | 3 | |--------------------------------------------------------------|-----| | CONDITIONSANDMEASURESTO FACILITATE DOCTORAL JOURNEY | 4 
3.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
4. [studyplans] Bachelor_60_474591eeaefa6c5efdc21f30ddab4db20843f774.txt p.1 - Section: Abgabe - Archivierung - Veröffentlichung der wissenschaftlichen Abschlussarbeiten Table rows: - Master, Diplom, Kan. Lizentiat: Abgabe; column_2: 1 PDF über MyUnifr 1 ; 3 gebundene Exemplare in Papierform an das
5. [studyplans] Bachelor_60_474591eeaefa6c5efdc21f30ddab4db20843f774.txt p.1 - Section: Abgabe - Archivierung - Veröffentlichung der wissenschaftlichen Abschlussarbeiten Table rows: - Doktorat: Abgabe; column_2: 1 PDF über MyUnifr 1 ; 5 gebundene (oder broschierte) Exemplare an das Dekanat (vgl. Re
6. [studyplans] Bachelor_60_474591eeaefa6c5efdc21f30ddab4db20843f774.txt p.1 - ----------------------------------------------------------------------------------------------------------------------------------------------------------------------------------------------------------------------------
7. [studyplans] Bachelor_60_474591eeaefa6c5efdc21f30ddab4db20843f774.txt p.1 - Section: Abgabe - Archivierung - Veröffentlichung der wissenschaftlichen Abschlussarbeiten &gt; 2 Gemäss Fakultätsbeschluss vom 11.12.2018 Table rows: - Habilitation: Abgabe; column_2: 1 elektronisches Dokument PDF 1 ; 4 ge
8. [studyplans] Bachelor_60_474591eeaefa6c5efdc21f30ddab4db20843f774.txt p.1 - ichtexemplare 3 | a) bei Veröffentlichung über einen Verlag : 8 Ex des gedruckten Buches an die Kantons- und Universitätsbibliothek https://www3.unifr.ch/biblio/de/ (davon sind: 3 Ex. für die Mitglieder der Jury, 1 Ex. f
9. [studyplans] Bachelor_60_474591eeaefa6c5efdc21f30ddab4db20843f774.txt p.1 - Section: Abgabe - Archivierung - Veröffentlichung der wissenschaftlichen Abschlussarbeiten &gt; 2 Gemäss Fakultätsbeschluss vom 11.12.2018 | Einband | Grundsätzlich gilt: Die zur Archivierung bestimmten Exemplare dürfen kei
10. [studyplans] Bachelor_60_474591eeaefa6c5efdc21f30ddab4db20843f774.txt p.1 - Section: Ehrenwörtliche Erklärung Table rows: - Prüfungs- und Diplomgebühren 4: Prüfungs- und Diplomgebühren 4; fällig bei der Abgabe der schriftlichen Arbeit, per Banküberweisung zu bezahlen (direkt über MyUnifr): Vollp</t>
  </si>
  <si>
    <t>[{"source": "Bachelor_60_1d036b4e5f656b65bcfa7a6121fb5095582bb706.txt", "page": 1, "snippet": "Section: TABLE OF CONTENTS\n\nTable rows:\n- PREFACE: CONDITIONSANDMEASURESTO FACILITATE DOCTORAL JOURNEY; 3: 4\n- PREFACE: INDIVIDUAL CHARACTERISTICS AND CONTEXTUAL FACTORS; 3: 5\n- PREFACE: Individual characteristics; 3: 5\n- PREFACE: Organizational context; 3: 6\n- PREFACE: Socio-professional environment; 3: 6\n- PREFACE: Personal circle; 3: 7\n- PREFACE: Variable configurations; 3: 7\n- PREFACE: ACTING AND INTERACTING IN SITU; 3: 8\n- PREFACE: Progressing by managing instability; 3: 8\n- PREFACE: Having",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"1d036b4e5f656b65bcfa7a6121fb5095582bb706::semantic_table::chunk::0002", "chunk_type": "table", "section": "TABLE OF CONTENTS", "page_start": 1, "page_end": 1, "chunk_pages": [1], "contains_table": true, "block_kinds": ["table"], "prev_chunk_id": "1d036b4e5f656b65bcfa7a6121fb5095582bb706::semantic_table::chunk::0001", "next_chunk_id": "1d036b4e5f656b65bcfa7a6121fb5095582bb706::semantic_table::chunk::0003",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"Bachelor_60_1d036b4e5f656b65bcfa7a6121fb5095582bb706.txt", "page": 1, "snippet": "ocuments; 3: 22\n- PREFACE: Tools; 3: 23\n- PREFACE: NOTES; 3: 24\n\nRaw table:\n| PREFACE | 3 |\n|--------------------------------------------------------------|-----|\n| CONDITIONSANDMEASURESTO FACILITATE DOCTORAL JOURNEY | 4 |\n| INDIVIDUAL CHARACTERISTICS AND CONTEXTUAL FACTORS | 5 |\n| Individual characteristics | 5 |\n| Organizational context | 6 |\n| Socio-professional environment | 6 |\n| Personal circle | 7 |\n| Variable configurations | 7 |\n| ACTING AND INTERACTING IN SITU | 8 |\n| Progressing by ma",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"1d036b4e5f656b65bcfa7a6121fb5095582bb706::semantic_table::chunk::0003", "chunk_type": "table", "section": "TABLE OF CONTENTS", "page_start": 1, "page_end": 1, "chunk_pages": [1], "contains_table": true, "block_kinds": ["table"], "prev_chunk_id": "1d036b4e5f656b65bcfa7a6121fb5095582bb706::semantic_table::chunk::0002", "next_chunk_id": "1d036b4e5f656b65bcfa7a6121fb5095582bb706::semantic_table::chunk::0004",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Abschlussarbeiten\n\nTable rows:\n- Bachelor: Abgabe; column_2: 1 PDF über MyUnifr 1 ; 3 gebundene Exemplare in Papierform an das Dekanat (davon je 1 Ex. für die zwei Zensoren); keine Spiralbindung\n- Bachelor: Archivierung; column_2: 1 Exemplar im Archiv der Fakultät\n\nRaw table:\n| Bachelor |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"474591eeaefa6c5efdc21f30ddab4db20843f774::semantic_table::chunk::0001", "chunk_type": "table", "section": "Abgabe - Archivierung - Veröffentlichung der wissenschaftlichen Abschlussarbeiten", "page_start": 1, "page_end": 1, "chunk_pages": [1], "contains_table": true, "block_kinds": ["table"], "prev_chunk_id": null, "next_chunk_id": "474591eeaefa6c5efdc21f30ddab4db20843f774::semantic_table::chunk::0002",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Abschlussarbeiten\n\nTable rows:\n- Master, Diplom, Kan. Lizentiat: Abgabe; column_2: 1 PDF über MyUnifr 1 ; 3 gebundene Exemplare in Papierform an das Dekanat (davon je 1 Ex. für die zwei Zensoren); keine Spiralbindung\n- Master, Diplom, Kan. Lizentiat: Archivierung; column_2: 1 Exemplar in der Kantons- und Universitätsbibliothek (KUB)\n- Master, Diplom, Kan. Lizentiat: Veröffentlichung; column_2: Wenn die Arbeit mit der Mindes",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"474591eeaefa6c5efdc21f30ddab4db20843f774::semantic_table::chunk::0002", "chunk_type": "table", "section": "Abgabe - Archivierung - Veröffentlichung der wissenschaftlichen Abschlussarbeiten", "page_start": 1, "page_end": 1, "chunk_pages": [1], "contains_table": true, "block_kinds": ["table"], "prev_chunk_id": "474591eeaefa6c5efdc21f30ddab4db20843f774::semantic_table::chunk::0001", "next_chunk_id": "474591eeaefa6c5efdc21f30ddab4db20843f774::semantic_table::chunk::0003",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Abschlussarbeiten\n\nTable rows:\n- Doktorat: Abgabe; column_2: 1 PDF über MyUnifr 1 ; 5 gebundene (oder broschierte) Exemplare an das Dekanat (vgl. Reglement vom 17.12.1996), recto-verso gedruckt; keine Spiralbindung\n- Doktorat: Umfang; column_2: 200-300 Seiten mit 2'500 Zeichen/Seite; d.h. insges. 500'000-750'000 Zeichen (ohne Leerschläge)\n- Doktorat: Veröffentlichung; column_2: als gedrucktes Buch oder durch rero-doc oder i",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"474591eeaefa6c5efdc21f30ddab4db20843f774::semantic_table::chunk::0003", "chunk_type": "table", "section": "Abgabe - Archivierung - Veröffentlichung der wissenschaftlichen Abschlussarbeiten", "page_start": 1, "page_end": 1, "chunk_pages": [1], "contains_table": true, "block_kinds": ["table"], "prev_chunk_id": "474591eeaefa6c5efdc21f30ddab4db20843f774::semantic_table::chunk::0002", "next_chunk_id": "474591eeaefa6c5efdc21f30ddab4db20843f774::semantic_table::chunk::0004",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n| Abgabe | 1 PDF über MyUnifr 1 ; 5 gebundene (oder broschierte) Exemplare an das Dekanat (vgl. Reglement vom 17.12.1996), recto-verso",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"474591eeaefa6c5efdc21f30ddab4db20843f774::semantic_table::chunk::0004", "chunk_type": "table", "section": "Abgabe - Archivierung - Veröffentlichung der wissenschaftlichen Abschlussarbeiten", "page_start": 1, "page_end": 1, "chunk_pages": [1], "contains_table": true, "block_kinds": ["table"], "prev_chunk_id": "474591eeaefa6c5efdc21f30ddab4db20843f774::semantic_table::chunk::0003", "next_chunk_id": "474591eeaefa6c5efdc21f30ddab4db20843f774::semantic_table::chunk::0005",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 &gt; 2 Gemäss Fakultätsbeschluss vom 11.12.2018\n\nTable rows:\n- Habilitation: Abgabe; column_2: 1 elektronisches Dokument PDF 1 ; 4 gebundene (oder broschierte) Exemplare an das Dekanat (vgl. geltendes Habilitationsreglement); keine Spiralbindung\n- Habilitation: Veröffentlichung; column_2: als gedrucktes Buch\n- Habilitation: Pflichtexemplare 3; column_2: a) bei Veröffentlichung über einen Verlag : 8 Ex des ged",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"474591eeaefa6c5efdc21f30ddab4db20843f774::semantic_table::chunk::0007",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"474591eeaefa6c5efdc21f30ddab4db20843f774::semantic_table::chunk::0006", "next_chunk_id": "474591eeaefa6c5efdc21f30ddab4db20843f774::semantic_table::chunk::0008",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"ichtexemplare 3 | a) bei Veröffentlichung über einen Verlag : 8 Ex des gedruckten Buches an die Kantons- und Universitätsbibliothek https://www3.unifr.ch/biblio/de/ (davon sind: 3 Ex. für die Mitglieder der Jury, 1 Ex. für das Archiv der Fakultät, 2 Ex. für die KUB, 1 Ex. für die BHT, 1 Ex. für die Nationalbibliothek Bern); b) bei einer Veröffentlichung im Selbstverlag : 15 Ex. an die KUB (davon 8 Ex. wie unter a), die weiteren Exemplare zum Tausch unter Bibliotheken |",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"474591eeaefa6c5efdc21f30ddab4db20843f774::semantic_table::chunk::0008",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"474591eeaefa6c5efdc21f30ddab4db20843f774::semantic_table::chunk::0007", "next_chunk_id": "474591eeaefa6c5efdc21f30ddab4db20843f774::semantic_table::chunk::0009",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Abgabe - Archivierung - Veröffentlichung der wissenschaftlichen Abschlussarbeiten &gt; 2 Gemäss Fakultätsbeschluss vom 11.12.2018\n\n| Einband | Grundsätzlich gilt: Die zur Archivierung bestimmten Exemplare dürfen keine Spiralbindung haben.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"474591eeaefa6c5efdc21f30ddab4db20843f774::semantic_table::chunk::0009",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"474591eeaefa6c5efdc21f30ddab4db20843f774::semantic_table::chunk::0008", "next_chunk_id": "474591eeaefa6c5efdc21f30ddab4db20843f774::semantic_table::chunk::0010",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 {"source": "Bachelor_60_474591eeaefa6c5efdc21f30ddab4db20843f774.txt", "page": 1, "snippet": "Section: Ehrenwörtliche Erklärung\n\nTable rows:\n- Prüfungs- und Diplomgebühren 4: Prüfungs- und Diplomgebühren 4; fällig bei der Abgabe der schriftlichen Arbeit, per Banküberweisung zu bezahlen (direkt über MyUnifr): Vollprogramm; fällig bei der Abgabe der schriftlichen Arbeit, per Banküberweisung zu bezahlen (direkt über MyUnifr): Hauptprogramm; fällig bei der Abgabe der schriftlichen Arbeit, per Banküberweisung zu bezahlen (direkt über MyUnifr): Nebenprogramm\n- Prüfungs- und Diplomgebühren 4: B",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"474591eeaefa6c5efdc21f30ddab4db20843f774::semantic_table::chunk::0011", "chunk_type": "table", "section": "Ehrenwörtliche Erklärung", "page_start": 1, "page_end": 1, "chunk_pages": [1], "contains_table": true, "block_kinds": ["table"], "prev_chunk_id": "474591eeaefa6c5efdc21f30ddab4db20843f774::semantic_table::chunk::0010", "next_chunk_id": "474591eeaefa6c5efdc21f30ddab4db20843f774::semantic_table::chunk::0012", "rag_source": "studyplans", "category": "studyplans", "retrieval_debug": {"detected_program_name": "Theology", "detected_program_key": null, "detected_degree": "Bachelor", "detected_ects": null, "detected_year": null, "retrieval_mode": "metadata_first", "candidate_count_after_program_degree_ects": 308, "source_intent": "base_data", "returned_count": 10, "returned_programs": ["Theology"]}}, "retrieval_debug": {"retrieval_mode": "metadata_and_language_aware", "requested_language": "en", "runs": [{"detected_program_name": "Theology", "detected_program_key": null, "detected_degree": "Bachelor", "detected_ects": null, "detected_year": null, "retrieval_mode": "metadata_first", "candidate_count_after_program_degree_ects": 308, "source_intent": "base_data", "returned_count": 10, "returned_programs": ["Theology"], "query": "How long does the bachelor program usually take?", "query_language": "en"}], "returned_count": 10}}]</t>
  </si>
  <si>
    <t>Bachelor_60_1d036b4e5f656b65bcfa7a6121fb5095582bb706.txt</t>
  </si>
  <si>
    <t>Section: TABLE OF CONTENTS Table rows: - PREFACE: CONDITIONSANDMEASURESTO FACILITATE DOCTORAL JOURNEY; 3: 4 - PREFACE: INDIVIDUAL CHARACTERISTICS AND CONTEXTUAL FACTORS; 3: 5 - PREFACE: Individual characteristics; 3: 5 - PREFACE: Organizational context; 3: 6 - PREFACE: Socio-professional environment; 3: 6 - PREFACE: Personal circle; 3: 7 - PREFACE:</t>
  </si>
  <si>
    <t>all wrong, should be found in base_data vectorstore…. But only studyplan is looked at…</t>
  </si>
  <si>
    <t>from structure_of_studies.json</t>
  </si>
  <si>
    <t>poor</t>
  </si>
  <si>
    <t>What courses does the Bachelor in Economics with 180 ECTS include in the first study year?</t>
  </si>
  <si>
    <t>List of first-year courses if the study plan provides this structure, otherwise reasoning from rag</t>
  </si>
  <si>
    <t>Mixed</t>
  </si>
  <si>
    <t>RAG over study plan documents</t>
  </si>
  <si>
    <t>study plan PDF</t>
  </si>
  <si>
    <t>course titles/codes, first-year context</t>
  </si>
  <si>
    <t>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 Bachelor_180_41450504d325032f6be1d07dced427aa31d74fd1.txt</t>
  </si>
  <si>
    <t>1. [studyplans] Bachelor_180_41450504d325032f6be1d07dced427aa31d74fd1.txt p.1 - Section: 1. Jahr 60 ECTS Table rows: - Code: EGE.00136; Lehreinheit: Einführung in die Betriebswirtschaftslehre; Lehrer(innen): Barmettler, Milosavljevic; Semester: HS-2025; Niveau: BA; Sprache: de; Bewertung: Schriftlic
2. [studyplans] Bachelor_180_41450504d325032f6be1d07dced427aa31d74fd1.txt p.1 - atik I; Lehrer(innen): Fill; Semester: HS-2025; Niveau: BA; Sprache: de; Bewertung: Schriftliche Prüfung; ECTS: 6 - Code: EIG.00038; Lehreinheit: Informatique de gestion II; Lehrer(innen): Fischer; Semester: FS-2026; Niv
3. [studyplans] Bachelor_180_41450504d325032f6be1d07dced427aa31d74fd1.txt p.1 - ion (d); Lehrer(innen): Gmür; Semester: FS-2026; Niveau: BA; Sprache: de; Bewertung: Schriftliche Prüfung; ECTS: 6 - Code: ESE.00028; Lehreinheit: Einführung in die Statistik II; Lehrer(innen): Huber; Semester: FS-2026; 
4. [studyplans] Bachelor_180_41450504d325032f6be1d07dced427aa31d74fd1.txt p.1 - he Prüfung | 6 | | EIG.00037 | Wirtschaftsinformatik I | Fill | HS-2025 | BA | de | Schriftliche Prüfung | 6 | | EIG.00038 | Informatique de gestion II | Fischer | FS-2026 | BA | fr | Schriftliche Prüfung | 6 | | EIG.000
5. [studyplans] Bachelor_180_41450504d325032f6be1d07dced427aa31d74fd1.txt p.1 - Section: Pflichtkurse 54 ECTS Table rows: - EEP.00220: EEP.00221; Macroéconomie I: Makroökonomie I; Massonnet: Grossmann; HS-2025: HS-2025; BA: BA; fr: de; Mündliche Prüfung: Schriftliche Prüfung; 6: 6 - EEP.00220: EEP.0
6. [studyplans] Bachelor_180_41450504d325032f6be1d07dced427aa31d74fd1.txt p.1 - 00220 | Macroéconomie I | Massonnet | HS-2025 | BA | fr | Mündliche Prüfung | 6 | |-------------|------------------------------------------------|-----------------|-----------|------|------|----------------------|-----| 
7. [studyplans] Bachelor_180_41450504d325032f6be1d07dced427aa31d74fd1.txt p.1 - Section: Pflichtkurse 54 ECTS Table rows: - Code: EEP.00229; Lehreinheit: Macroéconomie II; Lehrer(innen): Rossi-Pedruzzi; Semester: FS-2026; Niveau: BA; Sprache: fr; Bewertung: Mündliche Prüfung; ECTS: 6 - Code: EEP.002
8. [studyplans] Bachelor_180_41450504d325032f6be1d07dced427aa31d74fd1.txt p.1 - ESE.00030; Lehreinheit: Vertiefungskurs Statistik; Lehrer(innen): Leuenberger; Semester: FS-2026; Niveau: BA; Sprache: de; Bewertung: Schriftliche Prüfung; ECTS: 4.5 Raw table: | Code | Lehreinheit | Lehrer(innen) | Seme
9. [studyplans] Bachelor_180_41450504d325032f6be1d07dced427aa31d74fd1.txt p.1 - Section: Seminararbeit oder Wahlkurse min. 6 ECTS Table rows: - ESE.00001: ESE.00001; Travail de séminaire: Travail de séminaire; Travail de séminaire: Travail de séminaire; HS-2025: FS-2026; BA: BA; fr: fr; Fortlaufende
10. [studyplans] Bachelor_180_41450504d325032f6be1d07dced427aa31d74fd1.txt p.1 - EGE.00282; Travail de séminaire: MAN05D: Human Resource Management; Travail de séminaire: Gmür; HS-2025: HS-2025; BA: BA; fr: de; Fortlaufende Evaluation: Schriftliche Prüfung; 6: 4.5 - ESE.00001: EGE.00263; Travail de s</t>
  </si>
  <si>
    <t>[{"source": "Bachelor_180_41450504d325032f6be1d07dced427aa31d74fd1.txt", "page": 1, "snippet": "Section: 1. Jahr 60 ECTS\n\nTable rows:\n- Code: EGE.00136; Lehreinheit: Einführung in die Betriebswirtschaftslehre; Lehrer(innen): Barmettler, Milosavljevic; Semester: HS-2025; Niveau: BA; Sprache: de; Bewertung: Schriftliche Prüfung; ECTS: 6\n- Code: EGE.00135; Lehreinheit: Introduction à la gestion d'entreprise; Lehrer(innen): Davoine; Semester: HS-2025; Niveau: BA; Sprache: fr; Bewertung: Schriftliche Prüfung; ECTS: 6\n- Code: EGE.00137; Lehreinheit: Introduction à la comptabilité; Lehrer(innen):",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"41450504d325032f6be1d07dced427aa31d74fd1::semantic_table::chunk::0009", "chunk_type": "table", "section": "1. Jahr 60 ECTS", "page_start": 1, "page_end": 1, "chunk_pages": [1], "contains_table": true, "block_kinds": ["table"], "prev_chunk_id": "41450504d325032f6be1d07dced427aa31d74fd1::semantic_table::chunk::0008", "next_chunk_id": "41450504d325032f6be1d07dced427aa31d74fd1::semantic_table::chunk::0010",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"atik I; Lehrer(innen): Fill; Semester: HS-2025; Niveau: BA; Sprache: de; Bewertung: Schriftliche Prüfung; ECTS: 6\n- Code: EIG.00038; Lehreinheit: Informatique de gestion II; Lehrer(innen): Fischer; Semester: FS-2026; Niveau: BA; Sprache: fr; Bewertung: Schriftliche Prüfung; ECTS: 6\n- Code: EIG.00039; Lehreinheit: Wirtschaftsinformatik II; Lehrer(innen): Fill; Semester: FS-2026; Niveau: BA; Sprache: de; Bewertung: Schriftliche Prüfung; ECTS: 6\n- Code: ESE.00048; Lehreinheit: Mathematik I; Lehrer(",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"41450504d325032f6be1d07dced427aa31d74fd1::semantic_table::chunk::0010", "chunk_type": "table", "section": "1. Jahr 60 ECTS", "page_start": 1, "page_end": 1, "chunk_pages": [1], "contains_table": true, "block_kinds": ["table"], "prev_chunk_id": "41450504d325032f6be1d07dced427aa31d74fd1::semantic_table::chunk::0009", "next_chunk_id": "41450504d325032f6be1d07dced427aa31d74fd1::semantic_table::chunk::0011",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"ion (d); Lehrer(innen): Gmür; Semester: FS-2026; Niveau: BA; Sprache: de; Bewertung: Schriftliche Prüfung; ECTS: 6\n- Code: ESE.00028; Lehreinheit: Einführung in die Statistik II; Lehrer(innen): Huber; Semester: FS-2026; Niveau: BA; Sprache: de; Bewertung: Schriftliche Prüfung; ECTS: 4.5\n- Code: ESE.00027; Lehreinheit: Introduction à la statistique II; Lehrer(innen): Kauth, Kauth; Semester: FS-2026; Niveau: BA; Sprache: fr; Bewertung: Schriftliche Prüfung; ECTS: 4.5\n\nRaw table:\n| Code | Lehreinhe",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"41450504d325032f6be1d07dced427aa31d74fd1::semantic_table::chunk::0011", "chunk_type": "table", "section": "1. Jahr 60 ECTS", "page_start": 1, "page_end": 1, "chunk_pages": [1], "contains_table": true, "block_kinds": ["table"], "prev_chunk_id": "41450504d325032f6be1d07dced427aa31d74fd1::semantic_table::chunk::0010", "next_chunk_id": "41450504d325032f6be1d07dced427aa31d74fd1::semantic_table::chunk::0012",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"he Prüfung | 6 |\n| EIG.00037 | Wirtschaftsinformatik I | Fill | HS-2025 | BA | de | Schriftliche Prüfung | 6 |\n| EIG.00038 | Informatique de gestion II | Fischer | FS-2026 | BA | fr | Schriftliche Prüfung | 6 |\n| EIG.00039 | Wirtschaftsinformatik II | Fill | FS-2026 | BA | de | Schriftliche Prüfung | 6 |\n| ESE.00048 | Mathematik I | Leuenberger | HS-2025 | BA | de | Schriftliche Prüfung | 4.5 |\n| ESE.00047 | Mathématiques I | Schindl | HS-2025 | BA | fr | Schriftliche Prüfung | 4.5 |\n| ESE.00052",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"41450504d325032f6be1d07dced427aa31d74fd1::semantic_table::chunk::0012", "chunk_type": "table", "section": "1. Jahr 60 ECTS", "page_start": 1, "page_end": 1, "chunk_pages": [1], "contains_table": true, "block_kinds": ["table"], "prev_chunk_id": "41450504d325032f6be1d07dced427aa31d74fd1::semantic_table::chunk::0011", "next_chunk_id": "41450504d325032f6be1d07dced427aa31d74fd1::semantic_table::chunk::0013",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"Section: Pflichtkurse 54 ECTS\n\nTable rows:\n- EEP.00220: EEP.00221; Macroéconomie I: Makroökonomie I; Massonnet: Grossmann; HS-2025: HS-2025; BA: BA; fr: de; Mündliche Prüfung: Schriftliche Prüfung; 6: 6\n- EEP.00220: EEP.00355; Macroéconomie I: ECO01F: Histoire des faits économiques; Massonnet: Dumas, Schrey; HS-2025: HS-2025; BA: BA; fr: fr; Mündliche Prüfung: Schriftliche Prüfung; 6: 6\n- EEP.00220: EEP.00356; Macroéconomie I: ECO01D: Wirtschaftsgeschichte; Massonnet: Herz; HS-2025: HS-2025; BA:",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"41450504d325032f6be1d07dced427aa31d74fd1::semantic_table::chunk::0014", "chunk_type": "table", "section": "Pflichtkurse 54 ECTS", "page_start": 1, "page_end": 1, "chunk_pages": [1], "contains_table": true, "block_kinds": ["table"], "prev_chunk_id": "41450504d325032f6be1d07dced427aa31d74fd1::semantic_table::chunk::0013", "next_chunk_id": "41450504d325032f6be1d07dced427aa31d74fd1::semantic_table::chunk::0015",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"00220 | Macroéconomie I | Massonnet | HS-2025 | BA | fr | Mündliche Prüfung | 6 |\n|-------------|------------------------------------------------|-----------------|-----------|------|------|----------------------|-----|\n| EEP.00221 | Makroökonomie I | Grossmann | HS-2025 | BA | de | Schriftliche Prüfung | 6 |\n| EEP.00355 | ECO01F: Histoire des faits économiques | Dumas, Schrey | HS-2025 | BA | fr | Schriftliche Prüfung | 6 |\n| EEP.00356 | ECO01D: Wirtschaftsgeschichte | Herz | HS-2025 | BA | de ",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"41450504d325032f6be1d07dced427aa31d74fd1::semantic_table::chunk::0015", "chunk_type": "table", "section": "Pflichtkurse 54 ECTS", "page_start": 1, "page_end": 1, "chunk_pages": [1], "contains_table": true, "block_kinds": ["table"], "prev_chunk_id": "41450504d325032f6be1d07dced427aa31d74fd1::semantic_table::chunk::0014", "next_chunk_id": "41450504d325032f6be1d07dced427aa31d74fd1::semantic_table::chunk::0016",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"Section: Pflichtkurse 54 ECTS\n\nTable rows:\n- Code: EEP.00229; Lehreinheit: Macroéconomie II; Lehrer(innen): Rossi-Pedruzzi; Semester: FS-2026; Niveau: BA; Sprache: fr; Bewertung: Mündliche Prüfung; ECTS: 6\n- Code: EEP.00230; Lehreinheit: Makroökonomie II; Lehrer(innen): Grossmann; Semester: FS-2026; Niveau: BA; Sprache: de; Bewertung: Schriftliche Prüfung; ECTS: 6\n- Code: EEP.00336; Lehreinheit: ECO02F: Économie publique; Lehrer(innen): Schelker; Semester: FS-2026; Niveau: BA; Sprache: fr; Bewer",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"41450504d325032f6be1d07dced427aa31d74fd1::semantic_table::chunk::0016", "chunk_type": "table", "section": "Pflichtkurse 54 ECTS", "page_start": 1, "page_end": 1, "chunk_pages": [1], "contains_table": true, "block_kinds": ["table"], "prev_chunk_id": "41450504d325032f6be1d07dced427aa31d74fd1::semantic_table::chunk::0015", "next_chunk_id": "41450504d325032f6be1d07dced427aa31d74fd1::semantic_table::chunk::0017",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"ESE.00030; Lehreinheit: Vertiefungskurs Statistik; Lehrer(innen): Leuenberger; Semester: FS-2026; Niveau: BA; Sprache: de; Bewertung: Schriftliche Prüfung; ECTS: 4.5\n\nRaw table:\n| Code | Lehreinheit | Lehrer(innen) | Semester | Niveau | Sprache | Bewertung | ECTS |\n|-----------|----------------------------------------|-----------------|------------|----------|-----------|--------------------------------------------------|--------|\n| EEP.00229 | Macroéconomie II | Rossi-Pedruzzi | FS-2026 | BA | ",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"41450504d325032f6be1d07dced427aa31d74fd1::semantic_table::chunk::0017", "chunk_type": "table", "section": "Pflichtkurse 54 ECTS", "page_start": 1, "page_end": 1, "chunk_pages": [1], "contains_table": true, "block_kinds": ["table"], "prev_chunk_id": "41450504d325032f6be1d07dced427aa31d74fd1::semantic_table::chunk::0016", "next_chunk_id": "41450504d325032f6be1d07dced427aa31d74fd1::semantic_table::chunk::0018",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"Section: Seminararbeit oder Wahlkurse min. 6 ECTS\n\nTable rows:\n- ESE.00001: ESE.00001; Travail de séminaire: Travail de séminaire; Travail de séminaire: Travail de séminaire; HS-2025: FS-2026; BA: BA; fr: fr; Fortlaufende Evaluation: Fortlaufende Evaluation; 6: 6\n- ESE.00001: ESE.00003; Travail de séminaire: Seminar Paper; Travail de séminaire: Seminar Paper; HS-2025: HS-2025; BA: BA; fr: en; Fortlaufende Evaluation: Fortlaufende Evaluation; 6: 6\n- ESE.00001: ESE.00003; Travail de séminaire: Sem",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"41450504d325032f6be1d07dced427aa31d74fd1::semantic_table::chunk::0019", "chunk_type": "table", "section": "Seminararbeit oder Wahlkurse min. 6 ECTS", "page_start": 1, "page_end": 1, "chunk_pages": [1], "contains_table": true, "block_kinds": ["table"], "prev_chunk_id": "41450504d325032f6be1d07dced427aa31d74fd1::semantic_table::chunk::0018", "next_chunk_id": "41450504d325032f6be1d07dced427aa31d74fd1::semantic_table::chunk::0020",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 {"source": "Bachelor_180_41450504d325032f6be1d07dced427aa31d74fd1.txt", "page": 1, "snippet": "EGE.00282; Travail de séminaire: MAN05D: Human Resource Management; Travail de séminaire: Gmür; HS-2025: HS-2025; BA: BA; fr: de; Fortlaufende Evaluation: Schriftliche Prüfung; 6: 4.5\n- ESE.00001: EGE.00263; Travail de séminaire: MAN06E: Introductory course in Entrepreneurship; Travail de séminaire: Fauchart; HS-2025: HS-2025; BA: BA; fr: en; Fortlaufende Evaluation: Fortlaufende Evaluation; 6: 4.5\n- ESE.00001: EGE.00283; Travail de séminaire: MAN08F: Management stratégique; Travail de séminaire", "metadata": {"parsed_at": "2026-04-10T16:40:32.976Z", "pages": 1, "parser": "docling", "doc_key": "41450504d325032f6be1d07dced427aa31d74fd1", "degree_level": "Bachelor", "total_ects": 180, "program_name": "Economics", "doc_label": "Studienplan", "source_url": "https://www.calameo.com/read/003659115d7f306129b9a", "source_type": "calameo", "curriculum_url": "http://studies.unifr.ch/go/QLgAu", "fetched_at": "2026-04-03T11:31:45.181Z", "source_file": "Bachelor_180_41450504d325032f6be1d07dced427aa31d74fd1.txt", "index_variant": "table_semantic_v1", "chunk_id": "41450504d325032f6be1d07dced427aa31d74fd1::semantic_table::chunk::0020", "chunk_type": "table", "section": "Seminararbeit oder Wahlkurse min. 6 ECTS", "page_start": 1, "page_end": 1, "chunk_pages": [1], "contains_table": true, "block_kinds": ["table"], "prev_chunk_id": "41450504d325032f6be1d07dced427aa31d74fd1::semantic_table::chunk::0019", "next_chunk_id": "41450504d325032f6be1d07dced427aa31d74fd1::semantic_table::chunk::0021", "rag_source": "studyplans", "category": "studyplans", "retrieval_debug": {"detected_program_name": "Economics", "detected_program_key": null, "detected_degree": "Bachelor", "detected_ects": 180, "detected_year": null, "retrieval_mode": "metadata_first", "candidate_count_after_program_degree_ects": 47, "source_intent": "studyplans", "returned_count": 10, "returned_programs": ["Economics"]}}, "retrieval_debug": {"retrieval_mode": "metadata_and_language_aware", "requested_language": "en", "runs": [{"detected_program_name": "Economics", "detected_program_key": null, "detected_degree": "Bachelor", "detected_ects": 180, "detected_year": null, "retrieval_mode": "metadata_first", "candidate_count_after_program_degree_ects": 47, "source_intent": "studyplans", "returned_count": 10, "returned_programs": ["Economics"], "query": "What courses does the Bachelor in Economics with 180 ECTS include in the first study year?", "query_language": "en"}], "returned_count": 10}}]</t>
  </si>
  <si>
    <t>Bachelor_180_41450504d325032f6be1d07dced427aa31d74fd1.txt</t>
  </si>
  <si>
    <t>Section: 1. Jahr 60 ECTS Table rows: - Code: EGE.00136; Lehreinheit: Einführung in die Betriebswirtschaftslehre; Lehrer(innen): Barmettler, Milosavljevic; Semester: HS-2025; Niveau: BA; Sprache: de; Bewertung: Schriftliche Prüfung; ECTS: 6 - Code: EGE.00135; Lehreinheit: Introduction à la gestion d'entreprise; Lehrer(innen): Davoine; Semester: HS-2</t>
  </si>
  <si>
    <t>correct section per se but not the whole section is printed or not all the relevant sections are found… here only two courses are listed but the table of the first year actually contains like 12 courses…--&gt; listed in the other snippets!</t>
  </si>
  <si>
    <t>5e9d1f5b2070cadc853b7d891d01f79f908e1a5c and or f365ca6340006ffa0a7aac016163d40f7f6c1452</t>
  </si>
  <si>
    <t>course_facts</t>
  </si>
  <si>
    <t>easy</t>
  </si>
  <si>
    <t>How many ECTS does UE-F23.00128 have?</t>
  </si>
  <si>
    <t>Exact value from Course/CourseOffering records.</t>
  </si>
  <si>
    <t>API /courses/:code</t>
  </si>
  <si>
    <t>Course, CourseOffering, teaches, is_taught_in</t>
  </si>
  <si>
    <t>ECTS</t>
  </si>
  <si>
    <t>Master_120_09f4bd6a51cf2c49c32336cd4099f24000d81954.txt;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Master_120_3989b736d081fc14112cef5da562d7d27fd454b2.txt; Master_120_4f291852b84fb9a202be20c6da4cd8ef5eb97035.txt</t>
  </si>
  <si>
    <t>1. [studyplans] Master_120_09f4bd6a51cf2c49c32336cd4099f24000d81954.txt p.1 - Section: 1 To be chosen during the last semester of study Table rows: - Title of UE: Compulsory Courses - Code: SPH.04203; Title of UE: Atomic spectroscopy (lecture and exercises); tot. h.: 42; ECTS: 3.5 - Code: SPH.0440
2. [studyplans] Master_120_28f0a44a437eb3a95c3ff6bc5be31d9f44a0fcde.txt p.1 - Section: Recommended courses Table rows: - SBL.00123: SBL.00126; Cellular and genetic networks (BeFri lecture): Established and emerging organisms for marine science; SS: SS, block course; 28: 10 days; 3: 6 - SBL.00123: 
3. [studyplans] Master_120_28f0a44a437eb3a95c3ff6bc5be31d9f44a0fcde.txt p.1 - 3x14; 3: 3 - SBL.00123: SBL.10105; Cellular and genetic networks (BeFri lecture): Research seminars in molecular life and health sciences; SS: 3 sem.; 28: 3x14; 3: 3 - SBL.00123: SBL.00431; Cellular and genetic networks 
4. [studyplans] Master_120_28f0a44a437eb3a95c3ff6bc5be31d9f44a0fcde.txt p.1 - Section: 2.1.2 Option Neurobiology Table rows: - Code: General skills (obligatory); column_2: General skills (obligatory) - Code: SBL.00427; column_2: Visual communication of data; Semester: SS; tot. h.: 8; ECTS: 1 - Cod
5. [studyplans] Master_120_28f0a44a437eb3a95c3ff6bc5be31d9f44a0fcde.txt p.1 - 0416; column_2: Biological rhythms; Semester: SS; tot. h.: 8; ECTS: 1 - Code: SBL.00428; column_2: Optogenetics and photopharmacology; Semester: SS; tot. h.: 8; ECTS: 1 - Code: SME.05001; column_2: Neurobiology seminars;
6. [studyplans] Master_120_28f0a44a437eb3a95c3ff6bc5be31d9f44a0fcde.txt p.1 - ; TE: E; Occurrence: Annual; AS - Code: SBL.00119; Title: Molecular genetics of model organism development; DBR: O; NEU: O; BCB: R; MAR: R; TE: O; Occurrence: Annual; AS - Code: SBL.00123; Title: Cellular and genetic net
7. [studyplans] Master_120_28f0a44a437eb3a95c3ff6bc5be31d9f44a0fcde.txt p.1 - -------------------|----------------------------------------------------------------|-------|-------|-------|-------|------|----------------|---------------------------------------| | SBC.04202 | Eucaryotic cell growth |
8. [studyplans] Master_120_28f0a44a437eb3a95c3ff6bc5be31d9f44a0fcde.txt p.1 - developmental biology I | O | O | R | R | R | Annual; SS | | | SBL.00128 | BeFri research colloquium in cell and developmental biology II | R | O | R | R | R | Annual; SS | | | SBL.00129 | BeFri research retreat in cell 
9. [studyplans] Master_120_3989b736d081fc14112cef5da562d7d27fd454b2.txt p.1 - Section: Semester 1 (autumn) Table rows: - Code: SPH.04608; Title of UE: Many-body physics (lecture and exercises); tot. h.: 42; ECTS: 3.5 - Code: SPH.04303; Title of UE: Magnetism and quantum fluids (lecture and exercis
10. [studyplans] Master_120_4f291852b84fb9a202be20c6da4cd8ef5eb97035.txt p.1 - Section: 3.1.1 Compulsory Courses (30 ECTS ; PV-SPH.0000055) Table rows: - Semester 1 (autumn): Code; Semester 1 (autumn): Title of UE; Semester 1 (autumn): tot. h.; Semester 1 (autumn): ECTS - Semester 1 (autumn): SPH.0</t>
  </si>
  <si>
    <t>[{"source": "Master_120_09f4bd6a51cf2c49c32336cd4099f24000d81954.txt", "page": 1, "snippet": "Section: 1 To be chosen during the last semester of study\n\nTable rows:\n- Title of UE: Compulsory Courses\n- Code: SPH.04203; Title of UE: Atomic spectroscopy (lecture and exercises); tot. h.: 42; ECTS: 3.5\n- Code: SPH.04404; Title of UE: Structure and dynamics of matter (lecture and exercises); tot. h.: 42; ECTS: 3.5\n- Code: SPH.04606; Title of UE: Introduction to the many-body problem (lecture and exercises); tot. h.: 42; ECTS: 3.5\n- Code: SPH.04008; Title of UE: Colloquia; tot. h.: 14; ECTS: 0.", "metadata": {"parsed_at": "2026-04-09T06:09:23.012Z", "pages": 1, "parser": "docling", "doc_key": "09f4bd6a51cf2c49c32336cd4099f24000d81954", "degree_level": "Master", "total_ects": 120, "program_name": "Experimental Biomedical Research", "doc_label": "Master of Science in Physics", "source_url": "https://cdn.unifr.ch/scimed/plans/2022/Plan_MSc_PH_en.pdf", "source_type": "pdf", "curriculum_url": "http://studies.unifr.ch/go/vBvMa", "fetched_at": "2026-04-03T11:26:40.960Z", "source_file": "Master_120_09f4bd6a51cf2c49c32336cd4099f24000d81954.txt", "index_variant": "table_semantic_v1", "chunk_id": "09f4bd6a51cf2c49c32336cd4099f24000d81954::semantic_table::chunk::0024", "chunk_type": "table", "section": "1 To be chosen during the last semester of study", "page_start": 1, "page_end": 1, "chunk_pages": [1], "contains_table": true, "block_kinds": ["table"], "prev_chunk_id": "09f4bd6a51cf2c49c32336cd4099f24000d81954::semantic_table::chunk::0023", "next_chunk_id": "09f4bd6a51cf2c49c32336cd4099f24000d81954::semantic_table::chunk::0025",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"Section: Recommended courses\n\nTable rows:\n- SBL.00123: SBL.00126; Cellular and genetic networks (BeFri lecture): Established and emerging organisms for marine science; SS: SS, block course; 28: 10 days; 3: 6\n- SBL.00123: SBL.00128; Cellular and genetic networks (BeFri lecture): BeFri research colloquium in cell and developmental biology II; SS: SS; 28: 12; 3: 1.5\n- SBL.00123: SBL.00451; Cellular and genetic networks (BeFri lecture): Introduction to mass spectrometry and proteomics; SS: AS; 28: 8",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"28f0a44a437eb3a95c3ff6bc5be31d9f44a0fcde::semantic_table::chunk::0034", "chunk_type": "table", "section": "Recommended courses", "page_start": 1, "page_end": 1, "chunk_pages": [1], "contains_table": true, "block_kinds": ["table"], "prev_chunk_id": "28f0a44a437eb3a95c3ff6bc5be31d9f44a0fcde::semantic_table::chunk::0033", "next_chunk_id": "28f0a44a437eb3a95c3ff6bc5be31d9f44a0fcde::semantic_table::chunk::0035",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"3x14; 3: 3\n- SBL.00123: SBL.10105; Cellular and genetic networks (BeFri lecture): Research seminars in molecular life and health sciences; SS: 3 sem.; 28: 3x14; 3: 3\n- SBL.00123: SBL.00431; Cellular and genetic networks (BeFri lecture): Seminars in biology; SS: 4 sem.; 28: 4x10; 3: 2\n- SBL.00123: SBL.10100; Cellular and genetic networks (BeFri lecture): Journal club in molecular life sciences; SS: 3 sem.; 28: 3x14; 3: 3\n- SBL.00123: Total ECTS points in thesis-related activities; Cellular and ge",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"28f0a44a437eb3a95c3ff6bc5be31d9f44a0fcde::semantic_table::chunk::0036", "chunk_type": "table", "section": "Recommended courses", "page_start": 1, "page_end": 1, "chunk_pages": [1], "contains_table": true, "block_kinds": ["table"], "prev_chunk_id": "28f0a44a437eb3a95c3ff6bc5be31d9f44a0fcde::semantic_table::chunk::0035", "next_chunk_id": "28f0a44a437eb3a95c3ff6bc5be31d9f44a0fcde::semantic_table::chunk::0037",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"Section: 2.1.2 Option Neurobiology\n\nTable rows:\n- Code: General skills (obligatory); column_2: General skills (obligatory)\n- Code: SBL.00427; column_2: Visual communication of data; Semester: SS; tot. h.: 8; ECTS: 1\n- Code: Obligatory courses; column_2: Obligatory courses\n- Code: SBL.00114; column_2: Experimental genetics; Semester: AS; tot. h.: 8; ECTS: 1\n- Code: SBL.00115; column_2: The RNA world; Semester: AS; tot. h.: 12; ECTS: 1.5\n- Code: SBL.00117; column_2: Neurogenetics (BeFri lecture);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"28f0a44a437eb3a95c3ff6bc5be31d9f44a0fcde::semantic_table::chunk::0040", "chunk_type": "table", "section": "2.1.2 Option Neurobiology", "page_start": 1, "page_end": 1, "chunk_pages": [1], "contains_table": true, "block_kinds": ["table"], "prev_chunk_id": "28f0a44a437eb3a95c3ff6bc5be31d9f44a0fcde::semantic_table::chunk::0039", "next_chunk_id": "28f0a44a437eb3a95c3ff6bc5be31d9f44a0fcde::semantic_table::chunk::0041",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"0416; column_2: Biological rhythms; Semester: SS; tot. h.: 8; ECTS: 1\n- Code: SBL.00428; column_2: Optogenetics and photopharmacology; Semester: SS; tot. h.: 8; ECTS: 1\n- Code: SME.05001; column_2: Neurobiology seminars; Semester: AS; tot. h.: 5; ECTS: 0.5\n- Code: SME.06001; column_2: Neurobiology seminars; Semester: SS; tot. h.: 5; ECTS: 0.5\n- Code: Total ECTS credits in obligatory courses; column_2: Total ECTS credits in obligatory courses; ECTS: 26.5\n\nRaw table:\n| Code | | Semester | tot. h.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"28f0a44a437eb3a95c3ff6bc5be31d9f44a0fcde::semantic_table::chunk::0041", "chunk_type": "table", "section": "2.1.2 Option Neurobiology", "page_start": 1, "page_end": 1, "chunk_pages": [1], "contains_table": true, "block_kinds": ["table"], "prev_chunk_id": "28f0a44a437eb3a95c3ff6bc5be31d9f44a0fcde::semantic_table::chunk::0040", "next_chunk_id": "28f0a44a437eb3a95c3ff6bc5be31d9f44a0fcde::semantic_table::chunk::0042",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 TE: E; Occurrence: Annual; AS\n- Code: SBL.00119; Title: Molecular genetics of model organism development; DBR: O; NEU: O; BCB: R; MAR: R; TE: O; Occurrence: Annual; AS\n- Code: SBL.00123; Title: Cellular and genetic networks; DBR: R; NEU: O; BCB: R; MAR: R; TE: R; Occurrence: Annual; SS\n- Code: SBL.00125; Title: Light and fluorescence microscopy for life sciences; DBR: O; NEU: O; BCB: O; MAR: O; TE: R; Occurrence: Annual; AS\n- Code: SBL.00126; Title: Established and emerging organisms for marin",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"28f0a44a437eb3a95c3ff6bc5be31d9f44a0fcde::semantic_table::chunk::0065", "chunk_type": "table", "section": "3. Appendix: Table summarizing all master courses &gt; Some teaching units are given every two years:", "page_start": 1, "page_end": 1, "chunk_pages": [1], "contains_table": true, "block_kinds": ["table"], "prev_chunk_id": "28f0a44a437eb3a95c3ff6bc5be31d9f44a0fcde::semantic_table::chunk::0064", "next_chunk_id": "28f0a44a437eb3a95c3ff6bc5be31d9f44a0fcde::semantic_table::chunk::0066",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"-------------------|----------------------------------------------------------------|-------|-------|-------|-------|------|----------------|---------------------------------------|\n| SBC.04202 | Eucaryotic cell growth | R | R | O | E | E | Annual; AS | |\n| SBC.04203 | control Genotyping | R | R | O | E | E | Annual; AS | |\n| SBC.07104 | Intro. Protein structure and homology modelling | E | R | O | E | E | Annual; SS | With SBC.07105 SBL.00412 |\n| SBC.07105 | Intro. Docking of small molecules, m",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"28f0a44a437eb3a95c3ff6bc5be31d9f44a0fcde::semantic_table::chunk::0067", "chunk_type": "table", "section": "3. Appendix: Table summarizing all master courses &gt; Some teaching units are given every two years:", "page_start": 1, "page_end": 1, "chunk_pages": [1], "contains_table": true, "block_kinds": ["table"], "prev_chunk_id": "28f0a44a437eb3a95c3ff6bc5be31d9f44a0fcde::semantic_table::chunk::0066", "next_chunk_id": "28f0a44a437eb3a95c3ff6bc5be31d9f44a0fcde::semantic_table::chunk::0068",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"Master_120_28f0a44a437eb3a95c3ff6bc5be31d9f44a0fcde.txt", "page": 1, "snippet": "developmental biology I | O | O | R | R | R | Annual; SS | |\n| SBL.00128 | BeFri research colloquium in cell and developmental biology II | R | O | R | R | R | Annual; SS | |\n| SBL.00129 | BeFri research retreat in cell and developmental biology | O | O | R | R | R | Annual; SS | |\n| SBL.00130 | Nuclear organization and chromosome dynamics | O | R | R | E | R | Annual; AS | |\n| SBL.00411 | Signalling and transport | R | R | R | E | R | Annual; SS | |\n| SBL.00412 | Introduction to protein structu",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"28f0a44a437eb3a95c3ff6bc5be31d9f44a0fcde::semantic_table::chunk::0068", "chunk_type": "table", "section": "3. Appendix: Table summarizing all master courses &gt; Some teaching units are given every two years:", "page_start": 1, "page_end": 1, "chunk_pages": [1], "contains_table": true, "block_kinds": ["table"], "prev_chunk_id": "28f0a44a437eb3a95c3ff6bc5be31d9f44a0fcde::semantic_table::chunk::0067", "next_chunk_id": "28f0a44a437eb3a95c3ff6bc5be31d9f44a0fcde::semantic_table::chunk::0069",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"Master_120_3989b736d081fc14112cef5da562d7d27fd454b2.txt", "page": 1, "snippet": "Section: Semester 1 (autumn)\n\nTable rows:\n- Code: SPH.04608; Title of UE: Many-body physics (lecture and exercises); tot. h.: 42; ECTS: 3.5\n- Code: SPH.04303; Title of UE: Magnetism and quantum fluids (lecture and exercises); tot. h.: 42; ECTS: 3.5\n- Code: SPH.04609; Title of UE: Quantum Field Theory (lecture and exercises); tot. h.: 42; ECTS: 3.5\n- Code: SPH.04004; Title of UE: Colloquia; tot. h.: 14; ECTS: 0.5\n- Code: SPH.04007; Title of UE: Proseminars; tot. h.: 14; ECTS: 1\n- ECTS: 12\n\nRaw ta", "metadata": {"parsed_at": "2026-04-08T21:01:11.350Z", "pages": 1, "parser": "docling", "doc_key": "3989b736d081fc14112cef5da562d7d27fd454b2", "degree_level": "Master", "total_ects": 120, "program_name": "Experimental Biomedical Research", "doc_label": "Master of Science in Physics", "source_url": "https://cdn.unifr.ch/scimed/plans/current/Plan_MSc_PH_en.pdf", "source_type": "pdf", "curriculum_url": "http://studies.unifr.ch/go/vBvMa", "fetched_at": "2026-04-03T11:26:30.499Z", "source_file": "Master_120_3989b736d081fc14112cef5da562d7d27fd454b2.txt", "index_variant": "table_semantic_v1", "chunk_id": "3989b736d081fc14112cef5da562d7d27fd454b2::semantic_table::chunk::0023", "chunk_type": "table", "section": "Semester 1 (autumn)", "page_start": 1, "page_end": 1, "chunk_pages": [1], "contains_table": true, "block_kinds": ["table"], "prev_chunk_id": "3989b736d081fc14112cef5da562d7d27fd454b2::semantic_table::chunk::0022", "next_chunk_id": "3989b736d081fc14112cef5da562d7d27fd454b2::semantic_table::chunk::0024",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 {"source": "Master_120_4f291852b84fb9a202be20c6da4cd8ef5eb97035.txt", "page": 1, "snippet": "Section: 3.1.1 Compulsory Courses (30 ECTS ; PV-SPH.0000055)\n\nTable rows:\n- Semester 1 (autumn): Code; Semester 1 (autumn): Title of UE; Semester 1 (autumn): tot. h.; Semester 1 (autumn): ECTS\n- Semester 1 (autumn): SPH.04608; Semester 1 (autumn): Many-body physics (lecture and exercises); Semester 1 (autumn): 42; Semester 1 (autumn): 3.5\n- Semester 1 (autumn): SPH.04303; Semester 1 (autumn): Magnetism and quantum fluids (lecture and exercises); Semester 1 (autumn): 42; Semester 1 (autumn): 3.5\n", "metadata": {"parsed_at": "2026-04-08T21:36:44.836Z", "pages": 1, "parser": "docling", "doc_key": "4f291852b84fb9a202be20c6da4cd8ef5eb97035", "degree_level": "Master", "total_ects": 120, "program_name": "Experimental Biomedical Research", "doc_label": "Master of Science in Physics", "source_url": "https://cdn.unifr.ch/scimed/plans/2024/Plan_MSc_PH_en.pdf", "source_type": "pdf", "curriculum_url": "http://studies.unifr.ch/go/vBvMa", "fetched_at": "2026-04-03T11:26:35.373Z", "source_file": "Master_120_4f291852b84fb9a202be20c6da4cd8ef5eb97035.txt", "index_variant": "table_semantic_v1", "chunk_id": "4f291852b84fb9a202be20c6da4cd8ef5eb97035::semantic_table::chunk::0026", "chunk_type": "table", "section": "3.1.1 Compulsory Courses (30 ECTS ; PV-SPH.0000055)", "page_start": 1, "page_end": 1, "chunk_pages": [1], "contains_table": true, "block_kinds": ["table"], "prev_chunk_id": "4f291852b84fb9a202be20c6da4cd8ef5eb97035::semantic_table::chunk::0025", "next_chunk_id": "4f291852b84fb9a202be20c6da4cd8ef5eb97035::semantic_table::chunk::0027",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does UE-F23.00128 have?", "query_language": "en"}], "returned_count": 10}}]</t>
  </si>
  <si>
    <t>Master_120_09f4bd6a51cf2c49c32336cd4099f24000d81954.txt</t>
  </si>
  <si>
    <t>Section: 1 To be chosen during the last semester of study Table rows: - Title of UE: Compulsory Courses - Code: SPH.04203; Title of UE: Atomic spectroscopy (lecture and exercises); tot. h.: 42; ECTS: 3.5 - Code: SPH.04404; Title of UE: Structure and dynamics of matter (lecture and exercises); tot. h.: 42; ECTS: 3.5 - Code: SPH.04606; Title of UE: I</t>
  </si>
  <si>
    <t>nothing found, but is hard… would need to find the correct doc with the table of courses then can print something… dont know why nothing found…</t>
  </si>
  <si>
    <t>0494e631e956b523f650c294e628c2343e6e1ddb or 544e7d17de6b11c1a53a755a873716216a916733 or 5856cfc3fdf9d3665e2dab0006ee1dcee20309dc or 1ad0181f7640c2f7a30f58fc9bca37a289b15c9f or 6570b28d83581d478eb507ddaed436e81b0a6149 or 80fedd4a0b892f2e8da32accf5be6083970c34ce or f4172f6dd0f2d6976c6ea3058db9dc98dc94f098 or 140860f172643e6494cfdbbce5cb8e39f768dcd6 or 47dcb525130eaca43706aa9f2fcd69d27df47138 or 609fc4caa9a90084ce73ed7008b19a01f25fa02f or 88cd12af278383144ef71b3d9f212044d98f2574</t>
  </si>
  <si>
    <t>Can you create a Studyplan with all mandatory courses and 5 electives for the Bachelor in Business Informatics?</t>
  </si>
  <si>
    <t>Planning route from DB with inputs chosen by chatbot.</t>
  </si>
  <si>
    <t>[]</t>
  </si>
  <si>
    <t xml:space="preserve">searching in studyplan is the correct choice but prolem is the table entry snippet with "UE-F23.00128" would have to be found… so here all wrong… </t>
  </si>
  <si>
    <t>good</t>
  </si>
  <si>
    <t>program_structure_filtering</t>
  </si>
  <si>
    <t>Which bachelor programs have 180 ECTS?</t>
  </si>
  <si>
    <t>Exact values from DB.</t>
  </si>
  <si>
    <t>API /programs?degree=Bachelor&amp;ects=180</t>
  </si>
  <si>
    <t>StudyProgram, consist_of, Course, programDocument</t>
  </si>
  <si>
    <t>program list</t>
  </si>
  <si>
    <t>Bachelor_180_01106327801a355bc84a1210c06583fa6bce445a.txt; Bachelor_180_01106327801a355bc84a1210c06583fa6bce445a.txt; Bachelor_180_01106327801a355bc84a1210c06583fa6bce445a.txt; Bachelor_180_01106327801a355bc84a1210c06583fa6bce445a.txt; Bachelor_180_01106327801a355bc84a1210c06583fa6bce445a.txt; Bachelor_180_01106327801a355bc84a1210c06583fa6bce445a.txt; Bachelor_180_01106327801a355bc84a1210c06583fa6bce445a.txt; Bachelor_180_01106327801a355bc84a1210c06583fa6bce445a.txt; Bachelor_180_01106327801a355bc84a1210c06583fa6bce445a.txt; Bachelor_180_4d2d22d0bfd7f35146dcdc0cc96c2396ac54b981.txt</t>
  </si>
  <si>
    <t>1. [studyplans] Bachelor_180_01106327801a355bc84a1210c06583fa6bce445a.txt p.1 - Section: I. BACHELOR (6 SEMESTER / SEMESTRES, 180 CP) Table rows: - Gebiet /Matière: 1. Theologische Propädeutik / Théologie propédeutique; HSS: 1. Theologische Propädeutik / Théologie propédeutique; Evaluation: 1. Theol
2. [studyplans] Bachelor_180_01106327801a355bc84a1210c06583fa6bce445a.txt p.1 - luation: Ev; CP: 9 - Gebiet /Matière: Einführung AT I-IV / Introduction AT I-III; HSS: 8 (d) 6 (f); Evaluation: Ev; CP: 12 (d) 9 (f) - Gebiet /Matière: Biblische Umwelt AT / Milieu biblique AT; HSS: 1 (d) 2 (f); Evaluati
3. [studyplans] Bachelor_180_01106327801a355bc84a1210c06583fa6bce445a.txt p.1 - 6 - Gebiet /Matière: Einführung in die Religionswissenschaft. / Introduction aux sciences des religions; HSS: 2; Evaluation: Ev; CP: 2 - Gebiet /Matière: Philosophie; HSS: 4; Evaluation: Ev; CP: 6 Raw table: | Gebiet /Ma
4. [studyplans] Bachelor_180_01106327801a355bc84a1210c06583fa6bce445a.txt p.1 - iques | 2. Biblische Studien / Études bibliques | 39 | | Einführung / Introduction NT I-III | 6 | Ev | 9 | | Einführung AT I-IV / Introduction AT I-III | 8 (d) 6 (f) | Ev | 12 (d) 9 (f) | | Biblische Umwelt AT / Milieu b
5. [studyplans] Bachelor_180_01106327801a355bc84a1210c06583fa6bce445a.txt p.1 - Section: I. BACHELOR (6 SEMESTER / SEMESTRES, 180 CP) Table rows: - 5. Glaubenswissenschaft / Science de la foi: Fundamentaltheologie / Théologie fondamentale; 5. Glaubenswissenschaft / Science de la foi: 4; 5. Glaubensw
6. [studyplans] Bachelor_180_01106327801a355bc84a1210c06583fa6bce445a.txt p.1 - nschaft / Science de la foi: 7. Praktische Theologie / Théologie pratique; 5. Glaubenswissenschaft / Science de la foi: 7. Praktische Theologie / Théologie pratique; 5. Glaubenswissenschaft / Science de la foi: 7. Prakti
7. [studyplans] Bachelor_180_01106327801a355bc84a1210c06583fa6bce445a.txt p.1 - 8. Weitere Studien- und Prüfungsverpflichtungen / D'autres obligations d'études et d'éxamens; 5. Glaubenswissenschaft / Science de la foi: 8. Weitere Studien- und Prüfungsverpflichtungen / D'autres obligations d'études e
8. [studyplans] Bachelor_180_01106327801a355bc84a1210c06583fa6bce445a.txt p.1 - -----------------------------------------------------------------------------------------|----------------------------------------------------------------------------------------------|------| | Fundamentaltheologie / Th
9. [studyplans] Bachelor_180_01106327801a355bc84a1210c06583fa6bce445a.txt p.1 - | schriftl. Arbeit / tr. écrit | 4 | | Bachelor-Arbeit / Travail de bachelor | | schriftl. Arbeit / tr. écrit | 4 | | Alte Sprachen* / Langues anciennes* | | | | | Latein / Latin I+II, Latein (Vertiefung) I + II / Latin 
10. [studyplans] Bachelor_180_4d2d22d0bfd7f35146dcdc0cc96c2396ac54b981.txt p.1 - Section: I. BACHELOR OF THEOLOGY (6 SEMESTRES / SEMESTER 180 CP) Table rows: - Gebiet / Matière: 1. Études bibliques / Biblische Studien; HSS: 1. Études bibliques / Biblische Studien; Evaluation: 1. Études bibliques / Bi</t>
  </si>
  <si>
    <t>[{"source": "Bachelor_180_01106327801a355bc84a1210c06583fa6bce445a.txt", "page": 1, "snippet": "Section: I. BACHELOR (6 SEMESTER / SEMESTRES, 180 CP)\n\nTable rows:\n- Gebiet /Matière: 1. Theologische Propädeutik / Théologie propédeutique; HSS: 1. Theologische Propädeutik / Théologie propédeutique; Evaluation: 1. Theologische Propädeutik / Théologie propédeutique; CP: 35\n- Gebiet /Matière: Theologische Propädeutik / Théologie propédeutique; HSS: 4; Evaluation: Ev; CP: 6\n- Gebiet /Matière: 2 Proseminare / 2 proséminaires Theologische Propädeutik / Théologie propédeutique; HSS: 2; Evaluation: s",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"01106327801a355bc84a1210c06583fa6bce445a::semantic_table::chunk::0001", "chunk_type": "table", "section": "I. BACHELOR (6 SEMESTER / SEMESTRES, 180 CP)", "page_start": 1, "page_end": 1, "chunk_pages": [1], "contains_table": true, "block_kinds": ["table"], "prev_chunk_id": null, "next_chunk_id": "01106327801a355bc84a1210c06583fa6bce445a::semantic_table::chunk::0002",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"luation: Ev; CP: 9\n- Gebiet /Matière: Einführung AT I-IV / Introduction AT I-III; HSS: 8 (d) 6 (f); Evaluation: Ev; CP: 12 (d) 9 (f)\n- Gebiet /Matière: Biblische Umwelt AT / Milieu biblique AT; HSS: 1 (d) 2 (f); Evaluation: Ev; CP: 1.5 (d) 3 (f)\n- Gebiet /Matière: Biblische Umwelt / Milieu biblique NT; HSS: 2; Evaluation: Ev; CP: 3\n- Gebiet /Matière: Theologie AT I-II / Théologie AT I-II; HSS: 3 (d) 4 (f); Evaluation: Ev; CP: 4.5 (d) 6 (f)\n- Gebiet /Matière: Theologie / Théologie NT; HSS: 4; Eva",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"01106327801a355bc84a1210c06583fa6bce445a::semantic_table::chunk::0002", "chunk_type": "table", "section": "I. BACHELOR (6 SEMESTER / SEMESTRES, 180 CP)", "page_start": 1, "page_end": 1, "chunk_pages": [1], "contains_table": true, "block_kinds": ["table"], "prev_chunk_id": "01106327801a355bc84a1210c06583fa6bce445a::semantic_table::chunk::0001", "next_chunk_id": "01106327801a355bc84a1210c06583fa6bce445a::semantic_table::chunk::0003",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"6\n- Gebiet /Matière: Einführung in die Religionswissenschaft. / Introduction aux sciences des religions; HSS: 2; Evaluation: Ev; CP: 2\n- Gebiet /Matière: Philosophie; HSS: 4; Evaluation: Ev; CP: 6\n\nRaw table:\n| Gebiet /Matière | HSS | Evaluation | CP |\n|------------------------------------------------------------------------------------------------------------------|---------------------------------------------------------------------------------|-------------------------------------------------",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"01106327801a355bc84a1210c06583fa6bce445a::semantic_table::chunk::0003", "chunk_type": "table", "section": "I. BACHELOR (6 SEMESTER / SEMESTRES, 180 CP)", "page_start": 1, "page_end": 1, "chunk_pages": [1], "contains_table": true, "block_kinds": ["table"], "prev_chunk_id": "01106327801a355bc84a1210c06583fa6bce445a::semantic_table::chunk::0002", "next_chunk_id": "01106327801a355bc84a1210c06583fa6bce445a::semantic_table::chunk::0004",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"iques | 2. Biblische Studien / Études bibliques | 39 |\n| Einführung / Introduction NT I-III | 6 | Ev | 9 |\n| Einführung AT I-IV / Introduction AT I-III | 8 (d) 6 (f) | Ev | 12 (d) 9 (f) |\n| Biblische Umwelt AT / Milieu biblique AT | 1 (d) 2 (f) | Ev | 1.5 (d) 3 (f) |\n| Biblische Umwelt / Milieu biblique NT | 2 | Ev | 3 |\n| Theologie AT I-II / Théologie AT I-II | 3 (d) 4 (f) | Ev | 4.5 (d) 6 (f) |\n| Theologie / Théologie NT | 4 | Ev | 6 |\n| Wahlpflichtbereich Vertiefung Biblische Studien / Cours ",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"01106327801a355bc84a1210c06583fa6bce445a::semantic_table::chunk::0004", "chunk_type": "table", "section": "I. BACHELOR (6 SEMESTER / SEMESTRES, 180 CP)", "page_start": 1, "page_end": 1, "chunk_pages": [1], "contains_table": true, "block_kinds": ["table"], "prev_chunk_id": "01106327801a355bc84a1210c06583fa6bce445a::semantic_table::chunk::0003", "next_chunk_id": "01106327801a355bc84a1210c06583fa6bce445a::semantic_table::chunk::0005",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"Section: I. BACHELOR (6 SEMESTER / SEMESTRES, 180 CP)\n\nTable rows:\n- 5. Glaubenswissenschaft / Science de la foi: Fundamentaltheologie / Théologie fondamentale; 5. Glaubenswissenschaft / Science de la foi: 4; 5. Glaubenswissenschaft / Science de la foi: Ev; 24: 6\n- 5. Glaubenswissenschaft / Science de la foi: Proseminar Fundamentaltheologie / proséminaire Théologie fondamentale; 5. Glaubenswissenschaft / Science de la foi: 1; 5. Glaubenswissenschaft / Science de la foi: schriftl. Arbeit / tr. éc",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"01106327801a355bc84a1210c06583fa6bce445a::semantic_table::chunk::0005", "chunk_type": "table", "section": "I. BACHELOR (6 SEMESTER / SEMESTRES, 180 CP)", "page_start": 1, "page_end": 1, "chunk_pages": [1], "contains_table": true, "block_kinds": ["table"], "prev_chunk_id": "01106327801a355bc84a1210c06583fa6bce445a::semantic_table::chunk::0004", "next_chunk_id": "01106327801a355bc84a1210c06583fa6bce445a::semantic_table::chunk::0006",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"nschaft / Science de la foi: 7. Praktische Theologie / Théologie pratique; 5. Glaubenswissenschaft / Science de la foi: 7. Praktische Theologie / Théologie pratique; 5. Glaubenswissenschaft / Science de la foi: 7. Praktische Theologie / Théologie pratique; 24: 24\n- 5. Glaubenswissenschaft / Science de la foi: Einführungen Praktische Theologie / Introductions théol. pastorale; 5. Glaubenswissenschaft / Science de la foi: 4; 5. Glaubenswissenschaft / Science de la foi: Ev; 24: 6\n- 5. Glaubenswisse",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"01106327801a355bc84a1210c06583fa6bce445a::semantic_table::chunk::0006", "chunk_type": "table", "section": "I. BACHELOR (6 SEMESTER / SEMESTRES, 180 CP)", "page_start": 1, "page_end": 1, "chunk_pages": [1], "contains_table": true, "block_kinds": ["table"], "prev_chunk_id": "01106327801a355bc84a1210c06583fa6bce445a::semantic_table::chunk::0005", "next_chunk_id": "01106327801a355bc84a1210c06583fa6bce445a::semantic_table::chunk::0007",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"8. Weitere Studien- und Prüfungsverpflichtungen / D'autres obligations d'études et d'éxamens; 5. Glaubenswissenschaft / Science de la foi: 8. Weitere Studien- und Prüfungsverpflichtungen / D'autres obligations d'études et d'éxamens; 24: 8\n- 5. Glaubenswissenschaft / Science de la foi: Seminar / Séminaire; 5. Glaubenswissenschaft / Science de la foi: 2; 5. Glaubenswissenschaft / Science de la foi: schriftl. Arbeit / tr. écrit; 24: 4\n- 5. Glaubenswissenschaft / Science de la foi: Bachelor-Arbeit /",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"01106327801a355bc84a1210c06583fa6bce445a::semantic_table::chunk::0007", "chunk_type": "table", "section": "I. BACHELOR (6 SEMESTER / SEMESTRES, 180 CP)", "page_start": 1, "page_end": 1, "chunk_pages": [1], "contains_table": true, "block_kinds": ["table"], "prev_chunk_id": "01106327801a355bc84a1210c06583fa6bce445a::semantic_table::chunk::0006", "next_chunk_id": "01106327801a355bc84a1210c06583fa6bce445a::semantic_table::chunk::0008",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"-----------------------------------------------------------------------------------------|----------------------------------------------------------------------------------------------|------|\n| Fundamentaltheologie / Théologie fondamentale | 4 | Ev | 6 |\n| Proseminar Fundamentaltheologie / proséminaire Théologie fondamentale | 1 | schriftl. Arbeit / tr. écrit | 2 |\n| Dogmatik / Théologie dogmatique | 12 | Ev | 16 |\n| 6. Theologische Ethik / Théologie morale | 6. Theologische Ethik / Théologie m",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"01106327801a355bc84a1210c06583fa6bce445a::semantic_table::chunk::0008", "chunk_type": "table", "section": "I. BACHELOR (6 SEMESTER / SEMESTRES, 180 CP)", "page_start": 1, "page_end": 1, "chunk_pages": [1], "contains_table": true, "block_kinds": ["table"], "prev_chunk_id": "01106327801a355bc84a1210c06583fa6bce445a::semantic_table::chunk::0007", "next_chunk_id": "01106327801a355bc84a1210c06583fa6bce445a::semantic_table::chunk::0009",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"Bachelor_180_01106327801a355bc84a1210c06583fa6bce445a.txt", "page": 1, "snippet": "| schriftl. Arbeit / tr. écrit | 4 |\n| Bachelor-Arbeit / Travail de bachelor | | schriftl. Arbeit / tr. écrit | 4 |\n| Alte Sprachen* / Langues anciennes* | | | |\n| Latein / Latin I+II, Latein (Vertiefung) I + II / Latin (Approfondissement) I+II | (6) | | (8) |\n| Griechisch / Grec I+II** / *** | (4) | | (6) |\n| Hebräisch / Hébreu I+II** / *** | (4) | | (6) |\n| Insgesamt / en tout : | Insgesamt / en tout : | Insgesamt / en tout : | 180 |", "metadata": {"parsed_at": "2026-04-10T17:37:19.664Z", "pages": 1, "parser": "docling", "doc_key": "01106327801a355bc84a1210c06583fa6bce445a", "degree_level": "Bachelor", "total_ects": 180, "program_name": "Theology", "doc_label": "Bachelor of Theology - Vollprogramm 180 ECTS gultig ab HS 2023", "source_url": "https://www.unifr.ch/theo/de/assets/public/2025-2026/Theologie%20BA%20180%2020250904.pdf", "source_type": "pdf", "curriculum_url": "http://studies.unifr.ch/go/llH5R", "fetched_at": "2026-04-03T11:31:55.961Z", "source_file": "Bachelor_180_01106327801a355bc84a1210c06583fa6bce445a.txt", "index_variant": "table_semantic_v1", "chunk_id": "01106327801a355bc84a1210c06583fa6bce445a::semantic_table::chunk::0009", "chunk_type": "table", "section": "I. BACHELOR (6 SEMESTER / SEMESTRES, 180 CP)", "page_start": 1, "page_end": 1, "chunk_pages": [1], "contains_table": true, "block_kinds": ["table"], "prev_chunk_id": "01106327801a355bc84a1210c06583fa6bce445a::semantic_table::chunk::0008", "next_chunk_id": "01106327801a355bc84a1210c06583fa6bce445a::semantic_table::chunk::0010",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 {"source": "Bachelor_180_4d2d22d0bfd7f35146dcdc0cc96c2396ac54b981.txt", "page": 1, "snippet": "Section: I. BACHELOR OF THEOLOGY (6 SEMESTRES / SEMESTER 180 CP)\n\nTable rows:\n- Gebiet / Matière: 1. Études bibliques / Biblische Studien; HSS: 1. Études bibliques / Biblische Studien; Evaluation: 1. Études bibliques / Biblische Studien; CP: 40\n- Gebiet / Matière: Ancien Testament / Altes Testament; HSS: 12; Evaluation: Ev; CP: 18\n- Gebiet / Matière: Nouveau Testament / Neues Testament; HSS: 12; Evaluation: Ev; CP: 18\n- Gebiet / Matière: Proséminaire AT/ Proseminar AT; HSS: 2; Evaluation: tr. éc", "metadata": {"parsed_at": "2026-04-10T17:35:46.953Z", "pages": 1, "parser": "docling", "doc_key": "4d2d22d0bfd7f35146dcdc0cc96c2396ac54b981", "degree_level": "Bachelor", "total_ects": 180, "program_name": "Theology", "doc_label": "Bachelor of Theology – Vollprogramm 180 ECTS", "source_url": "https://www.unifr.ch/theo/de/assets/public/2025-2026/Th%C3%A9ologie%20180_Plan%20d'%C3%A9tudes%20BA%202026.pdf", "source_type": "pdf", "curriculum_url": "http://studies.unifr.ch/go/llH5R", "fetched_at": "2026-04-03T11:31:55.777Z", "source_file": "Bachelor_180_4d2d22d0bfd7f35146dcdc0cc96c2396ac54b981.txt", "index_variant": "table_semantic_v1", "chunk_id": "4d2d22d0bfd7f35146dcdc0cc96c2396ac54b981::semantic_table::chunk::0002", "chunk_type": "table", "section": "I. BACHELOR OF THEOLOGY (6 SEMESTRES / SEMESTER 180 CP)", "page_start": 1, "page_end": 1, "chunk_pages": [1], "contains_table": true, "block_kinds": ["table"], "prev_chunk_id": "4d2d22d0bfd7f35146dcdc0cc96c2396ac54b981::semantic_table::chunk::0001", "next_chunk_id": "4d2d22d0bfd7f35146dcdc0cc96c2396ac54b981::semantic_table::chunk::0003", "rag_source": "studyplans", "category": "studyplans", "retrieval_debug": {"detected_program_name": "Theology", "detected_program_key": null, "detected_degree": "Bachelor", "detected_ects": 180, "detected_year": null, "retrieval_mode": "metadata_first", "candidate_count_after_program_degree_ects": 21, "source_intent": "base_data", "returned_count": 10, "returned_programs": ["Theology"]}}, "retrieval_debug": {"retrieval_mode": "metadata_and_language_aware", "requested_language": "en", "runs": [{"detected_program_name": "Theology", "detected_program_key": null, "detected_degree": "Bachelor", "detected_ects": 180, "detected_year": null, "retrieval_mode": "metadata_first", "candidate_count_after_program_degree_ects": 21, "source_intent": "base_data", "returned_count": 10, "returned_programs": ["Theology"], "query": "Which bachelor programs have 180 ECTS?", "query_language": "en"}], "returned_count": 10}}]</t>
  </si>
  <si>
    <t>Bachelor_180_01106327801a355bc84a1210c06583fa6bce445a.txt</t>
  </si>
  <si>
    <t xml:space="preserve">Section: I. BACHELOR (6 SEMESTER / SEMESTRES, 180 CP) Table rows: - Gebiet /Matière: 1. Theologische Propädeutik / Théologie propédeutique; HSS: 1. Theologische Propädeutik / Théologie propédeutique; Evaluation: 1. Theologische Propädeutik / Théologie propédeutique; CP: 35 - Gebiet /Matière: Theologische Propädeutik / Théologie propédeutique; HSS: </t>
  </si>
  <si>
    <t>similar as with minors.. First snippet correct but would need to be paired with all other intro snippets of bachelor programs with 180 ects and then a list should be printed…</t>
  </si>
  <si>
    <t>rag_document</t>
  </si>
  <si>
    <t>What does the study plan of History say about electives?</t>
  </si>
  <si>
    <t>Answer grounded in retrieved document text with correct source attribution.</t>
  </si>
  <si>
    <t>RAG over study plan/regulation documents</t>
  </si>
  <si>
    <t>PDF/study plan/regulation</t>
  </si>
  <si>
    <t>elective rules</t>
  </si>
  <si>
    <t>Master_90_1222c32ae2b5a5bad09e3934edf4cf20bed8b441.txt; Master_90_1222c32ae2b5a5bad09e3934edf4cf20bed8b441.txt; Master_90_1222c32ae2b5a5bad09e3934edf4cf20bed8b441.txt; Master_90_1222c32ae2b5a5bad09e3934edf4cf20bed8b441.txt; Master_90_1222c32ae2b5a5bad09e3934edf4cf20bed8b441.txt; Master_90_1222c32ae2b5a5bad09e3934edf4cf20bed8b441.txt; Master_90_1222c32ae2b5a5bad09e3934edf4cf20bed8b441.txt; Master_90_1222c32ae2b5a5bad09e3934edf4cf20bed8b441.txt; Master_90_1222c32ae2b5a5bad09e3934edf4cf20bed8b441.txt; Master_90_1222c32ae2b5a5bad09e3934edf4cf20bed8b441.txt</t>
  </si>
  <si>
    <t>1. [studyplans] Master_90_1222c32ae2b5a5bad09e3934edf4cf20bed8b441.txt p.1 - Section: Université de Fribourg (Suisse) Faculté des lettres et des sciences humaines Département des Sciences historiques Domaine Histoire Section: Université de Fribourg (Suisse) Master
2. [studyplans] Master_90_1222c32ae2b5a5bad09e3934edf4cf20bed8b441.txt p.1 - Previous context: niversité de Fribourg (Suisse) Faculté des lettres et des sciences humaines Département des Sciences historiques Domaine Histoire Section: Université de Fribourg (Suisse) Master Section: Programme d'étu
3. [studyplans] Master_90_1222c32ae2b5a5bad09e3934edf4cf20bed8b441.txt p.1 - Previous context: en Bereich Geschichte Section: Programme d'études secondaires Histoire (30 crédits ECTS) Master Section: Programme d'études secondaires Histoire (30 crédits ECTS) Nebenprogramm Section: Geschichte (30 E
4. [studyplans] Master_90_1222c32ae2b5a5bad09e3934edf4cf20bed8b441.txt p.1 - Previous context: ndaires Histoire (30 crédits ECTS) Master Section: Programme d'études secondaires Histoire (30 crédits ECTS) Nebenprogramm Section: Geschichte (30 ECTSKreditpunkte) 23.05.2018 Section: Dieser Studienpla
5. [studyplans] Master_90_1222c32ae2b5a5bad09e3934edf4cf20bed8b441.txt p.1 - Previous context: ion: Dieser Studienplan stützt sich auf Dieser Studienplan ersetzt den Studienplan vom 30. November 2009 des Nebenprogramms 'Geschichte'. Er tritt ab Herbstsemester 2018 in Kraft. Section: Article 1 : L
6. [studyplans] Master_90_1222c32ae2b5a5bad09e3934edf4cf20bed8b441.txt p.1 - Previous context: nnée historique pour le présent. Elle leur permet de découvrir par eux-mêmes des sources en relation à des questionnements et à les utiliser dans le cadre d'un exposé scientifique. Section: Article 2 : 
7. [studyplans] Master_90_1222c32ae2b5a5bad09e3934edf4cf20bed8b441.txt p.1 - Previous context: e programme ne peut toutefois pas être suivi en complément d'un programme d'études approfondies Histoire, Histoire générale et suisse de l'époque moderne ou Histoire contemporaine. Section: Artikel 1 : 
8. [studyplans] Master_90_1222c32ae2b5a5bad09e3934edf4cf20bed8b441.txt p.1 - Previous context: nutzen. Das Studium befähigt zur kritischen Analyse der Forschung, zu ihrer Weiterführung und zu einem gesicherten Umgang mit unterschiedlichen Theorien der Geschichtswissenschaft. Section: Artikel 2: Z
9. [studyplans] Master_90_1222c32ae2b5a5bad09e3934edf4cf20bed8b441.txt p.1 - Previous context: ntemps - 3) Das Studium im Vertiefungsprogramm Geschichte kann sowohl im Herbst- als auch im Frühlingssemester aufgenommen werden. Section: Artikel 2: Zulassungsbedingungen - 2 - Section: Article 3 : De
10. [studyplans] Master_90_1222c32ae2b5a5bad09e3934edf4cf20bed8b441.txt p.1 - Previous context: s enseignements portant sur des thèmes qui couvrent plusieurs périodes historiques et traitant les thèmes historiques de manière interdisciplinaire pourront en outre être proposés. Section: Artikel 3: B</t>
  </si>
  <si>
    <t>[{"source": "Master_90_1222c32ae2b5a5bad09e3934edf4cf20bed8b441.txt", "page": 1, "snippet": "Section: Université de Fribourg (Suisse)\n\nFaculté des lettres et des sciences humaines Département des Sciences historiques Domaine Histoire\n\nSection: Université de Fribourg (Suisse)\n\nMaster",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"1222c32ae2b5a5bad09e3934edf4cf20bed8b441::semantic_table::chunk::0001", "chunk_type": "semantic", "section": "Université de Fribourg (Suisse)", "page_start": 1, "page_end": 1, "chunk_pages": [1], "contains_table": false, "block_kinds": ["text"], "prev_chunk_id": null, "next_chunk_id": "1222c32ae2b5a5bad09e3934edf4cf20bed8b441::semantic_table::chunk::0002",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niversité de Fribourg (Suisse)\n\nFaculté des lettres et des sciences humaines Département des Sciences historiques Domaine Histoire\n\nSection: Université de Fribourg (Suisse)\n\nMaster\n\nSection: Programme d'études secondaires Histoire (30 crédits ECTS)\n\n23.05.2018\n\nSection: Programme d'études secondaires Histoire (30 crédits ECTS)\n\nLe présent plan d'études s'appuie sur\n\nSection: Programme d'études secondaires Histoire (30 crédits ECTS)\n\n- 1) Le Règlement en vigueur pour l'obtention",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"1222c32ae2b5a5bad09e3934edf4cf20bed8b441::semantic_table::chunk::0002", "chunk_type": "semantic", "section": "Programme d'études secondaires Histoire (30 crédits ECTS)", "page_start": 1, "page_end": 1, "chunk_pages": [1], "contains_table": false, "block_kinds": ["list", "text"], "prev_chunk_id": "1222c32ae2b5a5bad09e3934edf4cf20bed8b441::semantic_table::chunk::0001", "next_chunk_id": "1222c32ae2b5a5bad09e3934edf4cf20bed8b441::semantic_table::chunk::0003",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en Bereich Geschichte\n\nSection: Programme d'études secondaires Histoire (30 crédits ECTS)\n\nMaster\n\nSection: Programme d'études secondaires Histoire (30 crédits ECTS)\n\nNebenprogramm\n\nSection: Geschichte (30 ECTSKreditpunkte)\n\n23.05.2018",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"1222c32ae2b5a5bad09e3934edf4cf20bed8b441::semantic_table::chunk::0003", "chunk_type": "semantic", "section": "Geschichte (30 ECTSKreditpunkte)", "page_start": 1, "page_end": 1, "chunk_pages": [1], "contains_table": false, "block_kinds": ["text"], "prev_chunk_id": "1222c32ae2b5a5bad09e3934edf4cf20bed8b441::semantic_table::chunk::0002", "next_chunk_id": "1222c32ae2b5a5bad09e3934edf4cf20bed8b441::semantic_table::chunk::0004",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ndaires Histoire (30 crédits ECTS)\n\nMaster\n\nSection: Programme d'études secondaires Histoire (30 crédits ECTS)\n\nNebenprogramm\n\nSection: Geschichte (30 ECTSKreditpunkte)\n\n23.05.2018\n\nSection: Dieser Studienplan stützt sich auf\n\n- 1) Das aktuell gültige Reglement zur Erlangung des Masters an der Philosophischen Fakultät der Universität Freiburg (Schweiz) vom 11. Mai 2006,\n- 2) Die Richtlinien vom 23. April 2009 über die Evaluation der Studienleistungen, die Vergabe der ECTS-Punkt",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"1222c32ae2b5a5bad09e3934edf4cf20bed8b441::semantic_table::chunk::0004", "chunk_type": "semantic", "section": "Dieser Studienplan stützt sich auf", "page_start": 1, "page_end": 1, "chunk_pages": [1], "contains_table": false, "block_kinds": ["list", "text"], "prev_chunk_id": "1222c32ae2b5a5bad09e3934edf4cf20bed8b441::semantic_table::chunk::0003", "next_chunk_id": "1222c32ae2b5a5bad09e3934edf4cf20bed8b441::semantic_table::chunk::0005",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ion: Dieser Studienplan stützt sich auf\n\nDieser Studienplan ersetzt den Studienplan vom 30. November 2009 des Nebenprogramms 'Geschichte'. Er tritt ab Herbstsemester 2018 in Kraft.\n\nSection: Article 1 : Le profil d'études\n\n- 1) Le domaine d'études Histoire offre un programme d'études portant sur les quatre branches-périodes: Antiquité (jusqu'au V e siècle), Moyen Age (VI e -XV e siècles), Epoque Moderne (XVI e -XVIII e siècles) et Epoque contemporaine (XIX e -XXI e siècles) en ",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"1222c32ae2b5a5bad09e3934edf4cf20bed8b441::semantic_table::chunk::0005", "chunk_type": "semantic", "section": "Article 1 : Le profil d'études", "page_start": 1, "page_end": 1, "chunk_pages": [1], "contains_table": false, "block_kinds": ["list"], "prev_chunk_id": "1222c32ae2b5a5bad09e3934edf4cf20bed8b441::semantic_table::chunk::0004", "next_chunk_id": "1222c32ae2b5a5bad09e3934edf4cf20bed8b441::semantic_table::chunk::0006",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nnée historique pour le présent. Elle leur permet de découvrir par eux-mêmes des sources en relation à des questionnements et à les utiliser dans le cadre d'un exposé scientifique.\n\nSection: Article 2 : Conditions d'admission\n\n- 1) L'admission au programme d'études secondaires Histoire est possible pour tous les titulaires d'un Bachelor délivré par une université et admis à l'Université de Fribourg en voie d'études Master dans un programme d'études approfondies autre que Histoi",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"1222c32ae2b5a5bad09e3934edf4cf20bed8b441::semantic_table::chunk::0006", "chunk_type": "semantic", "section": "Article 2 : Conditions d'admission", "page_start": 1, "page_end": 1, "chunk_pages": [1], "contains_table": false, "block_kinds": ["list"], "prev_chunk_id": "1222c32ae2b5a5bad09e3934edf4cf20bed8b441::semantic_table::chunk::0005", "next_chunk_id": "1222c32ae2b5a5bad09e3934edf4cf20bed8b441::semantic_table::chunk::0007",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e programme ne peut toutefois pas être suivi en complément d'un programme d'études approfondies Histoire, Histoire générale et suisse de l'époque moderne ou Histoire contemporaine.\n\nSection: Artikel 1 : Studienprofil\n\n- 1) Das Studium der Geschichte umfasst die vier Epochenfächer Altertum (bis zum 5. Jahrhundert), Mittelalter (6. - 15. Jahrhundert), Neuzeit (16. - 18. Jahrhundert) und Zeitgeschichte (19. 21. Jahrhundert). Behandelt werden globale, europäische und Schweizer Gesc",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"1222c32ae2b5a5bad09e3934edf4cf20bed8b441::semantic_table::chunk::0007", "chunk_type": "semantic", "section": "Artikel 1 : Studienprofil", "page_start": 1, "page_end": 1, "chunk_pages": [1], "contains_table": false, "block_kinds": ["list"], "prev_chunk_id": "1222c32ae2b5a5bad09e3934edf4cf20bed8b441::semantic_table::chunk::0006", "next_chunk_id": "1222c32ae2b5a5bad09e3934edf4cf20bed8b441::semantic_table::chunk::0008",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nutzen. Das Studium befähigt zur kritischen Analyse der Forschung, zu ihrer Weiterführung und zu einem gesicherten Umgang mit unterschiedlichen Theorien der Geschichtswissenschaft.\n\nSection: Artikel 2: Zulassungsbedingungen\n\n- 1) Zugelassen sind alle Studierenden mit einem universitären Bachelor-Abschluss, die an der Universität Freiburg in einem Masterstudiengang zugelassen sind, der ein Nebenprogramm erlaubt.\n- 2) Das Nebenprogramm kann nicht zusammen mit einem MA-Vertiefungs",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"1222c32ae2b5a5bad09e3934edf4cf20bed8b441::semantic_table::chunk::0008", "chunk_type": "semantic", "section": "Artikel 2: Zulassungsbedingungen", "page_start": 1, "page_end": 1, "chunk_pages": [1], "contains_table": false, "block_kinds": ["list"], "prev_chunk_id": "1222c32ae2b5a5bad09e3934edf4cf20bed8b441::semantic_table::chunk::0007", "next_chunk_id": "1222c32ae2b5a5bad09e3934edf4cf20bed8b441::semantic_table::chunk::0009",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ntemps\n- 3) Das Studium im Vertiefungsprogramm Geschichte kann sowohl im Herbst- als auch im Frühlingssemester aufgenommen werden.\n\nSection: Artikel 2: Zulassungsbedingungen\n\n- 2 -\n\nSection: Article 3 : Description du programme\n\n- 1) Les études en Histoire sont définies par quatre branches-périodes:\n- Histoire de l'Antiquité\n- Histoire du Moyen Age\n- Histoire moderne\n- Histoire contemporaine\n- 2) Pour le programme d'études secondaires, les étudiant∙e∙s accomplissent deux module",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"1222c32ae2b5a5bad09e3934edf4cf20bed8b441::semantic_table::chunk::0009", "chunk_type": "semantic", "section": "Article 3 : Description du programme", "page_start": 1, "page_end": 1, "chunk_pages": [1], "contains_table": false, "block_kinds": ["list"], "prev_chunk_id": "1222c32ae2b5a5bad09e3934edf4cf20bed8b441::semantic_table::chunk::0008", "next_chunk_id": "1222c32ae2b5a5bad09e3934edf4cf20bed8b441::semantic_table::chunk::0010",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 {"source": "Master_90_1222c32ae2b5a5bad09e3934edf4cf20bed8b441.txt", "page": 1, "snippet": "Previous context: s enseignements portant sur des thèmes qui couvrent plusieurs périodes historiques et traitant les thèmes historiques de manière interdisciplinaire pourront en outre être proposés.\n\nSection: Artikel 3: Beschreibung des Programms\n\n- 1) Das Studium der Geschichte wird von vier Epochenfächern definiert:\n- Geschichte der Antike\n- Geschichte des Mittelalters\n- Geschichte der Neuzeit\n- Zeitgeschichte\n- 2) Für das Nebenprogramm Geschichte wählen die Studierenden zwei Epochenfächer, na", "metadata": {"parsed_at": "2026-04-10T10:28:11.434Z", "pages": 1, "parser": "docling", "doc_key": "1222c32ae2b5a5bad09e3934edf4cf20bed8b441", "degree_level": "Master", "total_ects": 90, "program_name": "History", "doc_label": "Studienplan (2018)", "source_url": "https://www.unifr.ch/hist/de/assets/public/files/studium/studienplaene-ma%202018/MA_Geschichte%2030_NP_P2_20180523.pdf", "source_type": "pdf", "curriculum_url": "http://studies.unifr.ch/go/l7ufr", "fetched_at": "2026-04-03T11:31:05.210Z", "source_file": "Master_90_1222c32ae2b5a5bad09e3934edf4cf20bed8b441.txt", "index_variant": "table_semantic_v1", "chunk_id": "1222c32ae2b5a5bad09e3934edf4cf20bed8b441::semantic_table::chunk::0010", "chunk_type": "semantic", "section": "Artikel 3: Beschreibung des Programms", "page_start": 1, "page_end": 1, "chunk_pages": [1], "contains_table": false, "block_kinds": ["list"], "prev_chunk_id": "1222c32ae2b5a5bad09e3934edf4cf20bed8b441::semantic_table::chunk::0009", "next_chunk_id": "1222c32ae2b5a5bad09e3934edf4cf20bed8b441::semantic_table::chunk::0011", "rag_source": "studyplans", "category": "studyplans", "retrieval_debug": {"detected_program_name": "History", "detected_program_key": null, "detected_degree": null, "detected_ects": null, "detected_year": null, "retrieval_mode": "metadata_first", "candidate_count_after_program_degree_ects": 107, "source_intent": "studyplans", "returned_count": 10, "returned_programs": ["History"]}}, "retrieval_debug": {"retrieval_mode": "metadata_and_language_aware", "requested_language": "en", "runs": [{"detected_program_name": "History", "detected_program_key": null, "detected_degree": null, "detected_ects": null, "detected_year": null, "retrieval_mode": "metadata_first", "candidate_count_after_program_degree_ects": 107, "source_intent": "studyplans", "returned_count": 10, "returned_programs": ["History"], "query": "What does the study plan of History say about electives?", "query_language": "en"}], "returned_count": 10}}]</t>
  </si>
  <si>
    <t>Master_90_1222c32ae2b5a5bad09e3934edf4cf20bed8b441.txt</t>
  </si>
  <si>
    <t>Section: Université de Fribourg (Suisse) Faculté des lettres et des sciences humaines Département des Sciences historiques Domaine Histoire Section: Université de Fribourg (Suisse) Master</t>
  </si>
  <si>
    <t>yeah, not bad basically it should load all history stuff not only master but is fine if at least something about history is found, focus on electives kinda missing a bit but hey is okay… so in general i would say good</t>
  </si>
  <si>
    <t>1222c32ae2b5a5bad09e3934edf4cf20bed8b441 and 36c202abe944667c957e35fddfe43b4aa27b1987 and 4a40856004bd9be5e2c248bb4c0b2d99d410980c and 78387b71eb11c97cd0d38ab243ff3b9c1b719e37 and eb55c75b0530ff77fe22f49c1955ce18466ddb11 and f3046ba1fda51d61c46576170ad6fc8691d4957c and fc7d50ed4130b23a82ad528c5c4722a2e48e99f6</t>
  </si>
  <si>
    <t>What learning outcomes or competencies are described for Communication Studies?</t>
  </si>
  <si>
    <t>learning outcomes/competencies</t>
  </si>
  <si>
    <t>HTTPConnectionPool(host='localhost', port=8000): Read timed out. (read timeout=120)</t>
  </si>
  <si>
    <t>correct that nothing was found! This info is only available via api</t>
  </si>
  <si>
    <t>no info available</t>
  </si>
  <si>
    <t>Which examination rules are mentioned in the regulation documents?</t>
  </si>
  <si>
    <t>exam/regulation rules</t>
  </si>
  <si>
    <t>Internal Server Error</t>
  </si>
  <si>
    <t xml:space="preserve">500 failure… </t>
  </si>
  <si>
    <t>no one code, just the docs from the reglementation faiss vectorstore</t>
  </si>
  <si>
    <t>What does the document say about repeating failed exams?</t>
  </si>
  <si>
    <t>repeat exam rules</t>
  </si>
  <si>
    <t>here something from reglementations should have been found but because of the studyplan vectorstore default bug nothing found and timed out…</t>
  </si>
  <si>
    <t>multilingual</t>
  </si>
  <si>
    <t>de</t>
  </si>
  <si>
    <t>Welche Bachelorprogramme kann ich an der Universität Freiburg studieren?</t>
  </si>
  <si>
    <t>Same factual answer as the equivalent English/German/French query; response language should match or be appropriate.</t>
  </si>
  <si>
    <t>DB or PDF source</t>
  </si>
  <si>
    <t>program names</t>
  </si>
  <si>
    <t>Bachelor_30_a91cf661bb3c80304b9dd58dbb7cef829c14c7dc.txt; Bachelor_30_a91cf661bb3c80304b9dd58dbb7cef829c14c7dc.txt; Bachelor_30_a91cf661bb3c80304b9dd58dbb7cef829c14c7dc.txt; Bachelor_30_a91cf661bb3c80304b9dd58dbb7cef829c14c7dc.txt; Bachelor_30_a91cf661bb3c80304b9dd58dbb7cef829c14c7dc.txt; Bachelor_30_a91cf661bb3c80304b9dd58dbb7cef829c14c7dc.txt; Bachelor_30_a91cf661bb3c80304b9dd58dbb7cef829c14c7dc.txt; Bachelor_30_a91cf661bb3c80304b9dd58dbb7cef829c14c7dc.txt; Bachelor_30_5ded86237de0d06e0ad0c7cd6cc52a4dddb28c00.txt; Bachelor_30_5ded86237de0d06e0ad0c7cd6cc52a4dddb28c00.txt</t>
  </si>
  <si>
    <t>1. [studyplans] Bachelor_30_a91cf661bb3c80304b9dd58dbb7cef829c14c7dc.txt p.1 - Section: Modul M2: Grundlagenfächer der Psychologie (Auswahlmodul, mind. 12 ECTS Punkte) Table rows: - L25.00346: L25.00016; Grundlagenfächer der Psychologie (Auswahlmodul): Einführung in die Themenbereiche der Psycholog
2. [studyplans] Bachelor_30_a91cf661bb3c80304b9dd58dbb7cef829c14c7dc.txt p.1 - Section: Module M2 Table rows: - Thématiques majeures en psychologie (module à choix): L25.00012 Introduction à la psychologie; Grundlagenfächer der Psychologie (Auswahlmodul): L25.00016 Einführung in die Themenbereiche 
3. [studyplans] Bachelor_30_a91cf661bb3c80304b9dd58dbb7cef829c14c7dc.txt p.1 - ----------|------------------------------------------------------------|-----------| | L25.00012 Introduction à la psychologie | L25.00016 Einführung in die Themenbereiche der Psychologie | 3 | | SPY.01011 + SPY.02011 Ne
4. [studyplans] Bachelor_30_a91cf661bb3c80304b9dd58dbb7cef829c14c7dc.txt p.1 - Section: Psychologie Studienprogramm zu 30 ECTS-Punkte 2019 Table rows: - Inhalt: 1; Inhalt: Gesetzliche Grundlagen ............................................................................................ 2 - Inhalt:
5. [studyplans] Bachelor_30_a91cf661bb3c80304b9dd58dbb7cef829c14c7dc.txt p.1 - ----------------------------------------------------------------------------------------------------------------------| | 1 | Gesetzliche Grundlagen .......................................................................
6. [studyplans] Bachelor_30_a91cf661bb3c80304b9dd58dbb7cef829c14c7dc.txt p.1 - Section: 6. Allgemeine Organisation Table rows: - Bachelor Psychologie - 30 ECTS-Punkte: 2 Pflichtmodule mit 12 und 18 ECTS; Bachelor Psychologie - 30 ECTS-Punkte: 2 Pflichtmodule mit 12 und 18 ECTS; Bachelor Psychologie
7. [studyplans] Bachelor_30_a91cf661bb3c80304b9dd58dbb7cef829c14c7dc.txt p.1 - Section: Modul M1: Propädeutikum A: Allgemeine, klinische und Entwicklungspsychologie Table rows: - L25.00345: L25.00002; Propädeutikum A: Allgemeine, Klinische und Entwicklungspsychologie: Allgemeine Psychologie; 18: 6 
8. [studyplans] Bachelor_30_a91cf661bb3c80304b9dd58dbb7cef829c14c7dc.txt p.1 - Section: Module M1 Table rows: - Propédeutique A : Psychologie cognitive, clinique et développementale: L25.00009 Psychologie cognitive; Propädeutikum A: Allgemeine, Klinische und Entwicklungs- psychologie: L25.00002 All
9. [studyplans] Bachelor_30_5ded86237de0d06e0ad0c7cd6cc52a4dddb28c00.txt p.1 - Section: Übergangsbestimmungen: Bachelor-Studienplänen Mit dem Inkrafttreten des Reglements vom 8. März 2018 zur Erlangung des Bachelors und des Masters an der Philosophischen Fakultät sind folgende Reglemente aufgehoben
10. [studyplans] Bachelor_30_5ded86237de0d06e0ad0c7cd6cc52a4dddb28c00.txt p.1 - Previous context: ereits vor dem Herbstsemester 2019 in einen Bachelor-Studiengang der Philosophischen Fakultät eingeschrieben waren, wird die maximale Studiendauer ab dem HS 19 berechnet (Art. 74). Section: Vermerk « zw</t>
  </si>
  <si>
    <t>[{"source": "Bachelor_30_a91cf661bb3c80304b9dd58dbb7cef829c14c7dc.txt", "page": 1, "snippet": "Section: Modul M2: Grundlagenfächer der Psychologie (Auswahlmodul, mind. 12 ECTS Punkte)\n\nTable rows:\n- L25.00346: L25.00016; Grundlagenfächer der Psychologie (Auswahlmodul): Einführung in die Themenbereiche der Psychologie; 12ECTS: 3\n- L25.00346: SPY.01001 SPY.02001; Grundlagenfächer der Psychologie (Auswahlmodul): Neurobiologie I + II; 12ECTS: 6\n- L25.00346: L25.01030; Grundlagenfächer der Psychologie (Auswahlmodul): Sozialpsychologie I; 12ECTS: 3\n- L25.00346: L25.01031; Grundlagenfächer der P",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"a91cf661bb3c80304b9dd58dbb7cef829c14c7dc::semantic_table::chunk::0017", "chunk_type": "table", "section": "Modul M2: Grundlagenfächer der Psychologie (Auswahlmodul, mind. 12 ECTS Punkte)", "page_start": 1, "page_end": 1, "chunk_pages": [1], "contains_table": true, "block_kinds": ["table"], "prev_chunk_id": "a91cf661bb3c80304b9dd58dbb7cef829c14c7dc::semantic_table::chunk::0016", "next_chunk_id": "a91cf661bb3c80304b9dd58dbb7cef829c14c7dc::semantic_table::chunk::0018",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"Section: Module M2\n\nTable rows:\n- Thématiques majeures en psychologie (module à choix): L25.00012 Introduction à la psychologie; Grundlagenfächer der Psychologie (Auswahlmodul): L25.00016 Einführung in die Themenbereiche der Psychologie; 12 ECTS: 3\n- Thématiques majeures en psychologie (module à choix): SPY.01011 + SPY.02011 Neurobiologie I + II; Grundlagenfächer der Psychologie (Auswahlmodul): SPY.01001 + SPY.02001 Neurobiologie I + II; 12 ECTS: 6\n- Thématiques majeures en psychologie (module à",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"a91cf661bb3c80304b9dd58dbb7cef829c14c7dc::semantic_table::chunk::0024", "chunk_type": "table", "section": "Module M2", "page_start": 1, "page_end": 1, "chunk_pages": [1], "contains_table": true, "block_kinds": ["table"], "prev_chunk_id": "a91cf661bb3c80304b9dd58dbb7cef829c14c7dc::semantic_table::chunk::0023", "next_chunk_id": "a91cf661bb3c80304b9dd58dbb7cef829c14c7dc::semantic_table::chunk::0025",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"----------|------------------------------------------------------------|-----------|\n| L25.00012 Introduction à la psychologie | L25.00016 Einführung in die Themenbereiche der Psychologie | 3 |\n| SPY.01011 + SPY.02011 Neurobiologie I + II | SPY.01001 + SPY.02001 Neurobiologie I + II | 6 |\n| L25.00645 Psychologie sociale I | L25.01030 Sozialpsychologie I | 3 |\n| L25.00646 Psychologie sociale II | L25.01031 Sozialpsychologie II | 3 |\n| L25.00027 Psychologie différentielle et de la personnalité | L",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"a91cf661bb3c80304b9dd58dbb7cef829c14c7dc::semantic_table::chunk::0025", "chunk_type": "table", "section": "Module M2", "page_start": 1, "page_end": 1, "chunk_pages": [1], "contains_table": true, "block_kinds": ["table"], "prev_chunk_id": "a91cf661bb3c80304b9dd58dbb7cef829c14c7dc::semantic_table::chunk::0024", "next_chunk_id": null,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"Section: Psychologie Studienprogramm zu 30 ECTS-Punkte 2019\n\nTable rows:\n- Inhalt: 1; Inhalt: Gesetzliche Grundlagen ............................................................................................ 2\n- Inhalt: 2; Inhalt: Beschreibung des Programms................................................................................... 2\n- Inhalt: 3; Inhalt: Ausbildungsziele........................................................................................................ 3\n- Inhalt: 4",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"a91cf661bb3c80304b9dd58dbb7cef829c14c7dc::semantic_table::chunk::0001", "chunk_type": "table", "section": "Psychologie Studienprogramm zu 30 ECTS-Punkte 2019", "page_start": 1, "page_end": 1, "chunk_pages": [1], "contains_table": true, "block_kinds": ["table"], "prev_chunk_id": null, "next_chunk_id": "a91cf661bb3c80304b9dd58dbb7cef829c14c7dc::semantic_table::chunk::0002",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"----------------------------------------------------------------------------------------------------------------------|\n| 1 | Gesetzliche Grundlagen ............................................................................................ 2 |\n| 2 | Beschreibung des Programms................................................................................... 2 |\n| 3 | Ausbildungsziele........................................................................................................ 3 |\n| 4",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"a91cf661bb3c80304b9dd58dbb7cef829c14c7dc::semantic_table::chunk::0002", "chunk_type": "table", "section": "Psychologie Studienprogramm zu 30 ECTS-Punkte 2019", "page_start": 1, "page_end": 1, "chunk_pages": [1], "contains_table": true, "block_kinds": ["table"], "prev_chunk_id": "a91cf661bb3c80304b9dd58dbb7cef829c14c7dc::semantic_table::chunk::0001", "next_chunk_id": "a91cf661bb3c80304b9dd58dbb7cef829c14c7dc::semantic_table::chunk::0003",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"Section: 6. Allgemeine Organisation\n\nTable rows:\n- Bachelor Psychologie - 30 ECTS-Punkte: 2 Pflichtmodule mit 12 und 18 ECTS; Bachelor Psychologie - 30 ECTS-Punkte: 2 Pflichtmodule mit 12 und 18 ECTS; Bachelor Psychologie - 30 ECTS-Punkte: 2 Pflichtmodule mit 12 und 18 ECTS\n- Bachelor Psychologie - 30 ECTS-Punkte: Grundlagenfächer; Bachelor Psychologie - 30 ECTS-Punkte: Grundlagenfächer; Bachelor Psychologie - 30 ECTS-Punkte: Grundlagenfächer\n- Bachelor Psychologie - 30 ECTS-Punkte: M1; Bachelor",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"a91cf661bb3c80304b9dd58dbb7cef829c14c7dc::semantic_table::chunk::0012", "chunk_type": "table", "section": "6. Allgemeine Organisation", "page_start": 1, "page_end": 1, "chunk_pages": [1], "contains_table": true, "block_kinds": ["table"], "prev_chunk_id": "a91cf661bb3c80304b9dd58dbb7cef829c14c7dc::semantic_table::chunk::0011", "next_chunk_id": "a91cf661bb3c80304b9dd58dbb7cef829c14c7dc::semantic_table::chunk::0013",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"Section: Modul M1: Propädeutikum A: Allgemeine, klinische und Entwicklungspsychologie\n\nTable rows:\n- L25.00345: L25.00002; Propädeutikum A: Allgemeine, Klinische und Entwicklungspsychologie: Allgemeine Psychologie; 18: 6\n- L25.00345: L25.00007; Propädeutikum A: Allgemeine, Klinische und Entwicklungspsychologie: Klinische Psychologie; 18: 6\n- L25.00345: L25.01025; Propädeutikum A: Allgemeine, Klinische und Entwicklungspsychologie: Entwicklungspsychologie; 18: 6\n\nRaw table:\n| L25.00345 | Propädeut",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"a91cf661bb3c80304b9dd58dbb7cef829c14c7dc::semantic_table::chunk::0014", "chunk_type": "table", "section": "Modul M1: Propädeutikum A: Allgemeine, klinische und Entwicklungspsychologie", "page_start": 1, "page_end": 1, "chunk_pages": [1], "contains_table": true, "block_kinds": ["table"], "prev_chunk_id": "a91cf661bb3c80304b9dd58dbb7cef829c14c7dc::semantic_table::chunk::0013", "next_chunk_id": "a91cf661bb3c80304b9dd58dbb7cef829c14c7dc::semantic_table::chunk::0015",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"Bachelor_30_a91cf661bb3c80304b9dd58dbb7cef829c14c7dc.txt", "page": 1, "snippet": "Section: Module M1\n\nTable rows:\n- Propédeutique A : Psychologie cognitive, clinique et développementale: L25.00009 Psychologie cognitive; Propädeutikum A: Allgemeine, Klinische und Entwicklungs- psychologie: L25.00002 Allgemeine Psychologie; 18 ECTS: 6\n- Propédeutique A : Psychologie cognitive, clinique et développementale: L25.00014 Psychologie clinique, psychopathologie et psychothérapie; Propädeutikum A: Allgemeine, Klinische und Entwicklungs- psychologie: L25.00007 Klinische Psychologie; 18 ", "metadata": {"parsed_at": "2026-04-10T03:25:52.901Z", "pages": 1, "parser": "docling", "doc_key": "a91cf661bb3c80304b9dd58dbb7cef829c14c7dc", "degree_level": "Bachelor", "total_ects": 30, "program_name": "Psychology", "doc_label": "Bachelor 30 ECTS", "source_url": "https://www.unifr.ch/psycho/de/assets/public/bachelor/plans/PLE_Psycho_BA30_De_rat29012019_v01.pdf", "source_type": "pdf", "curriculum_url": "http://studies.unifr.ch/go/N7sl2", "fetched_at": "2026-04-03T11:30:12.234Z", "source_file": "Bachelor_30_a91cf661bb3c80304b9dd58dbb7cef829c14c7dc.txt", "index_variant": "table_semantic_v1", "chunk_id": "a91cf661bb3c80304b9dd58dbb7cef829c14c7dc::semantic_table::chunk::0023", "chunk_type": "table", "section": "Module M1", "page_start": 1, "page_end": 1, "chunk_pages": [1], "contains_table": true, "block_kinds": ["table"], "prev_chunk_id": "a91cf661bb3c80304b9dd58dbb7cef829c14c7dc::semantic_table::chunk::0022", "next_chunk_id": "a91cf661bb3c80304b9dd58dbb7cef829c14c7dc::semantic_table::chunk::0024",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"Bachelor_30_5ded86237de0d06e0ad0c7cd6cc52a4dddb28c00.txt", "page": 1, "snippet": "Section: Übergangsbestimmungen: Bachelor-Studienplänen\n\nMit dem Inkrafttreten des Reglements vom 8. März 2018 zur Erlangung des Bachelors und des Masters an der Philosophischen Fakultät sind folgende Reglemente aufgehoben:\n\nSection: Übergangsbestimmungen: Bachelor-Studienplänen\n\n- das Reglement zur Erlangung des universitären Diploms (Niveau europäischer Bachelor) an der Philosophischen Fakultät vom 23. Juni 2005 ;\n- die Richtlinien über die Evaluation der Studienleistungen, die Vergabe der ECTS", "metadata": {"parsed_at": "2026-04-10T03:30:43.886Z", "pages": 1, "parser": "docling", "doc_key": "5ded86237de0d06e0ad0c7cd6cc52a4dddb28c00", "degree_level": "Bachelor", "total_ects": 30, "program_name": "Psychology", "doc_label": "Übergangsbestimmungen", "source_url": "https://www.unifr.ch/psycho/de/assets/public/bachelor/reglements/Bachelor_ab_HS19_Uebergangsbestimmungen_De.pdf", "source_type": "pdf", "curriculum_url": "http://studies.unifr.ch/go/N7sl2", "fetched_at": "2026-04-03T11:30:13.041Z", "source_file": "Bachelor_30_5ded86237de0d06e0ad0c7cd6cc52a4dddb28c00.txt", "index_variant": "table_semantic_v1", "chunk_id": "5ded86237de0d06e0ad0c7cd6cc52a4dddb28c00::semantic_table::chunk::0001", "chunk_type": "semantic", "section": "Übergangsbestimmungen: Bachelor-Studienplänen", "page_start": 1, "page_end": 1, "chunk_pages": [1], "contains_table": false, "block_kinds": ["list", "text"], "prev_chunk_id": null, "next_chunk_id": "5ded86237de0d06e0ad0c7cd6cc52a4dddb28c00::semantic_table::chunk::0002",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 {"source": "Bachelor_30_5ded86237de0d06e0ad0c7cd6cc52a4dddb28c00.txt", "page": 1, "snippet": "Previous context: ereits vor dem Herbstsemester 2019 in einen Bachelor-Studiengang der Philosophischen Fakultät eingeschrieben waren, wird die maximale Studiendauer ab dem HS 19 berechnet (Art. 74).\n\nSection: Vermerk « zweisprachig »\n\nDer Vermerk «zweisprachig» kann für Gesamtbereiche zu 180 ECTS-Punkten, für Bereiche I zu 120 ECTS-Punkten und für Bereiche II zu 60 ECTS-Punkten vergeben werden, wenn der Studienplan den Vermerk vorsieht. Es gibt keinen Vermerk «zweisprachig» für Bachelorprogramme", "metadata": {"parsed_at": "2026-04-10T03:30:43.886Z", "pages": 1, "parser": "docling", "doc_key": "5ded86237de0d06e0ad0c7cd6cc52a4dddb28c00", "degree_level": "Bachelor", "total_ects": 30, "program_name": "Psychology", "doc_label": "Übergangsbestimmungen", "source_url": "https://www.unifr.ch/psycho/de/assets/public/bachelor/reglements/Bachelor_ab_HS19_Uebergangsbestimmungen_De.pdf", "source_type": "pdf", "curriculum_url": "http://studies.unifr.ch/go/N7sl2", "fetched_at": "2026-04-03T11:30:13.041Z", "source_file": "Bachelor_30_5ded86237de0d06e0ad0c7cd6cc52a4dddb28c00.txt", "index_variant": "table_semantic_v1", "chunk_id": "5ded86237de0d06e0ad0c7cd6cc52a4dddb28c00::semantic_table::chunk::0003", "chunk_type": "semantic", "section": "Vermerk « zweisprachig »", "page_start": 1, "page_end": 1, "chunk_pages": [1], "contains_table": false, "block_kinds": ["text"], "prev_chunk_id": "5ded86237de0d06e0ad0c7cd6cc52a4dddb28c00::semantic_table::chunk::0002", "next_chunk_id": "5ded86237de0d06e0ad0c7cd6cc52a4dddb28c00::semantic_table::chunk::0004", "rag_source": "studyplans", "category": "studyplans", "retrieval_debug": {"detected_program_name": "Psychology", "detected_program_key": null, "detected_degree": "Bachelor", "detected_ects": null, "detected_year": null, "retrieval_mode": "metadata_first", "candidate_count_after_program_degree_ects": 35, "source_intent": "base_data", "returned_count": 10, "returned_programs": ["Psychology"]}}, "retrieval_debug": {"retrieval_mode": "metadata_and_language_aware", "requested_language": "de", "runs": [{"detected_program_name": "Psychology", "detected_program_key": null, "detected_degree": "Bachelor", "detected_ects": null, "detected_year": null, "retrieval_mode": "metadata_first", "candidate_count_after_program_degree_ects": 35, "source_intent": "base_data", "returned_count": 10, "returned_programs": ["Psychology"], "query": "Welche Bachelorprogramme kann ich an der Universität Freiburg studieren?", "query_language": "de"}], "returned_count": 10}}]</t>
  </si>
  <si>
    <t>Bachelor_30_a91cf661bb3c80304b9dd58dbb7cef829c14c7dc.txt</t>
  </si>
  <si>
    <t>Section: Modul M2: Grundlagenfächer der Psychologie (Auswahlmodul, mind. 12 ECTS Punkte) Table rows: - L25.00346: L25.00016; Grundlagenfächer der Psychologie (Auswahlmodul): Einführung in die Themenbereiche der Psychologie; 12ECTS: 3 - L25.00346: SPY.01001 SPY.02001; Grundlagenfächer der Psychologie (Auswahlmodul): Neurobiologie I + II; 12ECTS: 6 -</t>
  </si>
  <si>
    <t>same as above before… here difficult to answer with current faiss structure, would need to extract all sources for programs and then create a list out of them</t>
  </si>
  <si>
    <t>not one single source, needs reasoning over loads of docs</t>
  </si>
  <si>
    <t>Wie viele ECTS hat UE-L14.02281?</t>
  </si>
  <si>
    <t>Master_30_07188d31f5ae8ec1d0523c30952a3ce3a67f672a.txt; Master_90_b6f25bd23ed6a0311952fbc3ab7819fef42d596e.txt; Bachelor_30_c2f5652a4dbc371661a53977b23664d38076c585.txt; Master_90_b6f25bd23ed6a0311952fbc3ab7819fef42d596e.txt; Bachelor_150_10a99154aa77cb1baa2489ca196a64d5316b9d17.txt; Bachelor_150_c0eeee0891333ec0b38afa5bcd04876935d149f2.txt; Bachelor_150_32328ad58f8d1ddee34285c15cdb968753465dca.txt; Bachelor_150_d74816fed388befce2b0255ec412f5962ff6a6dd.txt; Bachelor_150_5a3f809897fbbd3eb630177117407344a5f649a5.txt; Bachelor_150_e5dd0061e289f3487f7637e65ee9766e0441d734.txt</t>
  </si>
  <si>
    <t>1. [studyplans] Master_30_07188d31f5ae8ec1d0523c30952a3ce3a67f672a.txt p.1 - 026 | MA | | Fortlaufende Evaluation | 27 | | EDK.01671 | Masterarbeit | Décanat | HS-2025 | MA | | Fortlaufende Evaluation | 27 | | EDK.01672 | Kollokium | Décanat | FS-2026 | MA | | Fortlaufende Evaluation | 3 | | EDK.
2. [studyplans] Master_90_b6f25bd23ed6a0311952fbc3ab7819fef42d596e.txt p.1 - and Economics (AS-2025) - Externalities: Concept, Economics, Ethics | Gläser | HS-2025 | MA | en | Fortlaufende Evaluation und | 4.5 | | EEP.00557 | Economic Growth: For and Against | Roser | HS-2025 | MA | en | Fortlauf
3. [studyplans] Bachelor_30_c2f5652a4dbc371661a53977b23664d38076c585.txt p.1 - : Auf der Suche nach einem Kompass | Prinzing | HS-2025 | BA | de | Fortlaufende Evaluation | 3 | | EKM.00039 | Vorlesung Kommunikations- und Mediengeschichte | Beck | FS-2026 | BA | de | Schriftliche Prüfung | 3 | | EKM
4. [studyplans] Master_90_b6f25bd23ed6a0311952fbc3ab7819fef42d596e.txt p.1 - aufende Evaluation | 0 | | EGE.00451 | Colloquium Research Methodology and Data Analysis: Data Analysis Part | Bambauer-Sachse, Schorro | FS-2026 | MA | en | Fortlaufende Evaluation | 0 | | Master thesis | Master thesis 
5. [studyplans] Bachelor_150_10a99154aa77cb1baa2489ca196a64d5316b9d17.txt p.1 - | 28 | 3 | | SGG.00317 | Introduction à la géophysique (travaux pratiques) | 28 | 2 | | | | | 18.5 | | | Branche complémentaire (voir les UE proposées par le département concerné) | | |
6. [studyplans] Bachelor_150_c0eeee0891333ec0b38afa5bcd04876935d149f2.txt p.1 - hanik (Vorlesung) | 28 | 2 | | SPH.03512 | Statistische Quantenmechanik (Übungen) | 14 | 1.5 | | SPH.03700 | Physik im Alltag | 28 | 3 | | Zusatzfach | Zusatzfach | | | | - | (gemäss Liste der UE des entsprechenden Fachb
7. [studyplans] Bachelor_150_32328ad58f8d1ddee34285c15cdb968753465dca.txt p.1 - urch die Bewegung | FS | 28 | 2 | | | Geräteturnen | | | | | SSP.00815 | * Geräteturnen III | HS | 28 | 2 | | SSP.00857 | Balancieren und Sportakrobatik | FS | 28 | 2 | | | Leichtathletik | | | | | SSP.00839 | * Leichtat
8. [studyplans] Bachelor_150_d74816fed388befce2b0255ec412f5962ff6a6dd.txt p.1 - Tanz I | HS/FS | 28 | 2 | | SSP.00824 | Populärer Tanz II | FS | 28 | 2 | | SSP.00823 | Ausdruck und Kommunikation durch die Bewegung | FS | 28 | 2 | | SSP.00851 | * Fitness mit Musik I | HS | 28 | 1 | | SSP.00852 | * Fi
9. [studyplans] Bachelor_150_5a3f809897fbbd3eb630177117407344a5f649a5.txt p.1 - sychologie: Lerntheorien in der Klinischen Psychologie | HS | 28 | 3 | | | Wirtschaftswissenschaften (Fakultät SES)*** | | | | | EKM.00034 | Communication I: Théories de la communication et des médias | HS | 28 | 3 | | E
10. [studyplans] Bachelor_150_e5dd0061e289f3487f7637e65ee9766e0441d734.txt p.1 - h. Sem. | 7 Tg. | 2 | | SSP.00855 | Inline-Skating § | FS | 28 | 2 | | | Weitere | | | | | SSP.00814 | Sportklettern | FS | 28 | 2 | | SSP.00845 | Sportmassage | HS | 28 | 2 | | SSP.00854 | Judo | HS | 28 | 2 | | Total E</t>
  </si>
  <si>
    <t>[{"source": "Master_30_07188d31f5ae8ec1d0523c30952a3ce3a67f672a.txt", "page": 1, "snippet": "026 | MA | | Fortlaufende Evaluation | 27 |\n| EDK.01671 | Masterarbeit | Décanat | HS-2025 | MA | | Fortlaufende Evaluation | 27 |\n| EDK.01672 | Kollokium | Décanat | FS-2026 | MA | | Fortlaufende Evaluation | 3 |\n| EDK.01672 | Kollokium | Décanat | HS-2025 | MA | | Fortlaufende Evaluation | 3 |", "metadata": {"parsed_at": "2026-04-10T14:32:18.878Z", "pages": 1, "parser": "docling", "doc_key": "07188d31f5ae8ec1d0523c30952a3ce3a67f672a", "degree_level": "Master", "total_ects": 30, "program_name": "Digital Media &amp; Communication for Social Impact", "doc_label": "Studienplan", "source_url": "https://www.calameo.com/read/003659115b2aab26caad1", "source_type": "calameo", "curriculum_url": "http://studies.unifr.ch/go/hxTyS", "fetched_at": "2026-04-03T11:31:31.173Z", "source_file": "Master_30_07188d31f5ae8ec1d0523c30952a3ce3a67f672a.txt", "index_variant": "table_semantic_v1", "chunk_id": "07188d31f5ae8ec1d0523c30952a3ce3a67f672a::semantic_table::chunk::0078", "chunk_type": "table", "section": "Ma - Wahlveranstaltungen Kommunikationswissenschaft", "page_start": 1, "page_end": 1, "chunk_pages": [1], "contains_table": true, "block_kinds": ["table"], "prev_chunk_id": "07188d31f5ae8ec1d0523c30952a3ce3a67f672a::semantic_table::chunk::0077", "next_chunk_id": "07188d31f5ae8ec1d0523c30952a3ce3a67f672a::semantic_table::chunk::0079",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"Master_90_b6f25bd23ed6a0311952fbc3ab7819fef42d596e.txt", "page": 1, "snippet": "and Economics (AS-2025) - Externalities: Concept, Economics, Ethics | Gläser | HS-2025 | MA | en | Fortlaufende Evaluation und | 4.5 |\n| EEP.00557 | Economic Growth: For and Against | Roser | HS-2025 | MA | en | Fortlaufende Evaluation und schriftliche Prüfung | 4.5 |", "metadata": {"parsed_at": "2026-04-10T15:18:15.966Z", "pages": 1, "parser": "docling", "doc_key": "b6f25bd23ed6a0311952fbc3ab7819fef42d596e", "degree_level": "Master", "total_ects": 90, "program_name": "International and European Business", "doc_label": "Studienplan", "source_url": "https://www.calameo.com/read/003659115e911222840d4", "source_type": "calameo", "curriculum_url": "http://studies.unifr.ch/go/2ihyy", "fetched_at": "2026-04-03T11:31:36.235Z", "source_file": "Master_90_b6f25bd23ed6a0311952fbc3ab7819fef42d596e.txt", "index_variant": "table_semantic_v1", "chunk_id": "b6f25bd23ed6a0311952fbc3ab7819fef42d596e::semantic_table::chunk::0065", "chunk_type": "table", "section": "Wahlkurse WISO auf Master-Niveau in Volkswirtschaftslehre", "page_start": 1, "page_end": 1, "chunk_pages": [1], "contains_table": true, "block_kinds": ["table"], "prev_chunk_id": "b6f25bd23ed6a0311952fbc3ab7819fef42d596e::semantic_table::chunk::0064", "next_chunk_id": "b6f25bd23ed6a0311952fbc3ab7819fef42d596e::semantic_table::chunk::0066",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"Bachelor_30_c2f5652a4dbc371661a53977b23664d38076c585.txt", "page": 1, "snippet": ": Auf der Suche nach einem Kompass | Prinzing | HS-2025 | BA | de | Fortlaufende Evaluation | 3 |\n| EKM.00039 | Vorlesung Kommunikations- und Mediengeschichte | Beck | FS-2026 | BA | de | Schriftliche Prüfung | 3 |\n| EKM.00037 | Vorlesung Mediennutzungs- und | Fahr | HS-2025 | BA | de | Schriftliche Prüfung | 3 |", "metadata": {"parsed_at": "2026-04-10T16:24:06.880Z", "pages": 1, "parser": "docling", "doc_key": "c2f5652a4dbc371661a53977b23664d38076c585", "degree_level": "Bachelor", "total_ects": 30, "program_name": "Economics", "doc_label": "Studienplan Volkswirtschaftslehre", "source_url": "https://www.calameo.com/read/0036591157a7a1d6d4e57", "source_type": "calameo", "curriculum_url": "http://studies.unifr.ch/go/QLgAu", "fetched_at": "2026-04-03T11:31:44.157Z", "source_file": "Bachelor_30_c2f5652a4dbc371661a53977b23664d38076c585.txt", "index_variant": "table_semantic_v1", "chunk_id": "c2f5652a4dbc371661a53977b23664d38076c585::semantic_table::chunk::0029", "chunk_type": "table", "section": "Stand des Kursangebots", "page_start": 1, "page_end": 1, "chunk_pages": [1], "contains_table": true, "block_kinds": ["table"], "prev_chunk_id": "c2f5652a4dbc371661a53977b23664d38076c585::semantic_table::chunk::0028", "next_chunk_id": "c2f5652a4dbc371661a53977b23664d38076c585::semantic_table::chunk::0030",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"Master_90_b6f25bd23ed6a0311952fbc3ab7819fef42d596e.txt", "page": 1, "snippet": "aufende Evaluation | 0 |\n| EGE.00451 | Colloquium Research Methodology and Data Analysis: Data Analysis Part | Bambauer-Sachse, Schorro | FS-2026 | MA | en | Fortlaufende Evaluation | 0 |\n| Master thesis | Master thesis | Master thesis | Master thesis | Master thesis | Master thesis | Master thesis | Master thesis |\n| EDK.01667 | Masterarbeit | Décanat | HS-2025 | MA | | Fortlaufende Evaluation | 18 |\n| EDK.01667 | Masterarbeit | Décanat | FS-2026 | MA | | Fortlaufende Evaluation | 18 |", "metadata": {"parsed_at": "2026-04-10T15:18:15.966Z", "pages": 1, "parser": "docling", "doc_key": "b6f25bd23ed6a0311952fbc3ab7819fef42d596e", "degree_level": "Master", "total_ects": 90, "program_name": "International and European Business", "doc_label": "Studienplan", "source_url": "https://www.calameo.com/read/003659115e911222840d4", "source_type": "calameo", "curriculum_url": "http://studies.unifr.ch/go/2ihyy", "fetched_at": "2026-04-03T11:31:36.235Z", "source_file": "Master_90_b6f25bd23ed6a0311952fbc3ab7819fef42d596e.txt", "index_variant": "table_semantic_v1", "chunk_id": "b6f25bd23ed6a0311952fbc3ab7819fef42d596e::semantic_table::chunk::0091", "chunk_type": "table", "section": "Research methodology (nur für die Vorbereitung einer Masterarbeit im Bereich Marketing)", "page_start": 1, "page_end": 1, "chunk_pages": [1], "contains_table": true, "block_kinds": ["table"], "prev_chunk_id": "b6f25bd23ed6a0311952fbc3ab7819fef42d596e::semantic_table::chunk::0090", "next_chunk_id": "b6f25bd23ed6a0311952fbc3ab7819fef42d596e::semantic_table::chunk::0092",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"Bachelor_150_10a99154aa77cb1baa2489ca196a64d5316b9d17.txt", "page": 1, "snippet": "| 28 | 3 |\n| SGG.00317 | Introduction à la géophysique (travaux pratiques) | 28 | 2 |\n| | | | 18.5 |\n| | Branche complémentaire (voir les UE proposées par le département concerné) | | |", "metadata": {"parsed_at": "2026-04-10T01:28:55.651Z", "pages": 1, "parser": "docling", "doc_key": "10a99154aa77cb1baa2489ca196a64d5316b9d17", "degree_level": "Bachelor", "total_ects": 150, "program_name": "Physics", "doc_label": "Branche principale en sciences de la Terre", "source_url": "https://cdn.unifr.ch/scimed/plans/2019/Plan_BSc_ST_fr.pdf", "source_type": "pdf", "curriculum_url": "http://studies.unifr.ch/go/0fTFn", "fetched_at": "2026-04-03T11:27:58.269Z", "source_file": "Bachelor_150_10a99154aa77cb1baa2489ca196a64d5316b9d17.txt", "index_variant": "table_semantic_v1", "chunk_id": "10a99154aa77cb1baa2489ca196a64d5316b9d17::semantic_table::chunk::0043", "chunk_type": "table", "section": "Semestre 5 (automne)", "page_start": 1, "page_end": 1, "chunk_pages": [1], "contains_table": true, "block_kinds": ["table"], "prev_chunk_id": "10a99154aa77cb1baa2489ca196a64d5316b9d17::semantic_table::chunk::0042", "next_chunk_id": "10a99154aa77cb1baa2489ca196a64d5316b9d17::semantic_table::chunk::0044",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"Bachelor_150_c0eeee0891333ec0b38afa5bcd04876935d149f2.txt", "page": 1, "snippet": "hanik (Vorlesung) | 28 | 2 |\n| SPH.03512 | Statistische Quantenmechanik (Übungen) | 14 | 1.5 |\n| SPH.03700 | Physik im Alltag | 28 | 3 |\n| Zusatzfach | Zusatzfach | | |\n| - | (gemäss Liste der UE des entsprechenden Fachbereiche) | | X |\n| | | | 18.5+x |", "metadata": {"parsed_at": "2026-04-09T22:22:35.650Z", "pages": 1, "parser": "docling", "doc_key": "c0eeee0891333ec0b38afa5bcd04876935d149f2", "degree_level": "Bachelor", "total_ects": 150, "program_name": "Physics", "doc_label": "Hauptfach Physik", "source_url": "https://cdn.unifr.ch/scimed/plans/2019/Plan_BSc_PH_de.pdf", "source_type": "pdf", "curriculum_url": "http://studies.unifr.ch/go/0fTFn", "fetched_at": "2026-04-03T11:27:43.240Z", "source_file": "Bachelor_150_c0eeee0891333ec0b38afa5bcd04876935d149f2.txt", "index_variant": "table_semantic_v1", "chunk_id": "c0eeee0891333ec0b38afa5bcd04876935d149f2::semantic_table::chunk::0049", "chunk_type": "table", "section": "Fünftes Semester (Herbst)", "page_start": 1, "page_end": 1, "chunk_pages": [1], "contains_table": true, "block_kinds": ["table"], "prev_chunk_id": "c0eeee0891333ec0b38afa5bcd04876935d149f2::semantic_table::chunk::0048", "next_chunk_id": "c0eeee0891333ec0b38afa5bcd04876935d149f2::semantic_table::chunk::0050",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"Bachelor_150_32328ad58f8d1ddee34285c15cdb968753465dca.txt", "page": 1, "snippet": "urch die Bewegung | FS | 28 | 2 |\n| | Geräteturnen | | | |\n| SSP.00815 | * Geräteturnen III | HS | 28 | 2 |\n| SSP.00857 | Balancieren und Sportakrobatik | FS | 28 | 2 |\n| | Leichtathletik | | | |\n| SSP.00839 | * Leichtathletik III | FS | 28 | 2 |\n| | Schwimmsport | | | |\n| SSP.00822 | *Schwimmen III | HS | 28 | 2 |", "metadata": {"parsed_at": "2026-04-09T22:16:10.536Z", "pages": 1, "parser": "docling", "doc_key": "32328ad58f8d1ddee34285c15cdb968753465dca", "degree_level": "Bachelor", "total_ects": 150, "program_name": "Physics", "doc_label": "Hauptfach Sport- und Bewegungswissenschaften /&amp;nbsp;Unterricht", "source_url": "https://cdn.unifr.ch/scimed/plans/2019/Plan_BSc_SP-E_de.pdf", "source_type": "pdf", "curriculum_url": "http://studies.unifr.ch/go/0fTFn", "fetched_at": "2026-04-03T11:27:42.844Z", "source_file": "Bachelor_150_32328ad58f8d1ddee34285c15cdb968753465dca.txt", "index_variant": "table_semantic_v1", "chunk_id": "32328ad58f8d1ddee34285c15cdb968753465dca::semantic_table::chunk::0052", "chunk_type": "table", "section": "Bemerkung:", "page_start": 1, "page_end": 1, "chunk_pages": [1], "contains_table": true, "block_kinds": ["table"], "prev_chunk_id": "32328ad58f8d1ddee34285c15cdb968753465dca::semantic_table::chunk::0051", "next_chunk_id": "32328ad58f8d1ddee34285c15cdb968753465dca::semantic_table::chunk::0053",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"Bachelor_150_d74816fed388befce2b0255ec412f5962ff6a6dd.txt", "page": 1, "snippet": "Tanz I | HS/FS | 28 | 2 |\n| SSP.00824 | Populärer Tanz II | FS | 28 | 2 |\n| SSP.00823 | Ausdruck und Kommunikation durch die Bewegung | FS | 28 | 2 |\n| SSP.00851 | * Fitness mit Musik I | HS | 28 | 1 |\n| SSP.00852 | * Fitness mit Musik II | FS | 28 | 2 |", "metadata": {"parsed_at": "2026-04-09T22:20:33.641Z", "pages": 1, "parser": "docling", "doc_key": "d74816fed388befce2b0255ec412f5962ff6a6dd", "degree_level": "Bachelor", "total_ects": 150, "program_name": "Physics", "doc_label": "Hauptfach Sport- und Bewegungswissenschaften /&amp;nbsp;Gesundheit-Leistung-Forschung", "source_url": "https://cdn.unifr.ch/scimed/plans/2019/Plan_BSc_SP-SR_de.pdf", "source_type": "pdf", "curriculum_url": "http://studies.unifr.ch/go/0fTFn", "fetched_at": "2026-04-03T11:27:43.156Z", "source_file": "Bachelor_150_d74816fed388befce2b0255ec412f5962ff6a6dd.txt", "index_variant": "table_semantic_v1", "chunk_id": "d74816fed388befce2b0255ec412f5962ff6a6dd::semantic_table::chunk::0064", "chunk_type": "table", "section": "Bemerkung:", "page_start": 1, "page_end": 1, "chunk_pages": [1], "contains_table": true, "block_kinds": ["table"], "prev_chunk_id": "d74816fed388befce2b0255ec412f5962ff6a6dd::semantic_table::chunk::0063", "next_chunk_id": "d74816fed388befce2b0255ec412f5962ff6a6dd::semantic_table::chunk::0065",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"Bachelor_150_5a3f809897fbbd3eb630177117407344a5f649a5.txt", "page": 1, "snippet": "sychologie: Lerntheorien in der Klinischen Psychologie | HS | 28 | 3 |\n| | Wirtschaftswissenschaften (Fakultät SES)*** | | | |\n| EKM.00034 | Communication I: Théories de la communication et des médias | HS | 28 | 3 |\n| EKM.00049 | Communication II: Relations publiques | FS | 28 | 3 |\n| EKM.00035 | Vorlesung Einführung in die Kommunikationswissen- schaft | HS | 28 | 3 |\n| EKM.00037 | Vorlesung Mediennutzungs- und Medienwirkungs- forschung | FS | 28 | 3 |\n| EGE.00135 | Introduction à la gestion d'", "metadata": {"parsed_at": "2026-04-09T22:44:25.585Z", "pages": 1, "parser": "docling", "doc_key": "5a3f809897fbbd3eb630177117407344a5f649a5", "degree_level": "Bachelor", "total_ects": 150, "program_name": "Physics", "doc_label": "Hauptfach Sport- und Bewegungswissenschaften /&amp;nbsp;Gesundheit-Leistung-Forschung", "source_url": "https://cdn.unifr.ch/scimed/plans/2018/Plan_BSc_SP-R_de.pdf", "source_type": "pdf", "curriculum_url": "http://studies.unifr.ch/go/0fTFn", "fetched_at": "2026-04-03T11:27:44.564Z", "source_file": "Bachelor_150_5a3f809897fbbd3eb630177117407344a5f649a5.txt", "index_variant": "table_semantic_v1", "chunk_id": "5a3f809897fbbd3eb630177117407344a5f649a5::semantic_table::chunk::0050", "chunk_type": "table", "section": "2.2.3 Unterrichtseinheiten der dritten Anrechnungseinheit", "page_start": 1, "page_end": 1, "chunk_pages": [1], "contains_table": true, "block_kinds": ["table"], "prev_chunk_id": "5a3f809897fbbd3eb630177117407344a5f649a5::semantic_table::chunk::0049", "next_chunk_id": "5a3f809897fbbd3eb630177117407344a5f649a5::semantic_table::chunk::0051",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 {"source": "Bachelor_150_e5dd0061e289f3487f7637e65ee9766e0441d734.txt", "page": 1, "snippet": "h. Sem. | 7 Tg. | 2 |\n| SSP.00855 | Inline-Skating § | FS | 28 | 2 |\n| | Weitere | | | |\n| SSP.00814 | Sportklettern | FS | 28 | 2 |\n| SSP.00845 | Sportmassage | HS | 28 | 2 |\n| SSP.00854 | Judo | HS | 28 | 2 |\n| Total ECTS | Total ECTS | | | 36 |", "metadata": {"parsed_at": "2026-04-09T16:37:46.642Z", "pages": 1, "parser": "docling", "doc_key": "e5dd0061e289f3487f7637e65ee9766e0441d734", "degree_level": "Bachelor", "total_ects": 150, "program_name": "Physics", "doc_label": "Hauptfach Sport- und Bewegungswissenschaften /&amp;nbsp;Gesundheit-Leistung-Forschung", "source_url": "https://cdn.unifr.ch/scimed/plans/2024/Plan_BSc_SP-GLF_de.pdf", "source_type": "pdf", "curriculum_url": "http://studies.unifr.ch/go/0fTFn", "fetched_at": "2026-04-03T11:27:33.536Z", "source_file": "Bachelor_150_e5dd0061e289f3487f7637e65ee9766e0441d734.txt", "index_variant": "table_semantic_v1", "chunk_id": "e5dd0061e289f3487f7637e65ee9766e0441d734::semantic_table::chunk::0048", "chunk_type": "table", "section": "Bemerkungen:", "page_start": 1, "page_end": 1, "chunk_pages": [1], "contains_table": true, "block_kinds": ["table"], "prev_chunk_id": "e5dd0061e289f3487f7637e65ee9766e0441d734::semantic_table::chunk::0047", "next_chunk_id": "e5dd0061e289f3487f7637e65ee9766e0441d734::semantic_table::chunk::0049",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"retrieval_debug": {"retrieval_mode": "metadata_and_language_aware", "requested_language": "de",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["Digital Media &amp; Communication for Social Impact", "Economics", "International and European Business", "Physics"], "query": "Wie viele ECTS hat UE-L14.02281?", "query_language": "de"}], "returned_count": 10}}]</t>
  </si>
  <si>
    <t>Master_30_07188d31f5ae8ec1d0523c30952a3ce3a67f672a.txt</t>
  </si>
  <si>
    <t>026 | MA | | Fortlaufende Evaluation | 27 | | EDK.01671 | Masterarbeit | Décanat | HS-2025 | MA | | Fortlaufende Evaluation | 27 | | EDK.01672 | Kollokium | Décanat | FS-2026 | MA | | Fortlaufende Evaluation | 3 | | EDK.01672 | Kollokium | Décanat | HS-2025 | MA | | Fortlaufende Evaluation | 3 |</t>
  </si>
  <si>
    <t>correct snippet not withing retrieved sources</t>
  </si>
  <si>
    <t>info actually not present in the available sources (needs api route)</t>
  </si>
  <si>
    <t>fr</t>
  </si>
  <si>
    <t>Quels programmes de bachelor puis-je étudier à l'Université de Fribourg ?</t>
  </si>
  <si>
    <t>Bachelor_120_6617b1f0e39aa98eb5b79f905f622cf647bde94d.txt; Bachelor_120_6617b1f0e39aa98eb5b79f905f622cf647bde94d.txt; Bachelor_120_a399012ec06bf6ae1bd1c180c7960ffa37e92666.txt; Bachelor_120_a399012ec06bf6ae1bd1c180c7960ffa37e92666.txt; Bachelor_120_6617b1f0e39aa98eb5b79f905f622cf647bde94d.txt; Bachelor_120_6617b1f0e39aa98eb5b79f905f622cf647bde94d.txt; Bachelor_120_6617b1f0e39aa98eb5b79f905f622cf647bde94d.txt; Bachelor_120_6617b1f0e39aa98eb5b79f905f622cf647bde94d.txt; Bachelor_120_a399012ec06bf6ae1bd1c180c7960ffa37e92666.txt; Bachelor_120_a399012ec06bf6ae1bd1c180c7960ffa37e92666.txt</t>
  </si>
  <si>
    <t>1. [studyplans] Bachelor_120_6617b1f0e39aa98eb5b79f905f622cf647bde94d.txt p.1 - Université de Fribourg (Suisse) Faculté des lettres et des sciences humaines Département d'Histoire contemporaine
2. [studyplans] Bachelor_120_6617b1f0e39aa98eb5b79f905f622cf647bde94d.txt p.1 - Previous context: Université de Fribourg (Suisse) Faculté des lettres et des sciences humaines Département d'Histoire contemporaine Section: Histoire contemporaine Domaine secondaire du niveau Bachelor (60 crédits ECTS) 
3. [studyplans] Bachelor_120_a399012ec06bf6ae1bd1c180c7960ffa37e92666.txt p.1 - Université de Fribourg (Suisse) Faculté des Lettres Département des Sciences historiques Domaine d'études Histoire contemporaine
4. [studyplans] Bachelor_120_a399012ec06bf6ae1bd1c180c7960ffa37e92666.txt p.1 - Previous context: Université de Fribourg (Suisse) Faculté des Lettres Département des Sciences historiques Domaine d'études Histoire contemporaine Section: Histoire contemporaine Domaine secondaire du niveau Bachelor (30
5. [studyplans] Bachelor_120_6617b1f0e39aa98eb5b79f905f622cf647bde94d.txt p.1 - Previous context: renden ermöglichen, aufgrund historischer Methoden schriftliche und mündliche Quellen kritisch zu beurteilen und interpretieren. Ein Akzent liegt auch auf Section: Präambel - 1 - Section: Article 1 : St
6. [studyplans] Bachelor_120_6617b1f0e39aa98eb5b79f905f622cf647bde94d.txt p.1 - Previous context: à l'exception des programmes Histoire, Histoire de la modernité et Histoire contemporaine qui ne peuvent être choisis conjointement au programme secondaire Histoire contemporaine. Section: Article 2 : A
7. [studyplans] Bachelor_120_6617b1f0e39aa98eb5b79f905f622cf647bde94d.txt p.1 - Previous context: für ein Modul notwendigen ECTS-Punkte werden angerechnet, sobald nachgewiesen ist, dass die/der Studierende alle Anforderungen erfüllt hat, die im Studienprogramm vorgesehen sind. Section: Artikel 8: Mi
8. [studyplans] Bachelor_120_6617b1f0e39aa98eb5b79f905f622cf647bde94d.txt p.1 - Previous context: oire contemporaine entraîne l'impossibilité de poursuivre des études dans tous les programmes d'études de Bachelor et de Master des Départements Histoire et Histoire contemporaine. Section: Article 9 : 
9. [studyplans] Bachelor_120_a399012ec06bf6ae1bd1c180c7960ffa37e92666.txt p.1 - Previous context: t-e-s à tirer parti de l'abondance des sources documentaires et audiovisuelles en développant des méthodes spécifiques pour les analyser selon les règles de la critique historique. Section: Article 1 : 
10. [studyplans] Bachelor_120_a399012ec06bf6ae1bd1c180c7960ffa37e92666.txt p.1 - Previous context: à l'exception des programmes Histoire, Histoire de la modernité et Histoire contemporaine qui ne peuvent être choisis conjointement au programme secondaire Histoire contemporaine. Section: Article 2 : P</t>
  </si>
  <si>
    <t>[{"source": "Bachelor_120_6617b1f0e39aa98eb5b79f905f622cf647bde94d.txt", "page": 1, "snippet": "Université de Fribourg (Suisse) Faculté des lettres et des sciences humaines Département d'Histoire contemporaine",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"6617b1f0e39aa98eb5b79f905f622cf647bde94d::semantic_table::chunk::0001", "chunk_type": "semantic", "section": "", "page_start": 1, "page_end": 1, "chunk_pages": [1], "contains_table": false, "block_kinds": ["text"], "prev_chunk_id": null, "next_chunk_id": "6617b1f0e39aa98eb5b79f905f622cf647bde94d::semantic_table::chunk::0002",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"Bachelor_120_6617b1f0e39aa98eb5b79f905f622cf647bde94d.txt", "page": 1, "snippet": "Previous context: Université de Fribourg (Suisse) Faculté des lettres et des sciences humaines Département d'Histoire contemporaine\n\nSection: Histoire contemporaine\n\nDomaine secondaire du niveau Bachelor (60 crédits ECTS)\n\nSection: Histoire contemporaine\n\n13.06.2016\n\nSection: Histoire contemporaine\n\nLe présent plan d'études s'appuie sur\n\nSection: Histoire contemporaine\n\n- 1) Le Règlement du 8 mars 2018 pour l'obtention du bachelor à la Faculté des lettres et des sciences humaines de l'Université",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"6617b1f0e39aa98eb5b79f905f622cf647bde94d::semantic_table::chunk::0002", "chunk_type": "semantic", "section": "Histoire contemporaine", "page_start": 1, "page_end": 1, "chunk_pages": [1], "contains_table": false, "block_kinds": ["list", "text"], "prev_chunk_id": "6617b1f0e39aa98eb5b79f905f622cf647bde94d::semantic_table::chunk::0001", "next_chunk_id": "6617b1f0e39aa98eb5b79f905f622cf647bde94d::semantic_table::chunk::0003",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"Bachelor_120_a399012ec06bf6ae1bd1c180c7960ffa37e92666.txt", "page": 1, "snippet": "Université de Fribourg (Suisse) Faculté des Lettres Département des Sciences historiques\n\nDomaine d'études Histoire contemporaine", "metadata": {"parsed_at": "2026-04-10T07:58:37.293Z", "pages": 1, "parser": "docling", "doc_key": "a399012ec06bf6ae1bd1c180c7960ffa37e92666", "degree_level": "Bachelor", "total_ects": 120, "program_name": "Contemporary History", "doc_label": "Bachelor Zeitgeschichte 30 ECTS", "source_url": "https://www.unifr.ch/histcont/de/assets/public/files/etudes/studienplaene2016/Zeitgeschichte_Histoire%20contemporaine_BA_30_201118.pdf", "source_type": "pdf", "curriculum_url": "http://studies.unifr.ch/go/iaDtL", "fetched_at": "2026-04-03T11:31:03.522Z", "source_file": "Bachelor_120_a399012ec06bf6ae1bd1c180c7960ffa37e92666.txt", "index_variant": "table_semantic_v1", "chunk_id": "a399012ec06bf6ae1bd1c180c7960ffa37e92666::semantic_table::chunk::0001", "chunk_type": "semantic", "section": "", "page_start": 1, "page_end": 1, "chunk_pages": [1], "contains_table": false, "block_kinds": ["text"], "prev_chunk_id": null, "next_chunk_id": "a399012ec06bf6ae1bd1c180c7960ffa37e92666::semantic_table::chunk::0002",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"Bachelor_120_a399012ec06bf6ae1bd1c180c7960ffa37e92666.txt", "page": 1, "snippet": "Previous context: Université de Fribourg (Suisse) Faculté des Lettres Département des Sciences historiques\n\nDomaine d'études Histoire contemporaine\n\nSection: Histoire contemporaine\n\nDomaine secondaire du niveau Bachelor (30 crédits ECTS)\n\nSection: Histoire contemporaine\n\n13.06.2016\n\nSection: Histoire contemporaine\n\nLe présent plan d'études s'appuie sur\n\nSection: Histoire contemporaine\n\n- 1) Le Règlement du 23 juin 2005 pour l'obtention du diplôme universitaire (niveau bachelor européen) à la Fac", "metadata": {"parsed_at": "2026-04-10T07:58:37.293Z", "pages": 1, "parser": "docling", "doc_key": "a399012ec06bf6ae1bd1c180c7960ffa37e92666", "degree_level": "Bachelor", "total_ects": 120, "program_name": "Contemporary History", "doc_label": "Bachelor Zeitgeschichte 30 ECTS", "source_url": "https://www.unifr.ch/histcont/de/assets/public/files/etudes/studienplaene2016/Zeitgeschichte_Histoire%20contemporaine_BA_30_201118.pdf", "source_type": "pdf", "curriculum_url": "http://studies.unifr.ch/go/iaDtL", "fetched_at": "2026-04-03T11:31:03.522Z", "source_file": "Bachelor_120_a399012ec06bf6ae1bd1c180c7960ffa37e92666.txt", "index_variant": "table_semantic_v1", "chunk_id": "a399012ec06bf6ae1bd1c180c7960ffa37e92666::semantic_table::chunk::0002", "chunk_type": "semantic", "section": "Histoire contemporaine", "page_start": 1, "page_end": 1, "chunk_pages": [1], "contains_table": false, "block_kinds": ["list", "text"], "prev_chunk_id": "a399012ec06bf6ae1bd1c180c7960ffa37e92666::semantic_table::chunk::0001", "next_chunk_id": "a399012ec06bf6ae1bd1c180c7960ffa37e92666::semantic_table::chunk::0003",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"Bachelor_120_6617b1f0e39aa98eb5b79f905f622cf647bde94d.txt", "page": 1, "snippet": "Previous context: renden ermöglichen, aufgrund historischer Methoden schriftliche und mündliche Quellen kritisch zu beurteilen und interpretieren. Ein Akzent liegt auch auf\n\nSection: Präambel\n\n- 1 -\n\nSection: Article 1 : Structure des études de bachelor dans le Département d'Histoire contemporaine\n\n- 1) Les études dans la voie Bachelor of Arts sont organisées selon un cycle de trois ans permettant l'acquisition de 120 crédits ECTS en domaine principal et 60 ou 30 crédits ECTS en domaine secondai",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"6617b1f0e39aa98eb5b79f905f622cf647bde94d::semantic_table::chunk::0006", "chunk_type": "semantic", "section": "Article 1 : Structure des études de bachelor dans le Département d'Histoire contemporaine", "page_start": 1, "page_end": 1, "chunk_pages": [1], "contains_table": false, "block_kinds": ["list"], "prev_chunk_id": "6617b1f0e39aa98eb5b79f905f622cf647bde94d::semantic_table::chunk::0005", "next_chunk_id": "6617b1f0e39aa98eb5b79f905f622cf647bde94d::semantic_table::chunk::0007",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"Bachelor_120_6617b1f0e39aa98eb5b79f905f622cf647bde94d.txt", "page": 1, "snippet": "Previous context: à l'exception des programmes Histoire, Histoire de la modernité et Histoire contemporaine qui ne peuvent être choisis conjointement au programme secondaire Histoire contemporaine.\n\nSection: Article 2 : Accès au Master et au DEEM\n\n- 1) Le titre de Bachelor of Arts Histoire contemporaine en domaine secondaire donne accès sans condition au Master of Arts en Histoire contemporaine.\n- 2) Moyennant un programme complémentaire de niveau Bachelor de 30 crédits, il donne accès au Master",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"6617b1f0e39aa98eb5b79f905f622cf647bde94d::semantic_table::chunk::0007", "chunk_type": "semantic", "section": "Article 2 : Accès au Master et au DEEM", "page_start": 1, "page_end": 1, "chunk_pages": [1], "contains_table": false, "block_kinds": ["list", "text"], "prev_chunk_id": "6617b1f0e39aa98eb5b79f905f622cf647bde94d::semantic_table::chunk::0006", "next_chunk_id": "6617b1f0e39aa98eb5b79f905f622cf647bde94d::semantic_table::chunk::0008",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"Bachelor_120_6617b1f0e39aa98eb5b79f905f622cf647bde94d.txt", "page": 1, "snippet": "Previous context: für ein Modul notwendigen ECTS-Punkte werden angerechnet, sobald nachgewiesen ist, dass die/der Studierende alle Anforderungen erfüllt hat, die im Studienprogramm vorgesehen sind.\n\nSection: Artikel 8: Misserfolg und endgültiger Misserfolg\n\n- 1) Im Fall eines ungenügenden Resultats kann eine Evaluierung einmal wiederholt werden.\n- 2) Im Fall einer ungenügenden schriftlichen Proseminar-, Seminar- oder Bachelor-Arbeit muss diese Arbeit im Rahmen derselben Lehrveranstaltung einmal ",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"6617b1f0e39aa98eb5b79f905f622cf647bde94d::semantic_table::chunk::0025", "chunk_type": "semantic", "section": "Artikel 8: Misserfolg und endgültiger Misserfolg", "page_start": 1, "page_end": 1, "chunk_pages": [1], "contains_table": false, "block_kinds": ["list", "text"], "prev_chunk_id": "6617b1f0e39aa98eb5b79f905f622cf647bde94d::semantic_table::chunk::0024", "next_chunk_id": "6617b1f0e39aa98eb5b79f905f622cf647bde94d::semantic_table::chunk::0026",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"Bachelor_120_6617b1f0e39aa98eb5b79f905f622cf647bde94d.txt", "page": 1, "snippet": "Previous context: oire contemporaine entraîne l'impossibilité de poursuivre des études dans tous les programmes d'études de Bachelor et de Master des Départements Histoire et Histoire contemporaine.\n\nSection: Article 9 : Note des modules et note finale\n\n- 1) La note du module d'introduction, du module de base et du module d'approfondissement en Histoire contemporaine est composée pour moitié de la moyenne des notes des cours et pour l'autre moitié de la note du proséminaire.\n- 2) La note finale ", "metadata": {"parsed_at": "2026-04-10T07:59:50.357Z", "pages": 1, "parser": "docling", "doc_key": "6617b1f0e39aa98eb5b79f905f622cf647bde94d", "degree_level": "Bachelor", "total_ects": 120, "program_name": "Contemporary History", "doc_label": "Bachelor Zeitgeschichte 60 ECTS", "source_url": "https://www.unifr.ch/histcont/de/assets/public/files/etudes/studienplaene2016/HC_ZG_BA_60_13062016_Modif01022022.pdf", "source_type": "pdf", "curriculum_url": "http://studies.unifr.ch/go/iaDtL", "fetched_at": "2026-04-03T11:31:03.666Z", "source_file": "Bachelor_120_6617b1f0e39aa98eb5b79f905f622cf647bde94d.txt", "index_variant": "table_semantic_v1", "chunk_id": "6617b1f0e39aa98eb5b79f905f622cf647bde94d::semantic_table::chunk::0026", "chunk_type": "semantic", "section": "Article 9 : Note des modules et note finale", "page_start": 1, "page_end": 1, "chunk_pages": [1], "contains_table": false, "block_kinds": ["list"], "prev_chunk_id": "6617b1f0e39aa98eb5b79f905f622cf647bde94d::semantic_table::chunk::0025", "next_chunk_id": "6617b1f0e39aa98eb5b79f905f622cf647bde94d::semantic_table::chunk::0027",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"Bachelor_120_a399012ec06bf6ae1bd1c180c7960ffa37e92666.txt", "page": 1, "snippet": "Previous context: t-e-s à tirer parti de l'abondance des sources documentaires et audiovisuelles en développant des méthodes spécifiques pour les analyser selon les règles de la critique historique.\n\nSection: Article 1 : Structure des études de Bachelor dans le domaine d'études Histoire contemporaine\n\n- 1) Les études dans la voie Bachelor of Arts sont organisées selon un cycle de trois ans permettant l'acquisition de 120 crédits ECTS en domaine principal et 60 ou 30 crédits ECTS en domaine secon", "metadata": {"parsed_at": "2026-04-10T07:58:37.293Z", "pages": 1, "parser": "docling", "doc_key": "a399012ec06bf6ae1bd1c180c7960ffa37e92666", "degree_level": "Bachelor", "total_ects": 120, "program_name": "Contemporary History", "doc_label": "Bachelor Zeitgeschichte 30 ECTS", "source_url": "https://www.unifr.ch/histcont/de/assets/public/files/etudes/studienplaene2016/Zeitgeschichte_Histoire%20contemporaine_BA_30_201118.pdf", "source_type": "pdf", "curriculum_url": "http://studies.unifr.ch/go/iaDtL", "fetched_at": "2026-04-03T11:31:03.522Z", "source_file": "Bachelor_120_a399012ec06bf6ae1bd1c180c7960ffa37e92666.txt", "index_variant": "table_semantic_v1", "chunk_id": "a399012ec06bf6ae1bd1c180c7960ffa37e92666::semantic_table::chunk::0006", "chunk_type": "semantic", "section": "Article 1 : Structure des études de Bachelor dans le domaine d'études Histoire contemporaine", "page_start": 1, "page_end": 1, "chunk_pages": [1], "contains_table": false, "block_kinds": ["list"], "prev_chunk_id": "a399012ec06bf6ae1bd1c180c7960ffa37e92666::semantic_table::chunk::0005", "next_chunk_id": "a399012ec06bf6ae1bd1c180c7960ffa37e92666::semantic_table::chunk::0007",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 {"source": "Bachelor_120_a399012ec06bf6ae1bd1c180c7960ffa37e92666.txt", "page": 1, "snippet": "Previous context: à l'exception des programmes Histoire, Histoire de la modernité et Histoire contemporaine qui ne peuvent être choisis conjointement au programme secondaire Histoire contemporaine.\n\nSection: Article 2 : Programme de mobilité\n\nLe domaine d'études Histoire contemporaine soutient le programme d'échange avec d'autres Universités et encourage les étudiant-e-s à y participer. Les étudiant-e-s qui prennent part à un programme de mobilité suivent le protocole du Service des relations in", "metadata": {"parsed_at": "2026-04-10T07:58:37.293Z", "pages": 1, "parser": "docling", "doc_key": "a399012ec06bf6ae1bd1c180c7960ffa37e92666", "degree_level": "Bachelor", "total_ects": 120, "program_name": "Contemporary History", "doc_label": "Bachelor Zeitgeschichte 30 ECTS", "source_url": "https://www.unifr.ch/histcont/de/assets/public/files/etudes/studienplaene2016/Zeitgeschichte_Histoire%20contemporaine_BA_30_201118.pdf", "source_type": "pdf", "curriculum_url": "http://studies.unifr.ch/go/iaDtL", "fetched_at": "2026-04-03T11:31:03.522Z", "source_file": "Bachelor_120_a399012ec06bf6ae1bd1c180c7960ffa37e92666.txt", "index_variant": "table_semantic_v1", "chunk_id": "a399012ec06bf6ae1bd1c180c7960ffa37e92666::semantic_table::chunk::0007", "chunk_type": "semantic", "section": "Article 2 : Programme de mobilité", "page_start": 1, "page_end": 1, "chunk_pages": [1], "contains_table": false, "block_kinds": ["list", "text"], "prev_chunk_id": "a399012ec06bf6ae1bd1c180c7960ffa37e92666::semantic_table::chunk::0006", "next_chunk_id": "a399012ec06bf6ae1bd1c180c7960ffa37e92666::semantic_table::chunk::0008", "rag_source": "studyplans", "category": "studyplans", "retrieval_debug":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"retrieval_debug": {"retrieval_mode": "metadata_and_language_aware", "requested_language": "fr", "runs": [{"detected_program_name": "Contemporary History", "detected_program_key": null, "detected_degree": "Bachelor", "detected_ects": null, "detected_year": null, "retrieval_mode": "metadata_first", "candidate_count_after_program_degree_ects": 68, "source_intent": "base_data", "returned_count": 10, "returned_programs": ["Contemporary History"], "query": "Quels programmes de bachelor puis-je étudier à l'Université de Fribourg ?", "query_language": "fr"}], "returned_count": 10}}]</t>
  </si>
  <si>
    <t>Bachelor_120_6617b1f0e39aa98eb5b79f905f622cf647bde94d.txt</t>
  </si>
  <si>
    <t>Université de Fribourg (Suisse) Faculté des lettres et des sciences humaines Département d'Histoire contemporaine</t>
  </si>
  <si>
    <t>same answer as with other language, info not directly in the snippets, loads would have to be combind</t>
  </si>
  <si>
    <t>Combien de crédits ECTS vaut UE-DDR.00451?</t>
  </si>
  <si>
    <t>Master_90_8da89ea9ad74f532a309ad834d0cc723f8ab9d90.txt; Bachelor_180_5e9d1f5b2070cadc853b7d891d01f79f908e1a5c.txt; Bachelor_60_f08a26353255599a11ed920b3f9f51c66bb9665e.txt; Master_90_b797075c582f917b832da60cb2784d7c7df11091.txt; Bachelor_60_4536dbf1b4779db4243f3f899b2a7057cef61a8a.txt; Bachelor_60_f08a26353255599a11ed920b3f9f51c66bb9665e.txt; Bachelor_60_0ae31686848f45463630c593f95511d05e7b6254.txt; Bachelor_180_5e9d1f5b2070cadc853b7d891d01f79f908e1a5c.txt; Bachelor_180_80b173004838b5856a2ed1a73ccc60de140ce7f4.txt; Master_90_b797075c582f917b832da60cb2784d7c7df11091.txt</t>
  </si>
  <si>
    <t>1. [studyplans] Master_90_8da89ea9ad74f532a309ad834d0cc723f8ab9d90.txt p.1 - Fortlaufende Evaluation | 0 | | EGE.00451 | Colloquium Research Methodology and Data Analysis: Data Analysis Part | Bambauer-Sachse, Schorro | FS-2026 | MA | en | Fortlaufende Evaluation | 0 |
2. [studyplans] Bachelor_180_5e9d1f5b2070cadc853b7d891d01f79f908e1a5c.txt p.1 - 026 | BA | fr | Schriftliche Prüfung | 4.5 | | EGE.00485 | MAN08E: Strategic Management | Mena | FS-2026 | BA | en | Schriftliche Prüfung | 4.5 | | EGE.00285 | MAN09F: Comptabilité de gestion | Oyon | FS-2026 | BA | fr |
3. [studyplans] Bachelor_60_f08a26353255599a11ed920b3f9f51c66bb9665e.txt p.1 - | BA | de | Schriftliche Prüfung | 3 | | EKM.00715 | Lecture Business Communication and Strategic Communication Management | Chariatte | FS-2026 | MA | en | Fortlaufende Evaluation | 3 |
4. [studyplans] Master_90_b797075c582f917b832da60cb2784d7c7df11091.txt p.1 - de | Mündliche Prüfung | 3 | | EKM.01250 | Comparing Media Structures | Puppis | FS-2026 | MA | en | Fortlaufende Evaluation | 3 | | EKM.01306 | Nouveaux médias, médias et usagers | von Pape | FS-2026 | MA | fr | Fortlau
5. [studyplans] Bachelor_60_4536dbf1b4779db4243f3f899b2a7057cef61a8a.txt p.1 - Prüfung | 6 | | EGE.00138 | Unternehmensrechnung | Burkert | HS-2025 | BA | de | Schriftliche Prüfung | 6 | | ESE.00040 | Microéconomie I | Gugler | HS-2025 | BA | fr | Schriftliche Prüfung | 6 | | ESE.00041 | Mikroökono
6. [studyplans] Bachelor_60_f08a26353255599a11ed920b3f9f51c66bb9665e.txt p.1 - - Code: ESE.00051; Lehreinheit: Mathématiques II; Semester: FS-2026; Niveau: BA; Sprache: fr; Bewertung: Schriftliche Prüfung; ECTS: 4.5 - Code: EGE.00283; Lehreinheit: MAN08F: Management stratégique; Lehrer(innen): Mena
7. [studyplans] Bachelor_60_0ae31686848f45463630c593f95511d05e7b6254.txt p.1 - - 28.5 ECTS | | EGE.00136 | Einführung in die Betriebswirtschaftslehre | Barmettler, Milosavljevic | HS-2025 | BA | de | Schriftliche Prüfung | 6 | | EGE.00135 | Introduction à la gestion d'entreprise | Davoine | HS-2025
8. [studyplans] Bachelor_180_5e9d1f5b2070cadc853b7d891d01f79f908e1a5c.txt p.1 - iftliche Prüfung | 4.5 | | EEP.00339 | ECO03D: Internationaler Handel | Grossmann | FS-2026 | BA | de | Schriftliche Prüfung | 4.5 | | EEP.00340 | ECO05F: Économie publique - Approfondissements | Schelker | HS-2025 | BA 
9. [studyplans] Bachelor_180_80b173004838b5856a2ed1a73ccc60de140ce7f4.txt p.1 - 0958 | Informationskompetenz in den Wirtschaftswissenschaften 1 - Gruppe A | Lüscher | HS-2025 | BA | de | Fortlaufende Evaluation | 0 | | EDK.00962 | Compétences documentaires en informatique de Gestion 2 - Groupe C | B
10. [studyplans] Master_90_b797075c582f917b832da60cb2784d7c7df11091.txt p.1 - rtrag, Mündliche Prüfung | 4.5 | | EEP.00154 | Politiques publiques suisses | Schelker | HS-2025 | MA | fr | Schriftliche Arbeit | 4.5 |</t>
  </si>
  <si>
    <t>[{"source": "Master_90_8da89ea9ad74f532a309ad834d0cc723f8ab9d90.txt", "page": 1, "snippet": "Fortlaufende Evaluation | 0 |\n| EGE.00451 | Colloquium Research Methodology and Data Analysis: Data Analysis Part | Bambauer-Sachse, Schorro | FS-2026 | MA | en | Fortlaufende Evaluation | 0 |", "metadata": {"parsed_at": "2026-04-10T16:45:51.766Z", "pages": 1, "parser": "docling", "doc_key": "8da89ea9ad74f532a309ad834d0cc723f8ab9d90", "degree_level": "Master", "total_ects": 90, "program_name": "Management", "doc_label": "Studienplan", "source_url": "https://www.calameo.com/read/003659115ecd4c90db875", "source_type": "calameo", "curriculum_url": "http://studies.unifr.ch/go/a-W2b", "fetched_at": "2026-04-03T11:31:46.560Z", "source_file": "Master_90_8da89ea9ad74f532a309ad834d0cc723f8ab9d90.txt", "index_variant": "table_semantic_v1", "chunk_id": "8da89ea9ad74f532a309ad834d0cc723f8ab9d90::semantic_table::chunk::0067", "chunk_type": "table", "section": "Research methodology (nur für die Vorbereitung einer Masterarbeit im Bereich Marketing)", "page_start": 1, "page_end": 1, "chunk_pages": [1], "contains_table": true, "block_kinds": ["table"], "prev_chunk_id": "8da89ea9ad74f532a309ad834d0cc723f8ab9d90::semantic_table::chunk::0066", "next_chunk_id": "8da89ea9ad74f532a309ad834d0cc723f8ab9d90::semantic_table::chunk::0068",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"Bachelor_180_5e9d1f5b2070cadc853b7d891d01f79f908e1a5c.txt", "page": 1, "snippet": "026 | BA | fr | Schriftliche Prüfung | 4.5 |\n| EGE.00485 | MAN08E: Strategic Management | Mena | FS-2026 | BA | en | Schriftliche Prüfung | 4.5 |\n| EGE.00285 | MAN09F: Comptabilité de gestion | Oyon | FS-2026 | BA | fr | Schriftliche Prüfung | 4.5 |", "metadata": {"parsed_at": "2026-04-10T16:51:28.638Z", "pages": 1, "parser": "docling", "doc_key": "5e9d1f5b2070cadc853b7d891d01f79f908e1a5c", "degree_level": "Bachelor", "total_ects": 180, "program_name": "Management", "doc_label": "Studienplan", "source_url": "https://www.calameo.com/read/003659115e372c7c37cbb", "source_type": "calameo", "curriculum_url": "http://studies.unifr.ch/go/z5BUJ", "fetched_at": "2026-04-03T11:31:49.590Z", "source_file": "Bachelor_180_5e9d1f5b2070cadc853b7d891d01f79f908e1a5c.txt", "index_variant": "table_semantic_v1", "chunk_id": "5e9d1f5b2070cadc853b7d891d01f79f908e1a5c::semantic_table::chunk::0035", "chunk_type": "table", "section": "Pflichtkurse 27 ECTS", "page_start": 1, "page_end": 1, "chunk_pages": [1], "contains_table": true, "block_kinds": ["table"], "prev_chunk_id": "5e9d1f5b2070cadc853b7d891d01f79f908e1a5c::semantic_table::chunk::0034", "next_chunk_id": "5e9d1f5b2070cadc853b7d891d01f79f908e1a5c::semantic_table::chunk::0036",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"Bachelor_60_f08a26353255599a11ed920b3f9f51c66bb9665e.txt", "page": 1, "snippet": "| BA | de | Schriftliche Prüfung | 3 |\n| EKM.00715 | Lecture Business Communication and Strategic Communication Management | Chariatte | FS-2026 | MA | en | Fortlaufende Evaluation | 3 |", "metadata": {"parsed_at": "2026-04-10T15:02:24.772Z", "pages": 1, "parser": "docling", "doc_key": "f08a26353255599a11ed920b3f9f51c66bb9665e", "degree_level": "Bachelor", "total_ects": 60, "program_name": "Business Communication", "doc_label": "Studienplan Business Communication - Volkswirtschaftslehre", "source_url": "https://www.calameo.com/read/0036591159960abdcf283", "source_type": "calameo", "curriculum_url": "https://studies.unifr.ch/go/11", "fetched_at": "2026-04-03T11:31:35.191Z", "source_file": "Bachelor_60_f08a26353255599a11ed920b3f9f51c66bb9665e.txt", "index_variant": "table_semantic_v1", "chunk_id": "f08a26353255599a11ed920b3f9f51c66bb9665e::semantic_table::chunk::0036", "chunk_type": "table", "section": "Wahlkurse - 9 ECTS", "page_start": 1, "page_end": 1, "chunk_pages": [1], "contains_table": true, "block_kinds": ["table"], "prev_chunk_id": "f08a26353255599a11ed920b3f9f51c66bb9665e::semantic_table::chunk::0035", "next_chunk_id": "f08a26353255599a11ed920b3f9f51c66bb9665e::semantic_table::chunk::0037",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"Master_90_b797075c582f917b832da60cb2784d7c7df11091.txt", "page": 1, "snippet": "de | Mündliche Prüfung | 3 |\n| EKM.01250 | Comparing Media Structures | Puppis | FS-2026 | MA | en | Fortlaufende Evaluation | 3 |\n| EKM.01306 | Nouveaux médias, médias et usagers | von Pape | FS-2026 | MA | fr | Fortlaufende Evaluation und | 3 |", "metadata": {"parsed_at": "2026-04-10T16:33:40.278Z", "pages": 1, "parser": "docling", "doc_key": "b797075c582f917b832da60cb2784d7c7df11091", "degree_level": "Master", "total_ects": 90, "program_name": "Economics", "doc_label": "Studienplan", "source_url": "https://www.calameo.com/read/003659115e325e7f39284", "source_type": "calameo", "curriculum_url": "http://studies.unifr.ch/go/8Snjt", "fetched_at": "2026-04-03T11:31:44.259Z", "source_file": "Master_90_b797075c582f917b832da60cb2784d7c7df11091.txt", "index_variant": "table_semantic_v1", "chunk_id": "b797075c582f917b832da60cb2784d7c7df11091::semantic_table::chunk::0052", "chunk_type": "table", "section": "WISO-Wahlfach im Masterstudiengang Kommunikations- und Medienwissenschaften", "page_start": 1, "page_end": 1, "chunk_pages": [1], "contains_table": true, "block_kinds": ["table"], "prev_chunk_id": "b797075c582f917b832da60cb2784d7c7df11091::semantic_table::chunk::0051", "next_chunk_id": "b797075c582f917b832da60cb2784d7c7df11091::semantic_table::chunk::0053",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"Bachelor_60_4536dbf1b4779db4243f3f899b2a7057cef61a8a.txt", "page": 1, "snippet": "Prüfung | 6 |\n| EGE.00138 | Unternehmensrechnung | Burkert | HS-2025 | BA | de | Schriftliche Prüfung | 6 |\n| ESE.00040 | Microéconomie I | Gugler | HS-2025 | BA | fr | Schriftliche Prüfung | 6 |\n| ESE.00041 | Mikroökonomie I | Büchel | HS-2025 | BA | de | Schriftliche Prüfung | 6 |", "metadata": {"parsed_at": "2026-04-10T15:05:45.843Z", "pages": 1, "parser": "docling", "doc_key": "4536dbf1b4779db4243f3f899b2a7057cef61a8a", "degree_level": "Bachelor", "total_ects": 60, "program_name": "Business Communication", "doc_label": "Studienplan Business Communication - Betriebswirtschaftslehre", "source_url": "https://www.calameo.com/read/0036591153be5e66a6b30", "source_type": "calameo", "curriculum_url": "https://studies.unifr.ch/go/11", "fetched_at": "2026-04-03T11:31:35.246Z", "source_file": "Bachelor_60_4536dbf1b4779db4243f3f899b2a7057cef61a8a.txt", "index_variant": "table_semantic_v1", "chunk_id": "4536dbf1b4779db4243f3f899b2a7057cef61a8a::semantic_table::chunk::0038", "chunk_type": "table", "section": "Pflichtkurse - 18 ECTS", "page_start": 1, "page_end": 1, "chunk_pages": [1], "contains_table": true, "block_kinds": ["table"], "prev_chunk_id": "4536dbf1b4779db4243f3f899b2a7057cef61a8a::semantic_table::chunk::0037", "next_chunk_id": "4536dbf1b4779db4243f3f899b2a7057cef61a8a::semantic_table::chunk::0039",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"Bachelor_60_f08a26353255599a11ed920b3f9f51c66bb9665e.txt", "page": 1, "snippet": "- Code: ESE.00051; Lehreinheit: Mathématiques II; Semester: FS-2026; Niveau: BA; Sprache: fr; Bewertung: Schriftliche Prüfung; ECTS: 4.5\n- Code: EGE.00283; Lehreinheit: MAN08F: Management stratégique; Lehrer(innen): Mena; Semester: FS-2026; Niveau: BA; Sprache: fr; Bewertung: Schriftliche Prüfung; ECTS: 4.5\n- Code: EGE.00286; Lehreinheit: MAN09D: Controlling (d); Lehrer(innen): Burkert; Semester: FS-2026; Niveau: BA; Sprache: de; Bewertung: Schriftliche Prüfung; ECTS: 4.5\n- Code: EGE.00285; Lehr", "metadata": {"parsed_at": "2026-04-10T15:02:24.772Z", "pages": 1, "parser": "docling", "doc_key": "f08a26353255599a11ed920b3f9f51c66bb9665e", "degree_level": "Bachelor", "total_ects": 60, "program_name": "Business Communication", "doc_label": "Studienplan Business Communication - Volkswirtschaftslehre", "source_url": "https://www.calameo.com/read/0036591159960abdcf283", "source_type": "calameo", "curriculum_url": "https://studies.unifr.ch/go/11", "fetched_at": "2026-04-03T11:31:35.191Z", "source_file": "Bachelor_60_f08a26353255599a11ed920b3f9f51c66bb9665e.txt", "index_variant": "table_semantic_v1", "chunk_id": "f08a26353255599a11ed920b3f9f51c66bb9665e::semantic_table::chunk::0048", "chunk_type": "table", "section": "Wahlkurse auf Bachelor-Niveau - 6 ECTS", "page_start": 1, "page_end": 1, "chunk_pages": [1], "contains_table": true, "block_kinds": ["table"], "prev_chunk_id": "f08a26353255599a11ed920b3f9f51c66bb9665e::semantic_table::chunk::0047", "next_chunk_id": "f08a26353255599a11ed920b3f9f51c66bb9665e::semantic_table::chunk::0049",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"Bachelor_60_0ae31686848f45463630c593f95511d05e7b6254.txt", "page": 1, "snippet": "- 28.5 ECTS |\n| EGE.00136 | Einführung in die Betriebswirtschaftslehre | Barmettler, Milosavljevic | HS-2025 | BA | de | Schriftliche Prüfung | 6 |\n| EGE.00135 | Introduction à la gestion d'entreprise | Davoine | HS-2025 | BA | fr | Schriftliche Prüfung | 6 |\n| EGE.00137 | Introduction à la comptabilité | Missonier-Piera | HS-2025 | BA | fr | Schriftliche Prüfung | 6 |", "metadata": {"parsed_at": "2026-04-10T16:47:44.008Z", "pages": 1, "parser": "docling", "doc_key": "0ae31686848f45463630c593f95511d05e7b6254", "degree_level": "Bachelor", "total_ects": 60, "program_name": "Management", "doc_label": "Studienplan Betriebswirtschaftslehre", "source_url": "https://www.calameo.com/read/003659115ca7470534982", "source_type": "calameo", "curriculum_url": "http://studies.unifr.ch/go/z5BUJ", "fetched_at": "2026-04-03T11:31:47.276Z", "source_file": "Bachelor_60_0ae31686848f45463630c593f95511d05e7b6254.txt", "index_variant": "table_semantic_v1", "chunk_id": "0ae31686848f45463630c593f95511d05e7b6254::semantic_table::chunk::0008", "chunk_type": "table", "section": "Stand des Kursangebots", "page_start": 1, "page_end": 1, "chunk_pages": [1], "contains_table": true, "block_kinds": ["table"], "prev_chunk_id": "0ae31686848f45463630c593f95511d05e7b6254::semantic_table::chunk::0007", "next_chunk_id": "0ae31686848f45463630c593f95511d05e7b6254::semantic_table::chunk::0009",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"Bachelor_180_5e9d1f5b2070cadc853b7d891d01f79f908e1a5c.txt", "page": 1, "snippet": "iftliche Prüfung | 4.5 |\n| EEP.00339 | ECO03D: Internationaler Handel | Grossmann | FS-2026 | BA | de | Schriftliche Prüfung | 4.5 |\n| EEP.00340 | ECO05F: Économie publique - Approfondissements | Schelker | HS-2025 | BA | fr | Schriftliche Prüfung | 4.5 |\n| EEP.00341 | ECO06D: Wirtschaftspolitik: Schwerpunktthemen | Eichenberger | HS-2025 | BA | de | Fortlaufende Evaluation | 4.5 |\n| EEP.00357 | ECO07F: Économie du développement | Dumas | FS-2026 | BA | fr | Schriftliche Prüfung | 4.5 |\n| EEP.00", "metadata": {"parsed_at": "2026-04-10T16:51:28.638Z", "pages": 1, "parser": "docling", "doc_key": "5e9d1f5b2070cadc853b7d891d01f79f908e1a5c", "degree_level": "Bachelor", "total_ects": 180, "program_name": "Management", "doc_label": "Studienplan", "source_url": "https://www.calameo.com/read/003659115e372c7c37cbb", "source_type": "calameo", "curriculum_url": "http://studies.unifr.ch/go/z5BUJ", "fetched_at": "2026-04-03T11:31:49.590Z", "source_file": "Bachelor_180_5e9d1f5b2070cadc853b7d891d01f79f908e1a5c.txt", "index_variant": "table_semantic_v1", "chunk_id": "5e9d1f5b2070cadc853b7d891d01f79f908e1a5c::semantic_table::chunk::0024", "chunk_type": "table", "section": "Wahlkurse in Volkswirtschaftslehre für Betriebswirtschaftslehre 180 ECTS - HS 2018 - 2. Jahr", "page_start": 1, "page_end": 1, "chunk_pages": [1], "contains_table": true, "block_kinds": ["table"], "prev_chunk_id": "5e9d1f5b2070cadc853b7d891d01f79f908e1a5c::semantic_table::chunk::0023", "next_chunk_id": "5e9d1f5b2070cadc853b7d891d01f79f908e1a5c::semantic_table::chunk::0025",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"Bachelor_180_80b173004838b5856a2ed1a73ccc60de140ce7f4.txt", "page": 1, "snippet": "0958 | Informationskompetenz in den Wirtschaftswissenschaften 1 - Gruppe A | Lüscher | HS-2025 | BA | de | Fortlaufende Evaluation | 0 |\n| EDK.00962 | Compétences documentaires en informatique de Gestion 2 - Groupe C | Brodard, Lüscher | HS-2025 | BA | fr | Fortlaufende Evaluation | 0 |\n| EDK.00965 | Compétences documentaires en informatique de Gestion 2 - Groupe G | Brodard, Lüscher | FS-2026 | BA | fr | Fortlaufende Evaluation | 0 |\n| EDK.00967 | Informationskompetenz in der Wirtschaftsinforma",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"80b173004838b5856a2ed1a73ccc60de140ce7f4::semantic_table::chunk::0022", "chunk_type": "table", "section": "Informationskompetenz in den Wirtschaftswissenschaften", "page_start": 1, "page_end": 1, "chunk_pages": [1], "contains_table": true, "block_kinds": ["table"], "prev_chunk_id": "80b173004838b5856a2ed1a73ccc60de140ce7f4::semantic_table::chunk::0021", "next_chunk_id": "80b173004838b5856a2ed1a73ccc60de140ce7f4::semantic_table::chunk::0023",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 {"source": "Master_90_b797075c582f917b832da60cb2784d7c7df11091.txt", "page": 1, "snippet": "rtrag, Mündliche Prüfung | 4.5 |\n| EEP.00154 | Politiques publiques suisses | Schelker | HS-2025 | MA | fr | Schriftliche Arbeit | 4.5 |", "metadata": {"parsed_at": "2026-04-10T16:33:40.278Z", "pages": 1, "parser": "docling", "doc_key": "b797075c582f917b832da60cb2784d7c7df11091", "degree_level": "Master", "total_ects": 90, "program_name": "Economics", "doc_label": "Studienplan", "source_url": "https://www.calameo.com/read/003659115e325e7f39284", "source_type": "calameo", "curriculum_url": "http://studies.unifr.ch/go/8Snjt", "fetched_at": "2026-04-03T11:31:44.259Z", "source_file": "Master_90_b797075c582f917b832da60cb2784d7c7df11091.txt", "index_variant": "table_semantic_v1", "chunk_id": "b797075c582f917b832da60cb2784d7c7df11091::semantic_table::chunk::0074", "chunk_type": "table", "section": "Wahlkurse der SES-Fakultät - max. 15 ECTS Wahlkurse WISO auf Master-Niveau in Volkswirtschaftslehre", "page_start": 1, "page_end": 1, "chunk_pages": [1], "contains_table": true, "block_kinds": ["table"], "prev_chunk_id": "b797075c582f917b832da60cb2784d7c7df11091::semantic_table::chunk::0073", "next_chunk_id": "b797075c582f917b832da60cb2784d7c7df11091::semantic_table::chunk::0075", "rag_source": "studyplans", "category": "studyplans", "retrieval_debug":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"retrieval_debug": {"retrieval_mode": "metadata_and_language_aware", "requested_language": "fr", "runs": [{"detected_program_name": null, "detected_program_key": null, "detected_degree": null, "detected_ects": null, "detected_year": null, "retrieval_mode": "metadata_first", "candidate_count_after_program_degree_ects": 29573, "candidate_count_global_fallback": 80, "source_intent": "base_data", "returned_count": 10, "returned_programs": ["Business Communication", "Business Informatics", "Economics", "Management"], "query": "Combien de crédits ECTS vaut UE-DDR.00451?", "query_language": "fr"}], "returned_count": 10}}]</t>
  </si>
  <si>
    <t>Master_90_8da89ea9ad74f532a309ad834d0cc723f8ab9d90.txt</t>
  </si>
  <si>
    <t>Fortlaufende Evaluation | 0 | | EGE.00451 | Colloquium Research Methodology and Data Analysis: Data Analysis Part | Bambauer-Sachse, Schorro | FS-2026 | MA | en | Fortlaufende Evaluation | 0 |</t>
  </si>
  <si>
    <t>correct snippet not found</t>
  </si>
  <si>
    <t>Metric</t>
  </si>
  <si>
    <t>Formula / Meaning</t>
  </si>
  <si>
    <t>Value</t>
  </si>
  <si>
    <t>Questions evaluated</t>
  </si>
  <si>
    <t>Number of rows in retrieval sheet</t>
  </si>
  <si>
    <t>Success rate</t>
  </si>
  <si>
    <t>Successful debug retrieval requests / all requests</t>
  </si>
  <si>
    <t>Mean retrieval time ms</t>
  </si>
  <si>
    <t>Average /debug/retrieve client time</t>
  </si>
  <si>
    <t>Median retrieval time ms</t>
  </si>
  <si>
    <t>Median /debug/retrieve client time</t>
  </si>
  <si>
    <t>Mean retrieved sources count</t>
  </si>
  <si>
    <t>Average number of retrieved chunks</t>
  </si>
  <si>
    <t>Category Recall@1</t>
  </si>
  <si>
    <t>Expected source category appears at rank 1</t>
  </si>
  <si>
    <t>Category Recall@3</t>
  </si>
  <si>
    <t>Expected source category appears in top 3</t>
  </si>
  <si>
    <t>Category Recall@5</t>
  </si>
  <si>
    <t>Expected source category appears in top 5</t>
  </si>
  <si>
    <t>Category Precision@5</t>
  </si>
  <si>
    <t>Share of top 5 chunks with expected source category</t>
  </si>
  <si>
    <t>Category MRR</t>
  </si>
  <si>
    <t>Reciprocal rank of first expected-category chunk</t>
  </si>
  <si>
    <t>Manual Recall@1</t>
  </si>
  <si>
    <t>Based on manual_relevant_ranks</t>
  </si>
  <si>
    <t>Manual Recall@3</t>
  </si>
  <si>
    <t>Manual Recall@5</t>
  </si>
  <si>
    <t>Manual Precision@5</t>
  </si>
  <si>
    <t>Manual MRR</t>
  </si>
  <si>
    <t>Average qualitative score (1-3)</t>
  </si>
  <si>
    <t>Estimated Recall</t>
  </si>
  <si>
    <t>Estimated Precision</t>
  </si>
  <si>
    <t>Estimated MRR</t>
  </si>
  <si>
    <t>Interpretation</t>
  </si>
  <si>
    <t>Current retrieval performs moderately well for partial semantic retrieval but struggles with aggregation and multi-snippet reasoning.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</si>
</sst>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5"/>
      <color rgb="FFCE9178"/>
      <name val="Consolas"/>
      <family val="3"/>
    </font>
  </fonts>
  <fills count="6">
    <fill>
      <patternFill patternType="none"/>
    </fill>
    <fill>
      <patternFill patternType="gray125"/>
    </fill>
    <fill>
      <patternFill patternType="solid">
        <fgColor rgb="FF1F4E78"/>
      </patternFill>
    </fill>
    <fill>
      <patternFill patternType="solid">
        <fgColor rgb="FFFFC7CE"/>
      </patternFill>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wrapText="1"/>
    </xf>
    <xf numFmtId="0" fontId="2" fillId="0" borderId="0" xfId="0" applyFont="1" applyAlignment="1">
      <alignment vertical="center" wrapText="1"/>
    </xf>
    <xf numFmtId="11" fontId="0" fillId="0" borderId="0" xfId="0" applyNumberFormat="1" applyAlignment="1">
      <alignment wrapText="1"/>
    </xf>
    <xf numFmtId="0" fontId="0" fillId="3" borderId="0" xfId="0" applyFill="1"/>
    <xf numFmtId="0" fontId="0" fillId="4" borderId="0" xfId="0" applyFill="1"/>
    <xf numFmtId="0" fontId="0" fillId="5" borderId="0" xfId="0"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6"/>
  <sheetViews>
    <sheetView tabSelected="1" topLeftCell="AK1" zoomScale="51" workbookViewId="0">
      <pane ySplit="1" topLeftCell="A95" activePane="bottomLeft" state="frozen"/>
      <selection pane="bottomLeft" activeCell="AO1" sqref="AO1"/>
    </sheetView>
  </sheetViews>
  <sheetFormatPr baseColWidth="10" defaultColWidth="9.06640625" defaultRowHeight="14.25" x14ac:dyDescent="0.45"/>
  <cols>
    <col min="1" max="1" width="21" customWidth="1"/>
    <col min="2" max="2" width="12" customWidth="1"/>
    <col min="3" max="3" width="4" customWidth="1"/>
    <col min="4" max="4" width="29" customWidth="1"/>
    <col min="5" max="5" width="12" customWidth="1"/>
    <col min="6" max="6" width="10" customWidth="1"/>
    <col min="7" max="8" width="60" customWidth="1"/>
    <col min="9" max="9" width="17" customWidth="1"/>
    <col min="10" max="10" width="42" customWidth="1"/>
    <col min="11" max="11" width="51" customWidth="1"/>
    <col min="12" max="12" width="41" customWidth="1"/>
    <col min="13" max="13" width="26" customWidth="1"/>
    <col min="14" max="14" width="19" customWidth="1"/>
    <col min="15" max="15" width="9" customWidth="1"/>
    <col min="16" max="16" width="15" customWidth="1"/>
    <col min="17" max="17" width="19" customWidth="1"/>
    <col min="18" max="18" width="15" customWidth="1"/>
    <col min="19" max="21" width="60" customWidth="1"/>
    <col min="22" max="22" width="30" customWidth="1"/>
    <col min="23" max="24" width="60" customWidth="1"/>
    <col min="25" max="25" width="59" customWidth="1"/>
    <col min="26" max="26" width="22" customWidth="1"/>
    <col min="27" max="27" width="18" customWidth="1"/>
    <col min="28" max="28" width="60" customWidth="1"/>
    <col min="29" max="31" width="22" customWidth="1"/>
    <col min="32" max="32" width="25" customWidth="1"/>
    <col min="33" max="33" width="14" customWidth="1"/>
    <col min="34" max="34" width="23" customWidth="1"/>
    <col min="35" max="37" width="20" customWidth="1"/>
    <col min="38" max="38" width="23" customWidth="1"/>
    <col min="39" max="39" width="12" customWidth="1"/>
    <col min="40" max="41" width="60" style="3" customWidth="1"/>
    <col min="42" max="42" width="60" customWidth="1"/>
    <col min="43" max="43" width="29" customWidth="1"/>
    <col min="44" max="44" width="22" customWidth="1"/>
    <col min="45" max="45" width="18" customWidth="1"/>
    <col min="46" max="46" width="21" customWidth="1"/>
    <col min="47" max="47" width="15" customWidth="1"/>
  </cols>
  <sheetData>
    <row r="1" spans="1:47" ht="85.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t="s">
        <v>42</v>
      </c>
      <c r="AR1" t="s">
        <v>43</v>
      </c>
      <c r="AS1" t="s">
        <v>44</v>
      </c>
      <c r="AT1" t="s">
        <v>45</v>
      </c>
      <c r="AU1" t="s">
        <v>46</v>
      </c>
    </row>
    <row r="2" spans="1:47" ht="409.5" customHeight="1" x14ac:dyDescent="0.45">
      <c r="A2" s="2" t="s">
        <v>47</v>
      </c>
      <c r="B2" s="2">
        <v>3</v>
      </c>
      <c r="C2" s="2">
        <v>2</v>
      </c>
      <c r="D2" s="2" t="s">
        <v>48</v>
      </c>
      <c r="E2" s="2" t="s">
        <v>49</v>
      </c>
      <c r="F2" s="2" t="s">
        <v>50</v>
      </c>
      <c r="G2" s="2" t="s">
        <v>51</v>
      </c>
      <c r="H2" s="2" t="s">
        <v>52</v>
      </c>
      <c r="I2" s="2" t="s">
        <v>53</v>
      </c>
      <c r="J2" s="2" t="s">
        <v>54</v>
      </c>
      <c r="K2" s="2" t="s">
        <v>55</v>
      </c>
      <c r="L2" s="2" t="s">
        <v>56</v>
      </c>
      <c r="M2" s="2" t="s">
        <v>57</v>
      </c>
      <c r="N2" s="2">
        <v>200</v>
      </c>
      <c r="O2" s="2">
        <v>1</v>
      </c>
      <c r="P2" s="2">
        <v>21089.41</v>
      </c>
      <c r="Q2" s="2"/>
      <c r="R2" s="2">
        <v>10</v>
      </c>
      <c r="S2" s="2"/>
      <c r="T2" s="2" t="s">
        <v>58</v>
      </c>
      <c r="U2" s="2" t="s">
        <v>59</v>
      </c>
      <c r="V2" s="2" t="s">
        <v>60</v>
      </c>
      <c r="W2" s="2" t="s">
        <v>61</v>
      </c>
      <c r="X2" s="2" t="s">
        <v>62</v>
      </c>
      <c r="Y2" s="2" t="s">
        <v>63</v>
      </c>
      <c r="Z2" s="2" t="s">
        <v>64</v>
      </c>
      <c r="AA2" s="2">
        <v>1</v>
      </c>
      <c r="AB2" s="2" t="s">
        <v>65</v>
      </c>
      <c r="AC2" s="2">
        <v>0</v>
      </c>
      <c r="AD2" s="2">
        <v>0</v>
      </c>
      <c r="AE2" s="2">
        <v>0</v>
      </c>
      <c r="AF2" s="2">
        <v>0</v>
      </c>
      <c r="AG2" s="2">
        <v>0</v>
      </c>
      <c r="AH2" s="2"/>
      <c r="AI2" s="2"/>
      <c r="AJ2" s="2"/>
      <c r="AK2" s="2"/>
      <c r="AL2" s="2"/>
      <c r="AM2" s="2"/>
      <c r="AN2" s="2" t="s">
        <v>66</v>
      </c>
      <c r="AO2" s="3" t="s">
        <v>67</v>
      </c>
      <c r="AQ2" s="6">
        <v>0</v>
      </c>
      <c r="AR2" t="s">
        <v>68</v>
      </c>
      <c r="AS2">
        <v>0</v>
      </c>
      <c r="AT2">
        <v>0</v>
      </c>
      <c r="AU2">
        <v>0</v>
      </c>
    </row>
    <row r="3" spans="1:47" ht="409.5" customHeight="1" x14ac:dyDescent="0.45">
      <c r="A3" s="2" t="s">
        <v>47</v>
      </c>
      <c r="B3" s="2">
        <v>4</v>
      </c>
      <c r="C3" s="2">
        <v>3</v>
      </c>
      <c r="D3" s="2" t="s">
        <v>69</v>
      </c>
      <c r="E3" s="2" t="s">
        <v>70</v>
      </c>
      <c r="F3" s="2" t="s">
        <v>50</v>
      </c>
      <c r="G3" s="2" t="s">
        <v>71</v>
      </c>
      <c r="H3" s="2" t="s">
        <v>72</v>
      </c>
      <c r="I3" s="2" t="s">
        <v>53</v>
      </c>
      <c r="J3" s="2" t="s">
        <v>73</v>
      </c>
      <c r="K3" s="2" t="s">
        <v>74</v>
      </c>
      <c r="L3" s="2" t="s">
        <v>75</v>
      </c>
      <c r="M3" s="2" t="s">
        <v>57</v>
      </c>
      <c r="N3" s="2">
        <v>200</v>
      </c>
      <c r="O3" s="2">
        <v>1</v>
      </c>
      <c r="P3" s="2">
        <v>8755.16</v>
      </c>
      <c r="Q3" s="2"/>
      <c r="R3" s="2">
        <v>10</v>
      </c>
      <c r="S3" s="2"/>
      <c r="T3" s="2" t="s">
        <v>76</v>
      </c>
      <c r="U3" s="2" t="s">
        <v>59</v>
      </c>
      <c r="V3" s="2" t="s">
        <v>60</v>
      </c>
      <c r="W3" s="2" t="s">
        <v>77</v>
      </c>
      <c r="X3" s="2" t="s">
        <v>78</v>
      </c>
      <c r="Y3" s="2" t="s">
        <v>79</v>
      </c>
      <c r="Z3" s="2" t="s">
        <v>64</v>
      </c>
      <c r="AA3" s="2">
        <v>1</v>
      </c>
      <c r="AB3" s="2" t="s">
        <v>80</v>
      </c>
      <c r="AC3" s="2">
        <v>0</v>
      </c>
      <c r="AD3" s="2">
        <v>0</v>
      </c>
      <c r="AE3" s="2">
        <v>0</v>
      </c>
      <c r="AF3" s="2">
        <v>0</v>
      </c>
      <c r="AG3" s="2">
        <v>0</v>
      </c>
      <c r="AH3" s="2"/>
      <c r="AI3" s="2"/>
      <c r="AJ3" s="2"/>
      <c r="AK3" s="2"/>
      <c r="AL3" s="2"/>
      <c r="AM3" s="2"/>
      <c r="AN3" s="2" t="s">
        <v>81</v>
      </c>
      <c r="AO3" s="4" t="s">
        <v>82</v>
      </c>
      <c r="AQ3" s="7">
        <v>2</v>
      </c>
      <c r="AR3" t="s">
        <v>83</v>
      </c>
      <c r="AS3">
        <v>0.5</v>
      </c>
      <c r="AT3">
        <v>0.4</v>
      </c>
      <c r="AU3">
        <v>0.5</v>
      </c>
    </row>
    <row r="4" spans="1:47" ht="409.5" customHeight="1" x14ac:dyDescent="0.45">
      <c r="A4" s="2" t="s">
        <v>47</v>
      </c>
      <c r="B4" s="2">
        <v>5</v>
      </c>
      <c r="C4" s="2">
        <v>4</v>
      </c>
      <c r="D4" s="2" t="s">
        <v>84</v>
      </c>
      <c r="E4" s="2" t="s">
        <v>49</v>
      </c>
      <c r="F4" s="2" t="s">
        <v>50</v>
      </c>
      <c r="G4" s="2" t="s">
        <v>85</v>
      </c>
      <c r="H4" s="2" t="s">
        <v>86</v>
      </c>
      <c r="I4" s="2" t="s">
        <v>87</v>
      </c>
      <c r="J4" s="2" t="s">
        <v>88</v>
      </c>
      <c r="K4" s="2" t="s">
        <v>89</v>
      </c>
      <c r="L4" s="2" t="s">
        <v>90</v>
      </c>
      <c r="M4" s="2" t="s">
        <v>57</v>
      </c>
      <c r="N4" s="2">
        <v>200</v>
      </c>
      <c r="O4" s="2">
        <v>1</v>
      </c>
      <c r="P4" s="2">
        <v>7564.46</v>
      </c>
      <c r="Q4" s="2"/>
      <c r="R4" s="2">
        <v>10</v>
      </c>
      <c r="S4" s="2"/>
      <c r="T4" s="2" t="s">
        <v>91</v>
      </c>
      <c r="U4" s="2" t="s">
        <v>59</v>
      </c>
      <c r="V4" s="2" t="s">
        <v>60</v>
      </c>
      <c r="W4" s="2" t="s">
        <v>92</v>
      </c>
      <c r="X4" s="2" t="s">
        <v>93</v>
      </c>
      <c r="Y4" s="2" t="s">
        <v>94</v>
      </c>
      <c r="Z4" s="2" t="s">
        <v>64</v>
      </c>
      <c r="AA4" s="2">
        <v>1</v>
      </c>
      <c r="AB4" s="2" t="s">
        <v>95</v>
      </c>
      <c r="AC4" s="2">
        <v>0</v>
      </c>
      <c r="AD4" s="2">
        <v>0</v>
      </c>
      <c r="AE4" s="2">
        <v>0</v>
      </c>
      <c r="AF4" s="2">
        <v>0</v>
      </c>
      <c r="AG4" s="2">
        <v>0</v>
      </c>
      <c r="AH4" s="2"/>
      <c r="AI4" s="2"/>
      <c r="AJ4" s="2"/>
      <c r="AK4" s="2"/>
      <c r="AL4" s="2"/>
      <c r="AM4" s="2"/>
      <c r="AN4" s="2" t="s">
        <v>96</v>
      </c>
      <c r="AO4" s="3" t="s">
        <v>97</v>
      </c>
      <c r="AQ4" s="6">
        <v>1</v>
      </c>
      <c r="AR4" t="s">
        <v>98</v>
      </c>
      <c r="AS4">
        <v>0</v>
      </c>
      <c r="AT4">
        <v>0</v>
      </c>
      <c r="AU4">
        <v>0</v>
      </c>
    </row>
    <row r="5" spans="1:47" ht="409.5" customHeight="1" x14ac:dyDescent="0.45">
      <c r="A5" s="2" t="s">
        <v>47</v>
      </c>
      <c r="B5" s="2">
        <v>6</v>
      </c>
      <c r="C5" s="2">
        <v>5</v>
      </c>
      <c r="D5" s="2" t="s">
        <v>69</v>
      </c>
      <c r="E5" s="2" t="s">
        <v>70</v>
      </c>
      <c r="F5" s="2" t="s">
        <v>50</v>
      </c>
      <c r="G5" s="2" t="s">
        <v>99</v>
      </c>
      <c r="H5" s="2" t="s">
        <v>100</v>
      </c>
      <c r="I5" s="2" t="s">
        <v>101</v>
      </c>
      <c r="J5" s="2" t="s">
        <v>102</v>
      </c>
      <c r="K5" s="2" t="s">
        <v>103</v>
      </c>
      <c r="L5" s="2" t="s">
        <v>104</v>
      </c>
      <c r="M5" s="2" t="s">
        <v>64</v>
      </c>
      <c r="N5" s="2">
        <v>200</v>
      </c>
      <c r="O5" s="2">
        <v>1</v>
      </c>
      <c r="P5" s="2">
        <v>7230.7</v>
      </c>
      <c r="Q5" s="2"/>
      <c r="R5" s="2">
        <v>10</v>
      </c>
      <c r="S5" s="2"/>
      <c r="T5" s="2" t="s">
        <v>105</v>
      </c>
      <c r="U5" s="2" t="s">
        <v>59</v>
      </c>
      <c r="V5" s="2" t="s">
        <v>60</v>
      </c>
      <c r="W5" s="2" t="s">
        <v>106</v>
      </c>
      <c r="X5" s="2" t="s">
        <v>107</v>
      </c>
      <c r="Y5" s="2" t="s">
        <v>108</v>
      </c>
      <c r="Z5" s="2" t="s">
        <v>64</v>
      </c>
      <c r="AA5" s="2">
        <v>1</v>
      </c>
      <c r="AB5" s="2" t="s">
        <v>109</v>
      </c>
      <c r="AC5" s="2">
        <v>1</v>
      </c>
      <c r="AD5" s="2">
        <v>1</v>
      </c>
      <c r="AE5" s="2">
        <v>1</v>
      </c>
      <c r="AF5" s="2">
        <v>1</v>
      </c>
      <c r="AG5" s="2">
        <v>1</v>
      </c>
      <c r="AH5" s="2"/>
      <c r="AI5" s="2"/>
      <c r="AJ5" s="2"/>
      <c r="AK5" s="2"/>
      <c r="AL5" s="2"/>
      <c r="AM5" s="2"/>
      <c r="AN5" s="2" t="s">
        <v>110</v>
      </c>
      <c r="AO5" s="4" t="s">
        <v>111</v>
      </c>
      <c r="AQ5" s="7">
        <v>2</v>
      </c>
      <c r="AR5" t="s">
        <v>83</v>
      </c>
      <c r="AS5">
        <v>0.5</v>
      </c>
      <c r="AT5">
        <v>0.4</v>
      </c>
      <c r="AU5">
        <v>0.5</v>
      </c>
    </row>
    <row r="6" spans="1:47" ht="409.5" customHeight="1" x14ac:dyDescent="0.45">
      <c r="A6" s="2" t="s">
        <v>47</v>
      </c>
      <c r="B6" s="2">
        <v>7</v>
      </c>
      <c r="C6" s="2">
        <v>6</v>
      </c>
      <c r="D6" s="2" t="s">
        <v>112</v>
      </c>
      <c r="E6" s="2" t="s">
        <v>113</v>
      </c>
      <c r="F6" s="2" t="s">
        <v>50</v>
      </c>
      <c r="G6" s="2" t="s">
        <v>114</v>
      </c>
      <c r="H6" s="2" t="s">
        <v>115</v>
      </c>
      <c r="I6" s="2" t="s">
        <v>53</v>
      </c>
      <c r="J6" s="2" t="s">
        <v>116</v>
      </c>
      <c r="K6" s="2" t="s">
        <v>117</v>
      </c>
      <c r="L6" s="2" t="s">
        <v>118</v>
      </c>
      <c r="M6" s="2" t="s">
        <v>57</v>
      </c>
      <c r="N6" s="2">
        <v>200</v>
      </c>
      <c r="O6" s="2">
        <v>1</v>
      </c>
      <c r="P6" s="2">
        <v>14115.59</v>
      </c>
      <c r="Q6" s="2"/>
      <c r="R6" s="2">
        <v>10</v>
      </c>
      <c r="S6" s="2"/>
      <c r="T6" s="2" t="s">
        <v>119</v>
      </c>
      <c r="U6" s="2" t="s">
        <v>59</v>
      </c>
      <c r="V6" s="2" t="s">
        <v>60</v>
      </c>
      <c r="W6" s="2" t="s">
        <v>120</v>
      </c>
      <c r="X6" s="2" t="s">
        <v>121</v>
      </c>
      <c r="Y6" s="2" t="s">
        <v>122</v>
      </c>
      <c r="Z6" s="2" t="s">
        <v>64</v>
      </c>
      <c r="AA6" s="2">
        <v>1</v>
      </c>
      <c r="AB6" s="2" t="s">
        <v>123</v>
      </c>
      <c r="AC6" s="2">
        <v>0</v>
      </c>
      <c r="AD6" s="2">
        <v>0</v>
      </c>
      <c r="AE6" s="2">
        <v>0</v>
      </c>
      <c r="AF6" s="2">
        <v>0</v>
      </c>
      <c r="AG6" s="2">
        <v>0</v>
      </c>
      <c r="AH6" s="2"/>
      <c r="AI6" s="2"/>
      <c r="AJ6" s="2"/>
      <c r="AK6" s="2"/>
      <c r="AL6" s="2"/>
      <c r="AM6" s="2"/>
      <c r="AN6" s="2" t="s">
        <v>124</v>
      </c>
      <c r="AO6" s="5" t="s">
        <v>125</v>
      </c>
      <c r="AQ6" s="6">
        <v>1</v>
      </c>
      <c r="AR6" t="s">
        <v>98</v>
      </c>
      <c r="AS6">
        <v>0</v>
      </c>
      <c r="AT6">
        <v>0</v>
      </c>
      <c r="AU6">
        <v>0</v>
      </c>
    </row>
    <row r="7" spans="1:47" ht="128.25" customHeight="1" x14ac:dyDescent="0.45">
      <c r="A7" s="2" t="s">
        <v>47</v>
      </c>
      <c r="B7" s="2">
        <v>15</v>
      </c>
      <c r="C7" s="2">
        <v>14</v>
      </c>
      <c r="D7" s="2" t="s">
        <v>69</v>
      </c>
      <c r="E7" s="2" t="s">
        <v>70</v>
      </c>
      <c r="F7" s="2" t="s">
        <v>50</v>
      </c>
      <c r="G7" s="2" t="s">
        <v>126</v>
      </c>
      <c r="H7" s="2" t="s">
        <v>127</v>
      </c>
      <c r="I7" s="2" t="s">
        <v>53</v>
      </c>
      <c r="J7" s="2"/>
      <c r="K7" s="2"/>
      <c r="L7" s="2"/>
      <c r="M7" s="2" t="s">
        <v>64</v>
      </c>
      <c r="N7" s="2">
        <v>200</v>
      </c>
      <c r="O7" s="2">
        <v>0</v>
      </c>
      <c r="P7" s="2">
        <v>6630.64</v>
      </c>
      <c r="Q7" s="2"/>
      <c r="R7" s="2">
        <v>0</v>
      </c>
      <c r="S7" s="2"/>
      <c r="T7" s="2"/>
      <c r="U7" s="2"/>
      <c r="V7" s="2"/>
      <c r="W7" s="2"/>
      <c r="X7" s="2" t="s">
        <v>128</v>
      </c>
      <c r="Y7" s="2"/>
      <c r="Z7" s="2"/>
      <c r="AA7" s="2"/>
      <c r="AB7" s="2"/>
      <c r="AC7" s="2">
        <v>0</v>
      </c>
      <c r="AD7" s="2">
        <v>0</v>
      </c>
      <c r="AE7" s="2">
        <v>0</v>
      </c>
      <c r="AF7" s="2">
        <v>0</v>
      </c>
      <c r="AG7" s="2">
        <v>0</v>
      </c>
      <c r="AH7" s="2"/>
      <c r="AI7" s="2"/>
      <c r="AJ7" s="2"/>
      <c r="AK7" s="2"/>
      <c r="AL7" s="2"/>
      <c r="AM7" s="2"/>
      <c r="AN7" s="2" t="s">
        <v>129</v>
      </c>
      <c r="AO7" s="3" t="s">
        <v>82</v>
      </c>
      <c r="AQ7" s="8">
        <v>3</v>
      </c>
      <c r="AR7" t="s">
        <v>130</v>
      </c>
      <c r="AS7">
        <v>0.8</v>
      </c>
      <c r="AT7">
        <v>0.7</v>
      </c>
      <c r="AU7">
        <v>0.8</v>
      </c>
    </row>
    <row r="8" spans="1:47" ht="409.5" customHeight="1" x14ac:dyDescent="0.45">
      <c r="A8" s="2" t="s">
        <v>47</v>
      </c>
      <c r="B8" s="2">
        <v>19</v>
      </c>
      <c r="C8" s="2">
        <v>18</v>
      </c>
      <c r="D8" s="2" t="s">
        <v>131</v>
      </c>
      <c r="E8" s="2" t="s">
        <v>49</v>
      </c>
      <c r="F8" s="2" t="s">
        <v>50</v>
      </c>
      <c r="G8" s="2" t="s">
        <v>132</v>
      </c>
      <c r="H8" s="2" t="s">
        <v>133</v>
      </c>
      <c r="I8" s="2" t="s">
        <v>53</v>
      </c>
      <c r="J8" s="2" t="s">
        <v>134</v>
      </c>
      <c r="K8" s="2" t="s">
        <v>135</v>
      </c>
      <c r="L8" s="2" t="s">
        <v>136</v>
      </c>
      <c r="M8" s="2" t="s">
        <v>57</v>
      </c>
      <c r="N8" s="2">
        <v>200</v>
      </c>
      <c r="O8" s="2">
        <v>1</v>
      </c>
      <c r="P8" s="2">
        <v>7552.86</v>
      </c>
      <c r="Q8" s="2"/>
      <c r="R8" s="2">
        <v>10</v>
      </c>
      <c r="S8" s="2"/>
      <c r="T8" s="2" t="s">
        <v>137</v>
      </c>
      <c r="U8" s="2" t="s">
        <v>59</v>
      </c>
      <c r="V8" s="2" t="s">
        <v>60</v>
      </c>
      <c r="W8" s="2" t="s">
        <v>138</v>
      </c>
      <c r="X8" s="2" t="s">
        <v>139</v>
      </c>
      <c r="Y8" s="2" t="s">
        <v>140</v>
      </c>
      <c r="Z8" s="2" t="s">
        <v>64</v>
      </c>
      <c r="AA8" s="2">
        <v>1</v>
      </c>
      <c r="AB8" s="2" t="s">
        <v>141</v>
      </c>
      <c r="AC8" s="2">
        <v>0</v>
      </c>
      <c r="AD8" s="2">
        <v>0</v>
      </c>
      <c r="AE8" s="2">
        <v>0</v>
      </c>
      <c r="AF8" s="2">
        <v>0</v>
      </c>
      <c r="AG8" s="2">
        <v>0</v>
      </c>
      <c r="AH8" s="2"/>
      <c r="AI8" s="2"/>
      <c r="AJ8" s="2"/>
      <c r="AK8" s="2"/>
      <c r="AL8" s="2"/>
      <c r="AM8" s="2"/>
      <c r="AN8" s="2" t="s">
        <v>142</v>
      </c>
      <c r="AO8" s="3" t="s">
        <v>125</v>
      </c>
      <c r="AQ8" s="7">
        <v>2</v>
      </c>
      <c r="AR8" t="s">
        <v>83</v>
      </c>
      <c r="AS8">
        <v>0.5</v>
      </c>
      <c r="AT8">
        <v>0.4</v>
      </c>
      <c r="AU8">
        <v>1</v>
      </c>
    </row>
    <row r="9" spans="1:47" ht="409.5" customHeight="1" x14ac:dyDescent="0.45">
      <c r="A9" s="2" t="s">
        <v>47</v>
      </c>
      <c r="B9" s="2">
        <v>20</v>
      </c>
      <c r="C9" s="2">
        <v>19</v>
      </c>
      <c r="D9" s="2" t="s">
        <v>143</v>
      </c>
      <c r="E9" s="2" t="s">
        <v>70</v>
      </c>
      <c r="F9" s="2" t="s">
        <v>50</v>
      </c>
      <c r="G9" s="2" t="s">
        <v>144</v>
      </c>
      <c r="H9" s="2" t="s">
        <v>145</v>
      </c>
      <c r="I9" s="2" t="s">
        <v>87</v>
      </c>
      <c r="J9" s="2" t="s">
        <v>146</v>
      </c>
      <c r="K9" s="2" t="s">
        <v>147</v>
      </c>
      <c r="L9" s="2" t="s">
        <v>148</v>
      </c>
      <c r="M9" s="2" t="s">
        <v>64</v>
      </c>
      <c r="N9" s="2">
        <v>200</v>
      </c>
      <c r="O9" s="2">
        <v>1</v>
      </c>
      <c r="P9" s="2">
        <v>9688.84</v>
      </c>
      <c r="Q9" s="2"/>
      <c r="R9" s="2">
        <v>10</v>
      </c>
      <c r="S9" s="2"/>
      <c r="T9" s="2" t="s">
        <v>149</v>
      </c>
      <c r="U9" s="2" t="s">
        <v>59</v>
      </c>
      <c r="V9" s="2" t="s">
        <v>60</v>
      </c>
      <c r="W9" s="2" t="s">
        <v>150</v>
      </c>
      <c r="X9" s="2" t="s">
        <v>151</v>
      </c>
      <c r="Y9" s="2" t="s">
        <v>152</v>
      </c>
      <c r="Z9" s="2" t="s">
        <v>64</v>
      </c>
      <c r="AA9" s="2">
        <v>1</v>
      </c>
      <c r="AB9" s="2" t="s">
        <v>153</v>
      </c>
      <c r="AC9" s="2">
        <v>1</v>
      </c>
      <c r="AD9" s="2">
        <v>1</v>
      </c>
      <c r="AE9" s="2">
        <v>1</v>
      </c>
      <c r="AF9" s="2">
        <v>1</v>
      </c>
      <c r="AG9" s="2">
        <v>1</v>
      </c>
      <c r="AH9" s="2"/>
      <c r="AI9" s="2"/>
      <c r="AJ9" s="2"/>
      <c r="AK9" s="2"/>
      <c r="AL9" s="2"/>
      <c r="AM9" s="2"/>
      <c r="AN9" s="2" t="s">
        <v>154</v>
      </c>
      <c r="AO9" s="3" t="s">
        <v>155</v>
      </c>
      <c r="AQ9" s="8">
        <v>3</v>
      </c>
      <c r="AR9" t="s">
        <v>130</v>
      </c>
      <c r="AS9">
        <v>0.8</v>
      </c>
      <c r="AT9">
        <v>0.7</v>
      </c>
      <c r="AU9">
        <v>0.8</v>
      </c>
    </row>
    <row r="10" spans="1:47" ht="71.25" customHeight="1" x14ac:dyDescent="0.45">
      <c r="A10" s="2" t="s">
        <v>47</v>
      </c>
      <c r="B10" s="2">
        <v>21</v>
      </c>
      <c r="C10" s="2">
        <v>20</v>
      </c>
      <c r="D10" s="2" t="s">
        <v>143</v>
      </c>
      <c r="E10" s="2" t="s">
        <v>70</v>
      </c>
      <c r="F10" s="2" t="s">
        <v>50</v>
      </c>
      <c r="G10" s="2" t="s">
        <v>156</v>
      </c>
      <c r="H10" s="2" t="s">
        <v>145</v>
      </c>
      <c r="I10" s="2" t="s">
        <v>87</v>
      </c>
      <c r="J10" s="2" t="s">
        <v>146</v>
      </c>
      <c r="K10" s="2" t="s">
        <v>147</v>
      </c>
      <c r="L10" s="2" t="s">
        <v>157</v>
      </c>
      <c r="M10" s="2" t="s">
        <v>64</v>
      </c>
      <c r="N10" s="2"/>
      <c r="O10" s="2">
        <v>0</v>
      </c>
      <c r="P10" s="2">
        <v>120027.83</v>
      </c>
      <c r="Q10" s="2"/>
      <c r="R10" s="2">
        <v>0</v>
      </c>
      <c r="S10" s="2" t="s">
        <v>158</v>
      </c>
      <c r="T10" s="2"/>
      <c r="U10" s="2"/>
      <c r="V10" s="2"/>
      <c r="W10" s="2"/>
      <c r="X10" s="2" t="s">
        <v>128</v>
      </c>
      <c r="Y10" s="2"/>
      <c r="Z10" s="2"/>
      <c r="AA10" s="2"/>
      <c r="AB10" s="2"/>
      <c r="AC10" s="2">
        <v>0</v>
      </c>
      <c r="AD10" s="2">
        <v>0</v>
      </c>
      <c r="AE10" s="2">
        <v>0</v>
      </c>
      <c r="AF10" s="2">
        <v>0</v>
      </c>
      <c r="AG10" s="2">
        <v>0</v>
      </c>
      <c r="AH10" s="2"/>
      <c r="AI10" s="2"/>
      <c r="AJ10" s="2"/>
      <c r="AK10" s="2"/>
      <c r="AL10" s="2"/>
      <c r="AM10" s="2"/>
      <c r="AN10" s="2" t="s">
        <v>159</v>
      </c>
      <c r="AO10" s="3" t="s">
        <v>160</v>
      </c>
      <c r="AQ10" s="6">
        <v>0</v>
      </c>
      <c r="AR10" t="s">
        <v>68</v>
      </c>
      <c r="AS10">
        <v>0</v>
      </c>
      <c r="AT10">
        <v>0</v>
      </c>
      <c r="AU10">
        <v>0</v>
      </c>
    </row>
    <row r="11" spans="1:47" ht="57" customHeight="1" x14ac:dyDescent="0.45">
      <c r="A11" s="2" t="s">
        <v>47</v>
      </c>
      <c r="B11" s="2">
        <v>22</v>
      </c>
      <c r="C11" s="2">
        <v>21</v>
      </c>
      <c r="D11" s="2" t="s">
        <v>143</v>
      </c>
      <c r="E11" s="2" t="s">
        <v>70</v>
      </c>
      <c r="F11" s="2" t="s">
        <v>50</v>
      </c>
      <c r="G11" s="2" t="s">
        <v>161</v>
      </c>
      <c r="H11" s="2" t="s">
        <v>145</v>
      </c>
      <c r="I11" s="2" t="s">
        <v>87</v>
      </c>
      <c r="J11" s="2" t="s">
        <v>146</v>
      </c>
      <c r="K11" s="2" t="s">
        <v>147</v>
      </c>
      <c r="L11" s="2" t="s">
        <v>162</v>
      </c>
      <c r="M11" s="2" t="s">
        <v>64</v>
      </c>
      <c r="N11" s="2">
        <v>500</v>
      </c>
      <c r="O11" s="2">
        <v>0</v>
      </c>
      <c r="P11" s="2">
        <v>27496.880000000001</v>
      </c>
      <c r="Q11" s="2"/>
      <c r="R11" s="2">
        <v>0</v>
      </c>
      <c r="S11" s="2" t="s">
        <v>163</v>
      </c>
      <c r="T11" s="2"/>
      <c r="U11" s="2"/>
      <c r="V11" s="2"/>
      <c r="W11" s="2"/>
      <c r="X11" s="2" t="s">
        <v>128</v>
      </c>
      <c r="Y11" s="2"/>
      <c r="Z11" s="2"/>
      <c r="AA11" s="2"/>
      <c r="AB11" s="2"/>
      <c r="AC11" s="2">
        <v>0</v>
      </c>
      <c r="AD11" s="2">
        <v>0</v>
      </c>
      <c r="AE11" s="2">
        <v>0</v>
      </c>
      <c r="AF11" s="2">
        <v>0</v>
      </c>
      <c r="AG11" s="2">
        <v>0</v>
      </c>
      <c r="AH11" s="2"/>
      <c r="AI11" s="2"/>
      <c r="AJ11" s="2"/>
      <c r="AK11" s="2"/>
      <c r="AL11" s="2"/>
      <c r="AM11" s="2"/>
      <c r="AN11" s="2" t="s">
        <v>164</v>
      </c>
      <c r="AO11" s="3" t="s">
        <v>165</v>
      </c>
      <c r="AQ11" s="6">
        <v>0</v>
      </c>
      <c r="AR11" t="s">
        <v>68</v>
      </c>
      <c r="AS11">
        <v>0</v>
      </c>
      <c r="AT11">
        <v>0</v>
      </c>
      <c r="AU11">
        <v>0</v>
      </c>
    </row>
    <row r="12" spans="1:47" ht="114" customHeight="1" x14ac:dyDescent="0.45">
      <c r="A12" s="2" t="s">
        <v>47</v>
      </c>
      <c r="B12" s="2">
        <v>23</v>
      </c>
      <c r="C12" s="2">
        <v>22</v>
      </c>
      <c r="D12" s="2" t="s">
        <v>143</v>
      </c>
      <c r="E12" s="2" t="s">
        <v>70</v>
      </c>
      <c r="F12" s="2" t="s">
        <v>50</v>
      </c>
      <c r="G12" s="2" t="s">
        <v>166</v>
      </c>
      <c r="H12" s="2" t="s">
        <v>145</v>
      </c>
      <c r="I12" s="2" t="s">
        <v>87</v>
      </c>
      <c r="J12" s="2" t="s">
        <v>146</v>
      </c>
      <c r="K12" s="2" t="s">
        <v>147</v>
      </c>
      <c r="L12" s="2" t="s">
        <v>167</v>
      </c>
      <c r="M12" s="2" t="s">
        <v>64</v>
      </c>
      <c r="N12" s="2"/>
      <c r="O12" s="2">
        <v>0</v>
      </c>
      <c r="P12" s="2">
        <v>120028.53</v>
      </c>
      <c r="Q12" s="2"/>
      <c r="R12" s="2">
        <v>0</v>
      </c>
      <c r="S12" s="2" t="s">
        <v>158</v>
      </c>
      <c r="T12" s="2"/>
      <c r="U12" s="2"/>
      <c r="V12" s="2"/>
      <c r="W12" s="2"/>
      <c r="X12" s="2" t="s">
        <v>128</v>
      </c>
      <c r="Y12" s="2"/>
      <c r="Z12" s="2"/>
      <c r="AA12" s="2"/>
      <c r="AB12" s="2"/>
      <c r="AC12" s="2">
        <v>0</v>
      </c>
      <c r="AD12" s="2">
        <v>0</v>
      </c>
      <c r="AE12" s="2">
        <v>0</v>
      </c>
      <c r="AF12" s="2">
        <v>0</v>
      </c>
      <c r="AG12" s="2">
        <v>0</v>
      </c>
      <c r="AH12" s="2"/>
      <c r="AI12" s="2"/>
      <c r="AJ12" s="2"/>
      <c r="AK12" s="2"/>
      <c r="AL12" s="2"/>
      <c r="AM12" s="2"/>
      <c r="AN12" s="2" t="s">
        <v>168</v>
      </c>
      <c r="AO12" s="3" t="s">
        <v>165</v>
      </c>
      <c r="AQ12" s="6">
        <v>1</v>
      </c>
      <c r="AR12" t="s">
        <v>98</v>
      </c>
      <c r="AS12">
        <v>0</v>
      </c>
      <c r="AT12">
        <v>0</v>
      </c>
      <c r="AU12">
        <v>0</v>
      </c>
    </row>
    <row r="13" spans="1:47" ht="409.5" customHeight="1" x14ac:dyDescent="0.45">
      <c r="A13" s="2" t="s">
        <v>47</v>
      </c>
      <c r="B13" s="2">
        <v>24</v>
      </c>
      <c r="C13" s="2">
        <v>23</v>
      </c>
      <c r="D13" s="2" t="s">
        <v>169</v>
      </c>
      <c r="E13" s="2" t="s">
        <v>49</v>
      </c>
      <c r="F13" s="2" t="s">
        <v>170</v>
      </c>
      <c r="G13" s="2" t="s">
        <v>171</v>
      </c>
      <c r="H13" s="2" t="s">
        <v>172</v>
      </c>
      <c r="I13" s="2" t="s">
        <v>101</v>
      </c>
      <c r="J13" s="2" t="s">
        <v>88</v>
      </c>
      <c r="K13" s="2" t="s">
        <v>173</v>
      </c>
      <c r="L13" s="2" t="s">
        <v>174</v>
      </c>
      <c r="M13" s="2" t="s">
        <v>64</v>
      </c>
      <c r="N13" s="2">
        <v>200</v>
      </c>
      <c r="O13" s="2">
        <v>1</v>
      </c>
      <c r="P13" s="2">
        <v>10246.32</v>
      </c>
      <c r="Q13" s="2"/>
      <c r="R13" s="2">
        <v>10</v>
      </c>
      <c r="S13" s="2"/>
      <c r="T13" s="2" t="s">
        <v>175</v>
      </c>
      <c r="U13" s="2" t="s">
        <v>59</v>
      </c>
      <c r="V13" s="2" t="s">
        <v>60</v>
      </c>
      <c r="W13" s="2" t="s">
        <v>176</v>
      </c>
      <c r="X13" s="2" t="s">
        <v>177</v>
      </c>
      <c r="Y13" s="2" t="s">
        <v>178</v>
      </c>
      <c r="Z13" s="2" t="s">
        <v>64</v>
      </c>
      <c r="AA13" s="2">
        <v>1</v>
      </c>
      <c r="AB13" s="2" t="s">
        <v>179</v>
      </c>
      <c r="AC13" s="2">
        <v>1</v>
      </c>
      <c r="AD13" s="2">
        <v>1</v>
      </c>
      <c r="AE13" s="2">
        <v>1</v>
      </c>
      <c r="AF13" s="2">
        <v>1</v>
      </c>
      <c r="AG13" s="2">
        <v>1</v>
      </c>
      <c r="AH13" s="2"/>
      <c r="AI13" s="2"/>
      <c r="AJ13" s="2"/>
      <c r="AK13" s="2"/>
      <c r="AL13" s="2"/>
      <c r="AM13" s="2"/>
      <c r="AN13" s="2" t="s">
        <v>180</v>
      </c>
      <c r="AO13" s="3" t="s">
        <v>181</v>
      </c>
      <c r="AQ13" s="6">
        <v>0</v>
      </c>
      <c r="AR13" t="s">
        <v>68</v>
      </c>
      <c r="AS13">
        <v>0</v>
      </c>
      <c r="AT13">
        <v>0</v>
      </c>
      <c r="AU13">
        <v>0</v>
      </c>
    </row>
    <row r="14" spans="1:47" ht="409.5" customHeight="1" x14ac:dyDescent="0.45">
      <c r="A14" s="2" t="s">
        <v>47</v>
      </c>
      <c r="B14" s="2">
        <v>25</v>
      </c>
      <c r="C14" s="2">
        <v>24</v>
      </c>
      <c r="D14" s="2" t="s">
        <v>169</v>
      </c>
      <c r="E14" s="2" t="s">
        <v>49</v>
      </c>
      <c r="F14" s="2" t="s">
        <v>170</v>
      </c>
      <c r="G14" s="2" t="s">
        <v>182</v>
      </c>
      <c r="H14" s="2" t="s">
        <v>172</v>
      </c>
      <c r="I14" s="2" t="s">
        <v>101</v>
      </c>
      <c r="J14" s="2" t="s">
        <v>88</v>
      </c>
      <c r="K14" s="2" t="s">
        <v>173</v>
      </c>
      <c r="L14" s="2" t="s">
        <v>118</v>
      </c>
      <c r="M14" s="2" t="s">
        <v>64</v>
      </c>
      <c r="N14" s="2">
        <v>200</v>
      </c>
      <c r="O14" s="2">
        <v>1</v>
      </c>
      <c r="P14" s="2">
        <v>20407.48</v>
      </c>
      <c r="Q14" s="2"/>
      <c r="R14" s="2">
        <v>10</v>
      </c>
      <c r="S14" s="2"/>
      <c r="T14" s="2" t="s">
        <v>183</v>
      </c>
      <c r="U14" s="2" t="s">
        <v>59</v>
      </c>
      <c r="V14" s="2" t="s">
        <v>60</v>
      </c>
      <c r="W14" s="2" t="s">
        <v>184</v>
      </c>
      <c r="X14" s="2" t="s">
        <v>185</v>
      </c>
      <c r="Y14" s="2" t="s">
        <v>186</v>
      </c>
      <c r="Z14" s="2" t="s">
        <v>64</v>
      </c>
      <c r="AA14" s="2">
        <v>1</v>
      </c>
      <c r="AB14" s="2" t="s">
        <v>187</v>
      </c>
      <c r="AC14" s="2">
        <v>1</v>
      </c>
      <c r="AD14" s="2">
        <v>1</v>
      </c>
      <c r="AE14" s="2">
        <v>1</v>
      </c>
      <c r="AF14" s="2">
        <v>1</v>
      </c>
      <c r="AG14" s="2">
        <v>1</v>
      </c>
      <c r="AH14" s="2"/>
      <c r="AI14" s="2"/>
      <c r="AJ14" s="2"/>
      <c r="AK14" s="2"/>
      <c r="AL14" s="2"/>
      <c r="AM14" s="2"/>
      <c r="AN14" s="2" t="s">
        <v>188</v>
      </c>
      <c r="AO14" s="3" t="s">
        <v>189</v>
      </c>
      <c r="AQ14" s="6">
        <v>0</v>
      </c>
      <c r="AR14" t="s">
        <v>68</v>
      </c>
      <c r="AS14">
        <v>0</v>
      </c>
      <c r="AT14">
        <v>0</v>
      </c>
      <c r="AU14">
        <v>0</v>
      </c>
    </row>
    <row r="15" spans="1:47" ht="409.5" customHeight="1" x14ac:dyDescent="0.45">
      <c r="A15" s="2" t="s">
        <v>47</v>
      </c>
      <c r="B15" s="2">
        <v>26</v>
      </c>
      <c r="C15" s="2">
        <v>25</v>
      </c>
      <c r="D15" s="2" t="s">
        <v>169</v>
      </c>
      <c r="E15" s="2" t="s">
        <v>49</v>
      </c>
      <c r="F15" s="2" t="s">
        <v>190</v>
      </c>
      <c r="G15" s="2" t="s">
        <v>191</v>
      </c>
      <c r="H15" s="2" t="s">
        <v>172</v>
      </c>
      <c r="I15" s="2" t="s">
        <v>101</v>
      </c>
      <c r="J15" s="2" t="s">
        <v>88</v>
      </c>
      <c r="K15" s="2" t="s">
        <v>173</v>
      </c>
      <c r="L15" s="2" t="s">
        <v>174</v>
      </c>
      <c r="M15" s="2" t="s">
        <v>64</v>
      </c>
      <c r="N15" s="2">
        <v>200</v>
      </c>
      <c r="O15" s="2">
        <v>1</v>
      </c>
      <c r="P15" s="2">
        <v>9999.0400000000009</v>
      </c>
      <c r="Q15" s="2"/>
      <c r="R15" s="2">
        <v>10</v>
      </c>
      <c r="S15" s="2"/>
      <c r="T15" s="2" t="s">
        <v>192</v>
      </c>
      <c r="U15" s="2" t="s">
        <v>59</v>
      </c>
      <c r="V15" s="2" t="s">
        <v>60</v>
      </c>
      <c r="W15" s="2" t="s">
        <v>193</v>
      </c>
      <c r="X15" s="2" t="s">
        <v>194</v>
      </c>
      <c r="Y15" s="2" t="s">
        <v>195</v>
      </c>
      <c r="Z15" s="2" t="s">
        <v>64</v>
      </c>
      <c r="AA15" s="2">
        <v>1</v>
      </c>
      <c r="AB15" s="2" t="s">
        <v>196</v>
      </c>
      <c r="AC15" s="2">
        <v>1</v>
      </c>
      <c r="AD15" s="2">
        <v>1</v>
      </c>
      <c r="AE15" s="2">
        <v>1</v>
      </c>
      <c r="AF15" s="2">
        <v>1</v>
      </c>
      <c r="AG15" s="2">
        <v>1</v>
      </c>
      <c r="AH15" s="2"/>
      <c r="AI15" s="2"/>
      <c r="AJ15" s="2"/>
      <c r="AK15" s="2"/>
      <c r="AL15" s="2"/>
      <c r="AM15" s="2"/>
      <c r="AN15" s="2" t="s">
        <v>197</v>
      </c>
      <c r="AO15" s="3" t="s">
        <v>181</v>
      </c>
      <c r="AQ15" s="6">
        <v>0</v>
      </c>
      <c r="AR15" t="s">
        <v>68</v>
      </c>
      <c r="AS15">
        <v>0</v>
      </c>
      <c r="AT15">
        <v>0</v>
      </c>
      <c r="AU15">
        <v>0</v>
      </c>
    </row>
    <row r="16" spans="1:47" ht="409.5" customHeight="1" x14ac:dyDescent="0.45">
      <c r="A16" s="2" t="s">
        <v>47</v>
      </c>
      <c r="B16" s="2">
        <v>27</v>
      </c>
      <c r="C16" s="2">
        <v>26</v>
      </c>
      <c r="D16" s="2" t="s">
        <v>169</v>
      </c>
      <c r="E16" s="2" t="s">
        <v>49</v>
      </c>
      <c r="F16" s="2" t="s">
        <v>190</v>
      </c>
      <c r="G16" s="2" t="s">
        <v>198</v>
      </c>
      <c r="H16" s="2" t="s">
        <v>172</v>
      </c>
      <c r="I16" s="2" t="s">
        <v>101</v>
      </c>
      <c r="J16" s="2" t="s">
        <v>88</v>
      </c>
      <c r="K16" s="2" t="s">
        <v>173</v>
      </c>
      <c r="L16" s="2" t="s">
        <v>118</v>
      </c>
      <c r="M16" s="2" t="s">
        <v>64</v>
      </c>
      <c r="N16" s="2">
        <v>200</v>
      </c>
      <c r="O16" s="2">
        <v>1</v>
      </c>
      <c r="P16" s="2">
        <v>9903.5300000000007</v>
      </c>
      <c r="Q16" s="2"/>
      <c r="R16" s="2">
        <v>10</v>
      </c>
      <c r="S16" s="2"/>
      <c r="T16" s="2" t="s">
        <v>199</v>
      </c>
      <c r="U16" s="2" t="s">
        <v>59</v>
      </c>
      <c r="V16" s="2" t="s">
        <v>60</v>
      </c>
      <c r="W16" s="2" t="s">
        <v>200</v>
      </c>
      <c r="X16" s="2" t="s">
        <v>201</v>
      </c>
      <c r="Y16" s="2" t="s">
        <v>202</v>
      </c>
      <c r="Z16" s="2" t="s">
        <v>64</v>
      </c>
      <c r="AA16" s="2">
        <v>1</v>
      </c>
      <c r="AB16" s="2" t="s">
        <v>203</v>
      </c>
      <c r="AC16" s="2">
        <v>1</v>
      </c>
      <c r="AD16" s="2">
        <v>1</v>
      </c>
      <c r="AE16" s="2">
        <v>1</v>
      </c>
      <c r="AF16" s="2">
        <v>1</v>
      </c>
      <c r="AG16" s="2">
        <v>1</v>
      </c>
      <c r="AH16" s="2"/>
      <c r="AI16" s="2"/>
      <c r="AJ16" s="2"/>
      <c r="AK16" s="2"/>
      <c r="AL16" s="2"/>
      <c r="AM16" s="2"/>
      <c r="AN16" s="2" t="s">
        <v>204</v>
      </c>
      <c r="AO16" s="3" t="s">
        <v>189</v>
      </c>
      <c r="AQ16" s="6">
        <v>0</v>
      </c>
      <c r="AR16" t="s">
        <v>68</v>
      </c>
      <c r="AS16">
        <v>0</v>
      </c>
      <c r="AT16">
        <v>0</v>
      </c>
      <c r="AU16">
        <v>0</v>
      </c>
    </row>
  </sheetData>
  <pageMargins left="0.75" right="0.75" top="1" bottom="1" header="0.5" footer="0.5"/>
  <pageSetup paperSize="9" orientation="portrait" horizontalDpi="200" verticalDpi="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zoomScale="53" workbookViewId="0">
      <pane ySplit="1" topLeftCell="A4" activePane="bottomLeft" state="frozen"/>
      <selection pane="bottomLeft" activeCell="F13" sqref="F13"/>
    </sheetView>
  </sheetViews>
  <sheetFormatPr baseColWidth="10" defaultColWidth="9.06640625" defaultRowHeight="14.25" x14ac:dyDescent="0.45"/>
  <cols>
    <col min="1" max="1" width="30" customWidth="1"/>
    <col min="2" max="2" width="53" customWidth="1"/>
    <col min="3" max="3" width="36" customWidth="1"/>
  </cols>
  <sheetData>
    <row r="1" spans="1:3" x14ac:dyDescent="0.45">
      <c r="A1" s="1" t="s">
        <v>205</v>
      </c>
      <c r="B1" s="1" t="s">
        <v>206</v>
      </c>
      <c r="C1" s="1" t="s">
        <v>207</v>
      </c>
    </row>
    <row r="2" spans="1:3" ht="28.5" customHeight="1" x14ac:dyDescent="0.45">
      <c r="A2" s="2" t="s">
        <v>208</v>
      </c>
      <c r="B2" s="2" t="s">
        <v>209</v>
      </c>
      <c r="C2" s="2">
        <f>COUNTA(RAG_Retrieval_Only!G:G)-1</f>
        <v>15</v>
      </c>
    </row>
    <row r="3" spans="1:3" ht="42.75" customHeight="1" x14ac:dyDescent="0.45">
      <c r="A3" s="2" t="s">
        <v>210</v>
      </c>
      <c r="B3" s="2" t="s">
        <v>211</v>
      </c>
      <c r="C3" s="2">
        <f>AVERAGE(RAG_Retrieval_Only!O:O)</f>
        <v>0.73333333333333328</v>
      </c>
    </row>
    <row r="4" spans="1:3" ht="42.75" customHeight="1" x14ac:dyDescent="0.45">
      <c r="A4" s="2" t="s">
        <v>212</v>
      </c>
      <c r="B4" s="2" t="s">
        <v>213</v>
      </c>
      <c r="C4" s="2">
        <f>AVERAGE(RAG_Retrieval_Only!P:P)</f>
        <v>26715.818000000003</v>
      </c>
    </row>
    <row r="5" spans="1:3" ht="42.75" customHeight="1" x14ac:dyDescent="0.45">
      <c r="A5" s="2" t="s">
        <v>214</v>
      </c>
      <c r="B5" s="2" t="s">
        <v>215</v>
      </c>
      <c r="C5" s="2">
        <f>MEDIAN(RAG_Retrieval_Only!P:P)</f>
        <v>9999.0400000000009</v>
      </c>
    </row>
    <row r="6" spans="1:3" ht="28.5" customHeight="1" x14ac:dyDescent="0.45">
      <c r="A6" s="2" t="s">
        <v>216</v>
      </c>
      <c r="B6" s="2" t="s">
        <v>217</v>
      </c>
      <c r="C6" s="2">
        <f>AVERAGE(RAG_Retrieval_Only!R:R)</f>
        <v>7.333333333333333</v>
      </c>
    </row>
    <row r="7" spans="1:3" ht="42.75" customHeight="1" x14ac:dyDescent="0.45">
      <c r="A7" s="2" t="s">
        <v>218</v>
      </c>
      <c r="B7" s="2" t="s">
        <v>219</v>
      </c>
      <c r="C7" s="2">
        <f>AVERAGE(RAG_Retrieval_Only!AC:AC)</f>
        <v>0.4</v>
      </c>
    </row>
    <row r="8" spans="1:3" ht="42.75" customHeight="1" x14ac:dyDescent="0.45">
      <c r="A8" s="2" t="s">
        <v>220</v>
      </c>
      <c r="B8" s="2" t="s">
        <v>221</v>
      </c>
      <c r="C8" s="2">
        <f>AVERAGE(RAG_Retrieval_Only!AD:AD)</f>
        <v>0.4</v>
      </c>
    </row>
    <row r="9" spans="1:3" ht="42.75" customHeight="1" x14ac:dyDescent="0.45">
      <c r="A9" s="2" t="s">
        <v>222</v>
      </c>
      <c r="B9" s="2" t="s">
        <v>223</v>
      </c>
      <c r="C9" s="2">
        <f>AVERAGE(RAG_Retrieval_Only!AE:AE)</f>
        <v>0.4</v>
      </c>
    </row>
    <row r="10" spans="1:3" ht="42.75" customHeight="1" x14ac:dyDescent="0.45">
      <c r="A10" s="2" t="s">
        <v>224</v>
      </c>
      <c r="B10" s="2" t="s">
        <v>225</v>
      </c>
      <c r="C10" s="2">
        <f>AVERAGE(RAG_Retrieval_Only!AF:AF)</f>
        <v>0.4</v>
      </c>
    </row>
    <row r="11" spans="1:3" ht="42.75" customHeight="1" x14ac:dyDescent="0.45">
      <c r="A11" s="2" t="s">
        <v>226</v>
      </c>
      <c r="B11" s="2" t="s">
        <v>227</v>
      </c>
      <c r="C11" s="2">
        <f>AVERAGE(RAG_Retrieval_Only!AG:AG)</f>
        <v>0.4</v>
      </c>
    </row>
    <row r="12" spans="1:3" ht="42.75" customHeight="1" x14ac:dyDescent="0.45">
      <c r="A12" s="2" t="s">
        <v>228</v>
      </c>
      <c r="B12" s="2" t="s">
        <v>229</v>
      </c>
      <c r="C12" s="2" t="e">
        <f>AVERAGE(RAG_Retrieval_Only!AI:AI)</f>
        <v>#DIV/0!</v>
      </c>
    </row>
    <row r="13" spans="1:3" ht="42.75" customHeight="1" x14ac:dyDescent="0.45">
      <c r="A13" s="2" t="s">
        <v>230</v>
      </c>
      <c r="B13" s="2" t="s">
        <v>229</v>
      </c>
      <c r="C13" s="2" t="e">
        <f>AVERAGE(RAG_Retrieval_Only!AJ:AJ)</f>
        <v>#DIV/0!</v>
      </c>
    </row>
    <row r="14" spans="1:3" ht="42.75" customHeight="1" x14ac:dyDescent="0.45">
      <c r="A14" s="2" t="s">
        <v>231</v>
      </c>
      <c r="B14" s="2" t="s">
        <v>229</v>
      </c>
      <c r="C14" s="2" t="e">
        <f>AVERAGE(RAG_Retrieval_Only!AK:AK)</f>
        <v>#DIV/0!</v>
      </c>
    </row>
    <row r="15" spans="1:3" ht="42.75" customHeight="1" x14ac:dyDescent="0.45">
      <c r="A15" s="2" t="s">
        <v>232</v>
      </c>
      <c r="B15" s="2" t="s">
        <v>229</v>
      </c>
      <c r="C15" s="2" t="e">
        <f>AVERAGE(RAG_Retrieval_Only!AL:AL)</f>
        <v>#DIV/0!</v>
      </c>
    </row>
    <row r="16" spans="1:3" ht="42.75" customHeight="1" x14ac:dyDescent="0.45">
      <c r="A16" s="2" t="s">
        <v>233</v>
      </c>
      <c r="B16" s="2" t="s">
        <v>229</v>
      </c>
      <c r="C16" s="2" t="e">
        <f>AVERAGE(RAG_Retrieval_Only!AM:AM)</f>
        <v>#DIV/0!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zoomScale="61" workbookViewId="0"/>
  </sheetViews>
  <sheetFormatPr baseColWidth="10" defaultColWidth="9.06640625" defaultRowHeight="14.25" x14ac:dyDescent="0.45"/>
  <cols>
    <col min="1" max="1" width="33" customWidth="1"/>
    <col min="2" max="2" width="60" customWidth="1"/>
  </cols>
  <sheetData>
    <row r="1" spans="1:2" x14ac:dyDescent="0.45">
      <c r="A1" t="s">
        <v>205</v>
      </c>
      <c r="B1" t="s">
        <v>207</v>
      </c>
    </row>
    <row r="2" spans="1:2" x14ac:dyDescent="0.45">
      <c r="A2" t="s">
        <v>208</v>
      </c>
      <c r="B2">
        <v>15</v>
      </c>
    </row>
    <row r="3" spans="1:2" x14ac:dyDescent="0.45">
      <c r="A3" t="s">
        <v>234</v>
      </c>
      <c r="B3">
        <v>1</v>
      </c>
    </row>
    <row r="4" spans="1:2" x14ac:dyDescent="0.45">
      <c r="A4" t="s">
        <v>235</v>
      </c>
      <c r="B4">
        <v>0.20699999999999999</v>
      </c>
    </row>
    <row r="5" spans="1:2" x14ac:dyDescent="0.45">
      <c r="A5" t="s">
        <v>236</v>
      </c>
      <c r="B5">
        <v>0.17299999999999999</v>
      </c>
    </row>
    <row r="6" spans="1:2" x14ac:dyDescent="0.45">
      <c r="A6" t="s">
        <v>237</v>
      </c>
      <c r="B6">
        <v>0.24</v>
      </c>
    </row>
    <row r="7" spans="1:2" x14ac:dyDescent="0.45">
      <c r="A7" t="s">
        <v>238</v>
      </c>
      <c r="B7" t="s">
        <v>239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RAG_Retrieval_Only</vt:lpstr>
      <vt:lpstr>Retrieval_Metrics</vt:lpstr>
      <vt:lpstr>Qualitative_Evaluation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2026-05-16T07:45:49Z</dcterms:created>
  <dcterms:modified xsi:type="dcterms:W3CDTF">2026-05-18T08:14:45Z</dcterms:modified>
</cp:coreProperties>
</file>