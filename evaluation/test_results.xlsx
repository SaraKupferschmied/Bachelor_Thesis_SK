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EADME" sheetId="1" state="visible" r:id="rId1"/>
    <sheet xmlns:r="http://schemas.openxmlformats.org/officeDocument/2006/relationships" name="Eval_Set" sheetId="2" state="visible" r:id="rId2"/>
    <sheet xmlns:r="http://schemas.openxmlformats.org/officeDocument/2006/relationships" name="Metrics" sheetId="3" state="visible" r:id="rId3"/>
    <sheet xmlns:r="http://schemas.openxmlformats.org/officeDocument/2006/relationships" name="Scoring_Guide" sheetId="4" state="visible" r:id="rId4"/>
    <sheet xmlns:r="http://schemas.openxmlformats.org/officeDocument/2006/relationships" name="Lists" sheetId="5" state="visible" r:id="rId5"/>
    <sheet xmlns:r="http://schemas.openxmlformats.org/officeDocument/2006/relationships" name="Auto_Run_Results" sheetId="6" state="visible" r:id="rId6"/>
  </sheets>
  <definedNames/>
  <calcPr calcId="191029" fullCalcOnLoad="1"/>
</workbook>
</file>

<file path=xl/styles.xml><?xml version="1.0" encoding="utf-8"?>
<styleSheet xmlns="http://schemas.openxmlformats.org/spreadsheetml/2006/main">
  <numFmts count="0"/>
  <fonts count="6">
    <font>
      <name val="Carlito"/>
      <sz val="11"/>
    </font>
    <font>
      <name val="Carlito"/>
      <b val="1"/>
      <color rgb="FFFFFFFF"/>
      <sz val="11"/>
    </font>
    <font>
      <name val="Carlito"/>
      <b val="1"/>
      <color rgb="FF1F4E78"/>
      <sz val="16"/>
    </font>
    <font>
      <name val="Carlito"/>
      <b val="1"/>
      <sz val="12"/>
    </font>
    <font>
      <name val="Carlito"/>
      <sz val="11"/>
    </font>
    <font>
      <b val="1"/>
      <color rgb="00FFFFFF"/>
    </font>
  </fonts>
  <fills count="5">
    <fill>
      <patternFill/>
    </fill>
    <fill>
      <patternFill patternType="gray125"/>
    </fill>
    <fill>
      <patternFill patternType="solid">
        <fgColor rgb="FF1F4E78"/>
      </patternFill>
    </fill>
    <fill>
      <patternFill patternType="solid">
        <fgColor rgb="FF5B9BD5"/>
      </patternFill>
    </fill>
    <fill>
      <patternFill patternType="solid">
        <fgColor rgb="001F4E78"/>
      </patternFill>
    </fill>
  </fills>
  <borders count="1">
    <border>
      <left/>
      <right/>
      <top/>
      <bottom/>
      <diagonal/>
    </border>
  </borders>
  <cellStyleXfs count="2">
    <xf numFmtId="0" fontId="4" fillId="0" borderId="0"/>
    <xf numFmtId="0" fontId="4" fillId="0" borderId="0"/>
  </cellStyleXfs>
  <cellXfs count="12">
    <xf numFmtId="0" fontId="0" fillId="0" borderId="0" pivotButton="0" quotePrefix="0" xfId="0"/>
    <xf numFmtId="0" fontId="1" fillId="2" borderId="0" pivotButton="0" quotePrefix="0" xfId="1"/>
    <xf numFmtId="0" fontId="1" fillId="2" borderId="0" applyAlignment="1" pivotButton="0" quotePrefix="0" xfId="1">
      <alignment horizontal="center" vertical="center" wrapText="1"/>
    </xf>
    <xf numFmtId="0" fontId="0" fillId="0" borderId="0" applyAlignment="1" pivotButton="0" quotePrefix="0" xfId="1">
      <alignment wrapText="1"/>
    </xf>
    <xf numFmtId="0" fontId="1" fillId="3" borderId="0" pivotButton="0" quotePrefix="0" xfId="1"/>
    <xf numFmtId="0" fontId="3" fillId="0" borderId="0" pivotButton="0" quotePrefix="0" xfId="1"/>
    <xf numFmtId="0" fontId="2" fillId="0" borderId="0" applyAlignment="1" pivotButton="0" quotePrefix="0" xfId="1">
      <alignment wrapText="1"/>
    </xf>
    <xf numFmtId="0" fontId="1" fillId="2" borderId="0" applyAlignment="1" pivotButton="0" quotePrefix="0" xfId="1">
      <alignment wrapText="1"/>
    </xf>
    <xf numFmtId="2" fontId="0" fillId="0" borderId="0" pivotButton="0" quotePrefix="0" xfId="1"/>
    <xf numFmtId="1" fontId="0" fillId="0" borderId="0" pivotButton="0" quotePrefix="0" xfId="1"/>
    <xf numFmtId="0" fontId="5" fillId="4" borderId="0" applyAlignment="1" pivotButton="0" quotePrefix="0" xfId="0">
      <alignment horizontal="center" vertical="center" wrapText="1"/>
    </xf>
    <xf numFmtId="0" fontId="0" fillId="0" borderId="0" applyAlignment="1" pivotButton="0" quotePrefix="0" xfId="0">
      <alignment vertical="top" wrapText="1"/>
    </xf>
  </cellXfs>
  <cellStyles count="2">
    <cellStyle name="Standard"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plotArea>
      <layout/>
      <barChart>
        <barDir val="col"/>
        <grouping val="clustered"/>
        <varyColors val="0"/>
        <ser>
          <idx val="0"/>
          <order val="0"/>
          <tx>
            <v>Answered count</v>
          </tx>
          <spPr>
            <a:ln xmlns:a="http://schemas.openxmlformats.org/drawingml/2006/main">
              <a:prstDash val="solid"/>
            </a:ln>
          </spPr>
          <invertIfNegative val="1"/>
          <cat>
            <strRef>
              <f>Metrics!$A$2:$A$4</f>
              <strCache>
                <ptCount val="3"/>
                <pt idx="0">
                  <v>Non-RAG</v>
                </pt>
                <pt idx="1">
                  <v>Website-RAG</v>
                </pt>
                <pt idx="2">
                  <v>Hybrid</v>
                </pt>
              </strCache>
            </strRef>
          </cat>
          <val>
            <numRef>
              <f>Metrics!$B$2:$B$4</f>
              <numCache>
                <formatCode>General</formatCode>
                <ptCount val="3"/>
                <pt idx="0">
                  <v>0</v>
                </pt>
                <pt idx="1">
                  <v>0</v>
                </pt>
                <pt idx="2">
                  <v>0</v>
                </pt>
              </numCache>
            </numRef>
          </val>
        </ser>
        <ser>
          <idx val="1"/>
          <order val="1"/>
          <tx>
            <v>Avg correctness</v>
          </tx>
          <spPr>
            <a:ln xmlns:a="http://schemas.openxmlformats.org/drawingml/2006/main">
              <a:prstDash val="solid"/>
            </a:ln>
          </spPr>
          <invertIfNegative val="1"/>
          <cat>
            <strRef>
              <f>Metrics!$A$2:$A$4</f>
              <strCache>
                <ptCount val="3"/>
                <pt idx="0">
                  <v>Non-RAG</v>
                </pt>
                <pt idx="1">
                  <v>Website-RAG</v>
                </pt>
                <pt idx="2">
                  <v>Hybrid</v>
                </pt>
              </strCache>
            </strRef>
          </cat>
          <val>
            <numRef>
              <f>Metrics!$C$2:$C$4</f>
              <numCache>
                <formatCode>0.00</formatCode>
                <ptCount val="3"/>
                <pt idx="0">
                  <v>0</v>
                </pt>
                <pt idx="1">
                  <v>0</v>
                </pt>
                <pt idx="2">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9</col>
      <colOff>0</colOff>
      <row>1</row>
      <rowOff>0</rowOff>
    </from>
    <to>
      <col>17</col>
      <colOff>0</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EvaluationTable" displayName="EvaluationTable" ref="A1:AG79" headerRowCount="1">
  <tableColumns count="33">
    <tableColumn id="1" name="id"/>
    <tableColumn id="2" name="category"/>
    <tableColumn id="3" name="difficulty"/>
    <tableColumn id="4" name="language"/>
    <tableColumn id="5" name="question"/>
    <tableColumn id="6" name="expected_answer"/>
    <tableColumn id="7" name="source_of_truth"/>
    <tableColumn id="8" name="expected_flow"/>
    <tableColumn id="9" name="gold_source"/>
    <tableColumn id="10" name="required_fields"/>
    <tableColumn id="11" name="notes"/>
    <tableColumn id="12" name="nonrag_answer"/>
    <tableColumn id="13" name="nonrag_correctness_0_2"/>
    <tableColumn id="14" name="nonrag_faithfulness_0_2"/>
    <tableColumn id="15" name="nonrag_hallucination_0_1"/>
    <tableColumn id="16" name="nonrag_language_0_2"/>
    <tableColumn id="17" name="nonrag_time_ms"/>
    <tableColumn id="18" name="nonrag_error"/>
    <tableColumn id="19" name="webrag_answer"/>
    <tableColumn id="20" name="webrag_correctness_0_2"/>
    <tableColumn id="21" name="webrag_faithfulness_0_2"/>
    <tableColumn id="22" name="webrag_hallucination_0_1"/>
    <tableColumn id="23" name="webrag_language_0_2"/>
    <tableColumn id="24" name="webrag_time_ms"/>
    <tableColumn id="25" name="webrag_error"/>
    <tableColumn id="26" name="hybrid_answer"/>
    <tableColumn id="27" name="hybrid_correctness_0_2"/>
    <tableColumn id="28" name="hybrid_faithfulness_0_2"/>
    <tableColumn id="29" name="hybrid_hallucination_0_1"/>
    <tableColumn id="30" name="hybrid_language_0_2"/>
    <tableColumn id="31" name="hybrid_time_ms"/>
    <tableColumn id="32" name="hybrid_tool_used"/>
    <tableColumn id="33" name="hybrid_error"/>
  </tableColumns>
  <tableStyleInfo name="TableStyleMedium2" showFirstColumn="0" showLastColumn="0" showRowStripes="1" showColumnStripes="0"/>
</table>
</file>

<file path=xl/tables/table2.xml><?xml version="1.0" encoding="utf-8"?>
<table xmlns="http://schemas.openxmlformats.org/spreadsheetml/2006/main" id="2" name="MetricsTable" displayName="MetricsTable" ref="A1:H4" headerRowCount="1">
  <tableColumns count="8">
    <tableColumn id="1" name="System"/>
    <tableColumn id="2" name="Answered count"/>
    <tableColumn id="3" name="Avg correctness"/>
    <tableColumn id="4" name="Avg faithfulness"/>
    <tableColumn id="5" name="Hallucination rate"/>
    <tableColumn id="6" name="Avg language"/>
    <tableColumn id="7" name="Avg time ms"/>
    <tableColumn id="8" name="Error count"/>
  </tableColumns>
  <tableStyleInfo name="TableStyleMedium2" showFirstColumn="0" showLastColumn="0" showRowStripes="1" showColumnStripes="0"/>
</table>
</file>

<file path=xl/tables/table3.xml><?xml version="1.0" encoding="utf-8"?>
<table xmlns="http://schemas.openxmlformats.org/spreadsheetml/2006/main" id="3" name="ScoringGuideTable" displayName="ScoringGuideTable" ref="A1:C14" headerRowCount="1">
  <tableColumns count="3">
    <tableColumn id="1" name="Metric"/>
    <tableColumn id="2" name="Score"/>
    <tableColumn id="3" name="Mean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7" sqref="A7"/>
    </sheetView>
  </sheetViews>
  <sheetFormatPr baseColWidth="10" defaultColWidth="8.796875" defaultRowHeight="13.8" outlineLevelCol="0"/>
  <cols>
    <col width="120" customWidth="1" min="1" max="1"/>
  </cols>
  <sheetData>
    <row r="1" ht="21" customHeight="1">
      <c r="A1" s="6" t="inlineStr">
        <is>
          <t>Evaluation workbook for structured-data chatbot thesis</t>
        </is>
      </c>
    </row>
    <row r="3" ht="15.6" customHeight="1">
      <c r="A3" s="5" t="inlineStr">
        <is>
          <t>Purpose</t>
        </is>
      </c>
    </row>
    <row r="4">
      <c r="A4" t="inlineStr">
        <is>
          <t>Use this workbook to test three systems with the same question set: Non-RAG model-only chatbot, Website-RAG baseline, and Hybrid structured API + RAG chatbot.</t>
        </is>
      </c>
    </row>
    <row r="6" ht="15.6" customHeight="1">
      <c r="A6" s="5" t="inlineStr">
        <is>
          <t>How to use</t>
        </is>
      </c>
    </row>
    <row r="7">
      <c r="A7" t="inlineStr">
        <is>
          <t>1. Replace placeholders such as {COURSE_CODE}, {PROGRAM_NAME}, {SEMESTER_ID} with real values from your database/documents.</t>
        </is>
      </c>
    </row>
    <row r="8">
      <c r="A8" t="inlineStr">
        <is>
          <t>2. Fill expected_answer and gold_source before running the evaluation.</t>
        </is>
      </c>
    </row>
    <row r="9">
      <c r="A9" t="inlineStr">
        <is>
          <t>3. Run each question against all systems. The later script can fill answer/time/error columns automatically.</t>
        </is>
      </c>
    </row>
    <row r="10">
      <c r="A10" t="inlineStr">
        <is>
          <t>4. Manually score correctness, faithfulness, hallucination, and language consistency using the Scoring_Guide sheet.</t>
        </is>
      </c>
    </row>
    <row r="11">
      <c r="A11" t="inlineStr">
        <is>
          <t>5. Review the Metrics sheet for summary results.</t>
        </is>
      </c>
    </row>
    <row r="13" ht="15.6" customHeight="1">
      <c r="A13" s="5" t="inlineStr">
        <is>
          <t>Recommended comparison</t>
        </is>
      </c>
    </row>
    <row r="14">
      <c r="A14" t="inlineStr">
        <is>
          <t>A: Non-RAG = same Ollama model, no tools, no documents.</t>
        </is>
      </c>
    </row>
    <row r="15">
      <c r="A15" t="inlineStr">
        <is>
          <t>B: Website-RAG = same Ollama model + unstructured indexed Unifr pages/PDFs.</t>
        </is>
      </c>
    </row>
    <row r="16">
      <c r="A16" t="inlineStr">
        <is>
          <t>C: Hybrid = same Ollama model + backend APIs first + RAG fallback.</t>
        </is>
      </c>
    </row>
    <row r="18" ht="15.6" customHeight="1">
      <c r="A18" s="5" t="inlineStr">
        <is>
          <t>Notes</t>
        </is>
      </c>
    </row>
    <row r="19">
      <c r="A19" t="inlineStr">
        <is>
          <t>The questions intentionally include DB, RAG, mixed, ambiguous, multilingual, and unanswerable cases so that reliability can be evaluated at multiple levels.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G79"/>
  <sheetViews>
    <sheetView tabSelected="1" workbookViewId="0">
      <selection activeCell="E4" sqref="E4"/>
    </sheetView>
  </sheetViews>
  <sheetFormatPr baseColWidth="10" defaultColWidth="8.796875" defaultRowHeight="13.8" outlineLevelCol="0"/>
  <cols>
    <col width="6" customWidth="1" min="1" max="1"/>
    <col width="24" customWidth="1" min="2" max="2"/>
    <col width="12" customWidth="1" min="3" max="3"/>
    <col width="10" customWidth="1" min="4" max="4"/>
    <col width="48" customWidth="1" min="5" max="5"/>
    <col width="42" customWidth="1" min="6" max="6"/>
    <col width="14" customWidth="1" min="7" max="7"/>
    <col width="32" customWidth="1" min="8" max="8"/>
    <col width="28" customWidth="1" min="9" max="10"/>
    <col width="36" customWidth="1" min="11" max="11"/>
    <col width="42" customWidth="1" min="12" max="12"/>
    <col width="14" customWidth="1" min="13" max="17"/>
    <col width="18" customWidth="1" min="18" max="18"/>
    <col width="42" customWidth="1" min="19" max="19"/>
    <col width="14" customWidth="1" min="20" max="24"/>
    <col width="18" customWidth="1" min="25" max="25"/>
    <col width="42" customWidth="1" min="26" max="26"/>
    <col width="14" customWidth="1" min="27" max="31"/>
    <col width="18" customWidth="1" min="32" max="33"/>
  </cols>
  <sheetData>
    <row r="1" ht="24" customHeight="1">
      <c r="A1" s="2" t="inlineStr">
        <is>
          <t>id</t>
        </is>
      </c>
      <c r="B1" s="2" t="inlineStr">
        <is>
          <t>category</t>
        </is>
      </c>
      <c r="C1" s="2" t="inlineStr">
        <is>
          <t>difficulty</t>
        </is>
      </c>
      <c r="D1" s="2" t="inlineStr">
        <is>
          <t>language</t>
        </is>
      </c>
      <c r="E1" s="2" t="inlineStr">
        <is>
          <t>question</t>
        </is>
      </c>
      <c r="F1" s="2" t="inlineStr">
        <is>
          <t>expected_answer</t>
        </is>
      </c>
      <c r="G1" s="2" t="inlineStr">
        <is>
          <t>source_of_truth</t>
        </is>
      </c>
      <c r="H1" s="2" t="inlineStr">
        <is>
          <t>expected_flow</t>
        </is>
      </c>
      <c r="I1" s="2" t="inlineStr">
        <is>
          <t>gold_source</t>
        </is>
      </c>
      <c r="J1" s="2" t="inlineStr">
        <is>
          <t>required_fields</t>
        </is>
      </c>
      <c r="K1" s="2" t="inlineStr">
        <is>
          <t>notes</t>
        </is>
      </c>
      <c r="L1" s="2" t="inlineStr">
        <is>
          <t>nonrag_answer</t>
        </is>
      </c>
      <c r="M1" s="2" t="inlineStr">
        <is>
          <t>nonrag_correctness_0_2</t>
        </is>
      </c>
      <c r="N1" s="2" t="inlineStr">
        <is>
          <t>nonrag_faithfulness_0_2</t>
        </is>
      </c>
      <c r="O1" s="2" t="inlineStr">
        <is>
          <t>nonrag_hallucination_0_1</t>
        </is>
      </c>
      <c r="P1" s="2" t="inlineStr">
        <is>
          <t>nonrag_language_0_2</t>
        </is>
      </c>
      <c r="Q1" s="2" t="inlineStr">
        <is>
          <t>nonrag_time_ms</t>
        </is>
      </c>
      <c r="R1" s="2" t="inlineStr">
        <is>
          <t>nonrag_error</t>
        </is>
      </c>
      <c r="S1" s="2" t="inlineStr">
        <is>
          <t>webrag_answer</t>
        </is>
      </c>
      <c r="T1" s="2" t="inlineStr">
        <is>
          <t>webrag_correctness_0_2</t>
        </is>
      </c>
      <c r="U1" s="2" t="inlineStr">
        <is>
          <t>webrag_faithfulness_0_2</t>
        </is>
      </c>
      <c r="V1" s="2" t="inlineStr">
        <is>
          <t>webrag_hallucination_0_1</t>
        </is>
      </c>
      <c r="W1" s="2" t="inlineStr">
        <is>
          <t>webrag_language_0_2</t>
        </is>
      </c>
      <c r="X1" s="2" t="inlineStr">
        <is>
          <t>webrag_time_ms</t>
        </is>
      </c>
      <c r="Y1" s="2" t="inlineStr">
        <is>
          <t>webrag_error</t>
        </is>
      </c>
      <c r="Z1" s="2" t="inlineStr">
        <is>
          <t>hybrid_answer</t>
        </is>
      </c>
      <c r="AA1" s="2" t="inlineStr">
        <is>
          <t>hybrid_correctness_0_2</t>
        </is>
      </c>
      <c r="AB1" s="2" t="inlineStr">
        <is>
          <t>hybrid_faithfulness_0_2</t>
        </is>
      </c>
      <c r="AC1" s="2" t="inlineStr">
        <is>
          <t>hybrid_hallucination_0_1</t>
        </is>
      </c>
      <c r="AD1" s="2" t="inlineStr">
        <is>
          <t>hybrid_language_0_2</t>
        </is>
      </c>
      <c r="AE1" s="2" t="inlineStr">
        <is>
          <t>hybrid_time_ms</t>
        </is>
      </c>
      <c r="AF1" s="2" t="inlineStr">
        <is>
          <t>hybrid_tool_used</t>
        </is>
      </c>
      <c r="AG1" s="2" t="inlineStr">
        <is>
          <t>hybrid_error</t>
        </is>
      </c>
    </row>
    <row r="2" ht="27.6" customHeight="1">
      <c r="A2" s="3" t="n">
        <v>1</v>
      </c>
      <c r="B2" s="3" t="inlineStr">
        <is>
          <t>program_overview</t>
        </is>
      </c>
      <c r="C2" s="3" t="inlineStr">
        <is>
          <t>medium</t>
        </is>
      </c>
      <c r="D2" s="3" t="inlineStr">
        <is>
          <t>EN</t>
        </is>
      </c>
      <c r="E2" s="3" t="inlineStr">
        <is>
          <t>Which programs can I study at Unifr at bachelor level?</t>
        </is>
      </c>
      <c r="F2" s="3" t="inlineStr">
        <is>
          <t>List of all bachelor programs available in the database.</t>
        </is>
      </c>
      <c r="G2" s="3" t="inlineStr">
        <is>
          <t>DB</t>
        </is>
      </c>
      <c r="H2" s="3" t="inlineStr">
        <is>
          <t>API /programs?degree_level=Bachelor</t>
        </is>
      </c>
      <c r="I2" s="3" t="inlineStr">
        <is>
          <t>StudyProgram table</t>
        </is>
      </c>
      <c r="J2" s="3" t="inlineStr">
        <is>
          <t>program names, degree level</t>
        </is>
      </c>
      <c r="K2" s="3" t="inlineStr">
        <is>
          <t>Existing sample question, cleaned.</t>
        </is>
      </c>
      <c r="L2" s="3" t="n"/>
      <c r="M2" s="3" t="n"/>
      <c r="N2" s="3" t="n"/>
      <c r="O2" s="3" t="n"/>
      <c r="P2" s="3" t="n"/>
      <c r="Q2" s="3" t="n"/>
      <c r="R2" s="3" t="n"/>
      <c r="S2" s="3" t="n"/>
      <c r="T2" s="3" t="n"/>
      <c r="U2" s="3" t="n"/>
      <c r="V2" s="3" t="n"/>
      <c r="W2" s="3" t="n"/>
      <c r="X2" s="3" t="n"/>
      <c r="Y2" s="3" t="n"/>
      <c r="Z2" s="3" t="n"/>
      <c r="AA2" s="3" t="n"/>
      <c r="AB2" s="3" t="n"/>
      <c r="AC2" s="3" t="n"/>
      <c r="AD2" s="3" t="n"/>
      <c r="AE2" s="3" t="n"/>
      <c r="AF2" s="3" t="n"/>
      <c r="AG2" s="3" t="n"/>
    </row>
    <row r="3" ht="27.6" customHeight="1">
      <c r="A3" s="3" t="n">
        <v>2</v>
      </c>
      <c r="B3" s="3" t="inlineStr">
        <is>
          <t>program_overview</t>
        </is>
      </c>
      <c r="C3" s="3" t="inlineStr">
        <is>
          <t>medium</t>
        </is>
      </c>
      <c r="D3" s="3" t="inlineStr">
        <is>
          <t>EN</t>
        </is>
      </c>
      <c r="E3" s="3" t="inlineStr">
        <is>
          <t>Which minor programs does Unifr offer?</t>
        </is>
      </c>
      <c r="F3" s="3" t="inlineStr">
        <is>
          <t>List of minor-like programs, e.g. programs with total ECTS &lt;= 60, excluding null/doctorate entries.</t>
        </is>
      </c>
      <c r="G3" s="3" t="inlineStr">
        <is>
          <t>DB</t>
        </is>
      </c>
      <c r="H3" s="3" t="inlineStr">
        <is>
          <t>API /programs?max_ects=60</t>
        </is>
      </c>
      <c r="I3" s="3" t="inlineStr">
        <is>
          <t>StudyProgram table</t>
        </is>
      </c>
      <c r="J3" s="3" t="inlineStr">
        <is>
          <t>program names, ECTS</t>
        </is>
      </c>
      <c r="K3" s="3" t="inlineStr">
        <is>
          <t>Existing sample question, cleaned.</t>
        </is>
      </c>
      <c r="L3" s="3" t="n"/>
      <c r="M3" s="3" t="n"/>
      <c r="N3" s="3" t="n"/>
      <c r="O3" s="3" t="n"/>
      <c r="P3" s="3" t="n"/>
      <c r="Q3" s="3" t="n"/>
      <c r="R3" s="3" t="n"/>
      <c r="S3" s="3" t="n"/>
      <c r="T3" s="3" t="n"/>
      <c r="U3" s="3" t="n"/>
      <c r="V3" s="3" t="n"/>
      <c r="W3" s="3" t="n"/>
      <c r="X3" s="3" t="n"/>
      <c r="Y3" s="3" t="n"/>
      <c r="Z3" s="3" t="n"/>
      <c r="AA3" s="3" t="n"/>
      <c r="AB3" s="3" t="n"/>
      <c r="AC3" s="3" t="n"/>
      <c r="AD3" s="3" t="n"/>
      <c r="AE3" s="3" t="n"/>
      <c r="AF3" s="3" t="n"/>
      <c r="AG3" s="3" t="n"/>
    </row>
    <row r="4" ht="41.4" customHeight="1">
      <c r="A4" s="3" t="n">
        <v>3</v>
      </c>
      <c r="B4" s="3" t="inlineStr">
        <is>
          <t>program_courses</t>
        </is>
      </c>
      <c r="C4" s="3" t="inlineStr">
        <is>
          <t>hard</t>
        </is>
      </c>
      <c r="D4" s="3" t="inlineStr">
        <is>
          <t>EN</t>
        </is>
      </c>
      <c r="E4" s="3" t="inlineStr">
        <is>
          <t>What courses are mandatory in the Bachelor of Business Informatics with 180 ECTS?</t>
        </is>
      </c>
      <c r="F4" s="3" t="inlineStr">
        <is>
          <t>List of mandatory courses for the specified program.</t>
        </is>
      </c>
      <c r="G4" s="3" t="inlineStr">
        <is>
          <t>DB</t>
        </is>
      </c>
      <c r="H4" s="3" t="inlineStr">
        <is>
          <t>API /programs/:id/courses?type=Mandatory</t>
        </is>
      </c>
      <c r="I4" s="3" t="inlineStr">
        <is>
          <t>consist_of + StudyProgram</t>
        </is>
      </c>
      <c r="J4" s="3" t="inlineStr">
        <is>
          <t>course codes, titles, mandatory status</t>
        </is>
      </c>
      <c r="K4" s="3" t="inlineStr">
        <is>
          <t>Existing sample question, cleaned.</t>
        </is>
      </c>
      <c r="L4" s="3" t="n"/>
      <c r="M4" s="3" t="n"/>
      <c r="N4" s="3" t="n"/>
      <c r="O4" s="3" t="n"/>
      <c r="P4" s="3" t="n"/>
      <c r="Q4" s="3" t="n"/>
      <c r="R4" s="3" t="n"/>
      <c r="S4" s="3" t="n"/>
      <c r="T4" s="3" t="n"/>
      <c r="U4" s="3" t="n"/>
      <c r="V4" s="3" t="n"/>
      <c r="W4" s="3" t="n"/>
      <c r="X4" s="3" t="n"/>
      <c r="Y4" s="3" t="n"/>
      <c r="Z4" s="3" t="n"/>
      <c r="AA4" s="3" t="n"/>
      <c r="AB4" s="3" t="n"/>
      <c r="AC4" s="3" t="n"/>
      <c r="AD4" s="3" t="n"/>
      <c r="AE4" s="3" t="n"/>
      <c r="AF4" s="3" t="n"/>
      <c r="AG4" s="3" t="n"/>
    </row>
    <row r="5" ht="27.6" customHeight="1">
      <c r="A5" s="3" t="n">
        <v>4</v>
      </c>
      <c r="B5" s="3" t="inlineStr">
        <is>
          <t>program_requirements</t>
        </is>
      </c>
      <c r="C5" s="3" t="inlineStr">
        <is>
          <t>medium</t>
        </is>
      </c>
      <c r="D5" s="3" t="inlineStr">
        <is>
          <t>EN</t>
        </is>
      </c>
      <c r="E5" s="3" t="inlineStr">
        <is>
          <t>How long does the bachelor program usually take?</t>
        </is>
      </c>
      <c r="F5" s="3" t="inlineStr">
        <is>
          <t>Minimum/standard/max duration if available; otherwise answer based on retrieved regulations.</t>
        </is>
      </c>
      <c r="G5" s="3" t="inlineStr">
        <is>
          <t>Mixed</t>
        </is>
      </c>
      <c r="H5" s="3" t="inlineStr">
        <is>
          <t>API first, RAG fallback</t>
        </is>
      </c>
      <c r="I5" s="3" t="inlineStr">
        <is>
          <t>StudyProgram table or regulation document</t>
        </is>
      </c>
      <c r="J5" s="3" t="inlineStr">
        <is>
          <t>duration semesters</t>
        </is>
      </c>
      <c r="K5" s="3" t="inlineStr">
        <is>
          <t>Existing sample question, cleaned.</t>
        </is>
      </c>
      <c r="L5" s="3" t="n"/>
      <c r="M5" s="3" t="n"/>
      <c r="N5" s="3" t="n"/>
      <c r="O5" s="3" t="n"/>
      <c r="P5" s="3" t="n"/>
      <c r="Q5" s="3" t="n"/>
      <c r="R5" s="3" t="n"/>
      <c r="S5" s="3" t="n"/>
      <c r="T5" s="3" t="n"/>
      <c r="U5" s="3" t="n"/>
      <c r="V5" s="3" t="n"/>
      <c r="W5" s="3" t="n"/>
      <c r="X5" s="3" t="n"/>
      <c r="Y5" s="3" t="n"/>
      <c r="Z5" s="3" t="n"/>
      <c r="AA5" s="3" t="n"/>
      <c r="AB5" s="3" t="n"/>
      <c r="AC5" s="3" t="n"/>
      <c r="AD5" s="3" t="n"/>
      <c r="AE5" s="3" t="n"/>
      <c r="AF5" s="3" t="n"/>
      <c r="AG5" s="3" t="n"/>
    </row>
    <row r="6" ht="27.6" customHeight="1">
      <c r="A6" s="3" t="n">
        <v>5</v>
      </c>
      <c r="B6" s="3" t="inlineStr">
        <is>
          <t>program_courses</t>
        </is>
      </c>
      <c r="C6" s="3" t="inlineStr">
        <is>
          <t>hard</t>
        </is>
      </c>
      <c r="D6" s="3" t="inlineStr">
        <is>
          <t>EN</t>
        </is>
      </c>
      <c r="E6" s="3" t="inlineStr">
        <is>
          <t>What courses does the Bachelor in Economics with 180 ECTS include in the first study year?</t>
        </is>
      </c>
      <c r="F6" s="3" t="inlineStr">
        <is>
          <t>List of first-year courses if the study plan provides this structure.</t>
        </is>
      </c>
      <c r="G6" s="3" t="inlineStr">
        <is>
          <t>RAG</t>
        </is>
      </c>
      <c r="H6" s="3" t="inlineStr">
        <is>
          <t>RAG over study plan documents</t>
        </is>
      </c>
      <c r="I6" s="3" t="inlineStr">
        <is>
          <t>study plan PDF</t>
        </is>
      </c>
      <c r="J6" s="3" t="inlineStr">
        <is>
          <t>course titles/codes, first-year context</t>
        </is>
      </c>
      <c r="K6" s="3" t="inlineStr">
        <is>
          <t>Existing sample question, cleaned.</t>
        </is>
      </c>
      <c r="L6" s="3" t="n"/>
      <c r="M6" s="3" t="n"/>
      <c r="N6" s="3" t="n"/>
      <c r="O6" s="3" t="n"/>
      <c r="P6" s="3" t="n"/>
      <c r="Q6" s="3" t="n"/>
      <c r="R6" s="3" t="n"/>
      <c r="S6" s="3" t="n"/>
      <c r="T6" s="3" t="n"/>
      <c r="U6" s="3" t="n"/>
      <c r="V6" s="3" t="n"/>
      <c r="W6" s="3" t="n"/>
      <c r="X6" s="3" t="n"/>
      <c r="Y6" s="3" t="n"/>
      <c r="Z6" s="3" t="n"/>
      <c r="AA6" s="3" t="n"/>
      <c r="AB6" s="3" t="n"/>
      <c r="AC6" s="3" t="n"/>
      <c r="AD6" s="3" t="n"/>
      <c r="AE6" s="3" t="n"/>
      <c r="AF6" s="3" t="n"/>
      <c r="AG6" s="3" t="n"/>
    </row>
    <row r="7" ht="41.4" customHeight="1">
      <c r="A7" s="3" t="n">
        <v>6</v>
      </c>
      <c r="B7" s="3" t="inlineStr">
        <is>
          <t>planning</t>
        </is>
      </c>
      <c r="C7" s="3" t="inlineStr">
        <is>
          <t>hard</t>
        </is>
      </c>
      <c r="D7" s="3" t="inlineStr">
        <is>
          <t>EN</t>
        </is>
      </c>
      <c r="E7" s="3" t="inlineStr">
        <is>
          <t>Can you plan my next semester?</t>
        </is>
      </c>
      <c r="F7" s="3" t="inlineStr">
        <is>
          <t>Should ask for missing constraints or provide a cautious partial plan based on selected program/semester.</t>
        </is>
      </c>
      <c r="G7" s="3" t="inlineStr">
        <is>
          <t>Mixed</t>
        </is>
      </c>
      <c r="H7" s="3" t="inlineStr">
        <is>
          <t>API + possibly clarification</t>
        </is>
      </c>
      <c r="I7" s="3" t="inlineStr">
        <is>
          <t>DB + user context</t>
        </is>
      </c>
      <c r="J7" s="3" t="inlineStr">
        <is>
          <t>missing info handling</t>
        </is>
      </c>
      <c r="K7" s="3" t="inlineStr">
        <is>
          <t>Existing sample question; evaluate refusal/clarification behavior.</t>
        </is>
      </c>
      <c r="L7" s="3" t="n"/>
      <c r="M7" s="3" t="n"/>
      <c r="N7" s="3" t="n"/>
      <c r="O7" s="3" t="n"/>
      <c r="P7" s="3" t="n"/>
      <c r="Q7" s="3" t="n"/>
      <c r="R7" s="3" t="n"/>
      <c r="S7" s="3" t="n"/>
      <c r="T7" s="3" t="n"/>
      <c r="U7" s="3" t="n"/>
      <c r="V7" s="3" t="n"/>
      <c r="W7" s="3" t="n"/>
      <c r="X7" s="3" t="n"/>
      <c r="Y7" s="3" t="n"/>
      <c r="Z7" s="3" t="n"/>
      <c r="AA7" s="3" t="n"/>
      <c r="AB7" s="3" t="n"/>
      <c r="AC7" s="3" t="n"/>
      <c r="AD7" s="3" t="n"/>
      <c r="AE7" s="3" t="n"/>
      <c r="AF7" s="3" t="n"/>
      <c r="AG7" s="3" t="n"/>
    </row>
    <row r="8" ht="27.6" customHeight="1">
      <c r="A8" s="3" t="n">
        <v>7</v>
      </c>
      <c r="B8" s="3" t="inlineStr">
        <is>
          <t>course_facts</t>
        </is>
      </c>
      <c r="C8" s="3" t="inlineStr">
        <is>
          <t>easy</t>
        </is>
      </c>
      <c r="D8" s="3" t="inlineStr">
        <is>
          <t>EN</t>
        </is>
      </c>
      <c r="E8" s="3" t="inlineStr">
        <is>
          <t>How many ECTS does UE-F23.00128 have?</t>
        </is>
      </c>
      <c r="F8" s="3" t="inlineStr">
        <is>
          <t>Exact value from Course/CourseOffering records.</t>
        </is>
      </c>
      <c r="G8" s="3" t="inlineStr">
        <is>
          <t>DB</t>
        </is>
      </c>
      <c r="H8" s="3" t="inlineStr">
        <is>
          <t>API /courses/:code</t>
        </is>
      </c>
      <c r="I8" s="3" t="inlineStr">
        <is>
          <t>Course, CourseOffering, teaches, is_taught_in</t>
        </is>
      </c>
      <c r="J8" s="3" t="inlineStr">
        <is>
          <t>ECTS</t>
        </is>
      </c>
      <c r="K8" s="3" t="inlineStr">
        <is>
          <t>Replace {COURSE_CODE} with a real course code from your DB.</t>
        </is>
      </c>
      <c r="L8" s="3" t="n"/>
      <c r="M8" s="3" t="n"/>
      <c r="N8" s="3" t="n"/>
      <c r="O8" s="3" t="n"/>
      <c r="P8" s="3" t="n"/>
      <c r="Q8" s="3" t="n"/>
      <c r="R8" s="3" t="n"/>
      <c r="S8" s="3" t="n"/>
      <c r="T8" s="3" t="n"/>
      <c r="U8" s="3" t="n"/>
      <c r="V8" s="3" t="n"/>
      <c r="W8" s="3" t="n"/>
      <c r="X8" s="3" t="n"/>
      <c r="Y8" s="3" t="n"/>
      <c r="Z8" s="3" t="n"/>
      <c r="AA8" s="3" t="n"/>
      <c r="AB8" s="3" t="n"/>
      <c r="AC8" s="3" t="n"/>
      <c r="AD8" s="3" t="n"/>
      <c r="AE8" s="3" t="n"/>
      <c r="AF8" s="3" t="n"/>
      <c r="AG8" s="3" t="n"/>
    </row>
    <row r="9" ht="27.6" customHeight="1">
      <c r="A9" s="3" t="n">
        <v>8</v>
      </c>
      <c r="B9" s="3" t="inlineStr">
        <is>
          <t>course_facts</t>
        </is>
      </c>
      <c r="C9" s="3" t="inlineStr">
        <is>
          <t>easy</t>
        </is>
      </c>
      <c r="D9" s="3" t="inlineStr">
        <is>
          <t>EN</t>
        </is>
      </c>
      <c r="E9" s="3" t="inlineStr">
        <is>
          <t>What is the title of course UE-SMH.03303?</t>
        </is>
      </c>
      <c r="F9" s="3" t="inlineStr">
        <is>
          <t>Exact value from Course/CourseOffering records.</t>
        </is>
      </c>
      <c r="G9" s="3" t="inlineStr">
        <is>
          <t>DB</t>
        </is>
      </c>
      <c r="H9" s="3" t="inlineStr">
        <is>
          <t>API /courses/:code</t>
        </is>
      </c>
      <c r="I9" s="3" t="inlineStr">
        <is>
          <t>Course, CourseOffering, teaches, is_taught_in</t>
        </is>
      </c>
      <c r="J9" s="3" t="inlineStr">
        <is>
          <t>course title</t>
        </is>
      </c>
      <c r="K9" s="3" t="inlineStr">
        <is>
          <t>Replace {COURSE_CODE} with a real course code from your DB.</t>
        </is>
      </c>
      <c r="L9" s="3" t="n"/>
      <c r="M9" s="3" t="n"/>
      <c r="N9" s="3" t="n"/>
      <c r="O9" s="3" t="n"/>
      <c r="P9" s="3" t="n"/>
      <c r="Q9" s="3" t="n"/>
      <c r="R9" s="3" t="n"/>
      <c r="S9" s="3" t="n"/>
      <c r="T9" s="3" t="n"/>
      <c r="U9" s="3" t="n"/>
      <c r="V9" s="3" t="n"/>
      <c r="W9" s="3" t="n"/>
      <c r="X9" s="3" t="n"/>
      <c r="Y9" s="3" t="n"/>
      <c r="Z9" s="3" t="n"/>
      <c r="AA9" s="3" t="n"/>
      <c r="AB9" s="3" t="n"/>
      <c r="AC9" s="3" t="n"/>
      <c r="AD9" s="3" t="n"/>
      <c r="AE9" s="3" t="n"/>
      <c r="AF9" s="3" t="n"/>
      <c r="AG9" s="3" t="n"/>
    </row>
    <row r="10" ht="27.6" customHeight="1">
      <c r="A10" s="3" t="n">
        <v>9</v>
      </c>
      <c r="B10" s="3" t="inlineStr">
        <is>
          <t>course_facts</t>
        </is>
      </c>
      <c r="C10" s="3" t="inlineStr">
        <is>
          <t>easy</t>
        </is>
      </c>
      <c r="D10" s="3" t="inlineStr">
        <is>
          <t>EN</t>
        </is>
      </c>
      <c r="E10" s="3" t="inlineStr">
        <is>
          <t>What is the description of course UE-L15.02297?</t>
        </is>
      </c>
      <c r="F10" s="3" t="inlineStr">
        <is>
          <t>Exact value from Course/CourseOffering records.</t>
        </is>
      </c>
      <c r="G10" s="3" t="inlineStr">
        <is>
          <t>DB</t>
        </is>
      </c>
      <c r="H10" s="3" t="inlineStr">
        <is>
          <t>API /courses/:code</t>
        </is>
      </c>
      <c r="I10" s="3" t="inlineStr">
        <is>
          <t>Course, CourseOffering, teaches, is_taught_in</t>
        </is>
      </c>
      <c r="J10" s="3" t="inlineStr">
        <is>
          <t>description</t>
        </is>
      </c>
      <c r="K10" s="3" t="inlineStr">
        <is>
          <t>Replace {COURSE_CODE} with a real course code from your DB.</t>
        </is>
      </c>
      <c r="L10" s="3" t="n"/>
      <c r="M10" s="3" t="n"/>
      <c r="N10" s="3" t="n"/>
      <c r="O10" s="3" t="n"/>
      <c r="P10" s="3" t="n"/>
      <c r="Q10" s="3" t="n"/>
      <c r="R10" s="3" t="n"/>
      <c r="S10" s="3" t="n"/>
      <c r="T10" s="3" t="n"/>
      <c r="U10" s="3" t="n"/>
      <c r="V10" s="3" t="n"/>
      <c r="W10" s="3" t="n"/>
      <c r="X10" s="3" t="n"/>
      <c r="Y10" s="3" t="n"/>
      <c r="Z10" s="3" t="n"/>
      <c r="AA10" s="3" t="n"/>
      <c r="AB10" s="3" t="n"/>
      <c r="AC10" s="3" t="n"/>
      <c r="AD10" s="3" t="n"/>
      <c r="AE10" s="3" t="n"/>
      <c r="AF10" s="3" t="n"/>
      <c r="AG10" s="3" t="n"/>
    </row>
    <row r="11" ht="27.6" customHeight="1">
      <c r="A11" s="3" t="n">
        <v>10</v>
      </c>
      <c r="B11" s="3" t="inlineStr">
        <is>
          <t>course_facts</t>
        </is>
      </c>
      <c r="C11" s="3" t="inlineStr">
        <is>
          <t>easy</t>
        </is>
      </c>
      <c r="D11" s="3" t="inlineStr">
        <is>
          <t>EN</t>
        </is>
      </c>
      <c r="E11" s="3" t="inlineStr">
        <is>
          <t>What are the learning goals of UE-SCH.01084?</t>
        </is>
      </c>
      <c r="F11" s="3" t="inlineStr">
        <is>
          <t>Exact value from Course/CourseOffering records.</t>
        </is>
      </c>
      <c r="G11" s="3" t="inlineStr">
        <is>
          <t>DB</t>
        </is>
      </c>
      <c r="H11" s="3" t="inlineStr">
        <is>
          <t>API /courses/:code</t>
        </is>
      </c>
      <c r="I11" s="3" t="inlineStr">
        <is>
          <t>Course, CourseOffering, teaches, is_taught_in</t>
        </is>
      </c>
      <c r="J11" s="3" t="inlineStr">
        <is>
          <t>learning goals</t>
        </is>
      </c>
      <c r="K11" s="3" t="inlineStr">
        <is>
          <t>Replace {COURSE_CODE} with a real course code from your DB.</t>
        </is>
      </c>
      <c r="L11" s="3" t="n"/>
      <c r="M11" s="3" t="n"/>
      <c r="N11" s="3" t="n"/>
      <c r="O11" s="3" t="n"/>
      <c r="P11" s="3" t="n"/>
      <c r="Q11" s="3" t="n"/>
      <c r="R11" s="3" t="n"/>
      <c r="S11" s="3" t="n"/>
      <c r="T11" s="3" t="n"/>
      <c r="U11" s="3" t="n"/>
      <c r="V11" s="3" t="n"/>
      <c r="W11" s="3" t="n"/>
      <c r="X11" s="3" t="n"/>
      <c r="Y11" s="3" t="n"/>
      <c r="Z11" s="3" t="n"/>
      <c r="AA11" s="3" t="n"/>
      <c r="AB11" s="3" t="n"/>
      <c r="AC11" s="3" t="n"/>
      <c r="AD11" s="3" t="n"/>
      <c r="AE11" s="3" t="n"/>
      <c r="AF11" s="3" t="n"/>
      <c r="AG11" s="3" t="n"/>
    </row>
    <row r="12" ht="27.6" customHeight="1">
      <c r="A12" s="3" t="n">
        <v>11</v>
      </c>
      <c r="B12" s="3" t="inlineStr">
        <is>
          <t>course_facts</t>
        </is>
      </c>
      <c r="C12" s="3" t="inlineStr">
        <is>
          <t>easy</t>
        </is>
      </c>
      <c r="D12" s="3" t="inlineStr">
        <is>
          <t>EN</t>
        </is>
      </c>
      <c r="E12" s="3" t="inlineStr">
        <is>
          <t>Who teaches UE-L15.01360?</t>
        </is>
      </c>
      <c r="F12" s="3" t="inlineStr">
        <is>
          <t>Exact value from Course/CourseOffering records.</t>
        </is>
      </c>
      <c r="G12" s="3" t="inlineStr">
        <is>
          <t>DB</t>
        </is>
      </c>
      <c r="H12" s="3" t="inlineStr">
        <is>
          <t>API /courses/:code</t>
        </is>
      </c>
      <c r="I12" s="3" t="inlineStr">
        <is>
          <t>Course, CourseOffering, teaches, is_taught_in</t>
        </is>
      </c>
      <c r="J12" s="3" t="inlineStr">
        <is>
          <t>professor/instructor</t>
        </is>
      </c>
      <c r="K12" s="3" t="inlineStr">
        <is>
          <t>Replace {COURSE_CODE} with a real course code from your DB.</t>
        </is>
      </c>
      <c r="L12" s="3" t="n"/>
      <c r="M12" s="3" t="n"/>
      <c r="N12" s="3" t="n"/>
      <c r="O12" s="3" t="n"/>
      <c r="P12" s="3" t="n"/>
      <c r="Q12" s="3" t="n"/>
      <c r="R12" s="3" t="n"/>
      <c r="S12" s="3" t="n"/>
      <c r="T12" s="3" t="n"/>
      <c r="U12" s="3" t="n"/>
      <c r="V12" s="3" t="n"/>
      <c r="W12" s="3" t="n"/>
      <c r="X12" s="3" t="n"/>
      <c r="Y12" s="3" t="n"/>
      <c r="Z12" s="3" t="n"/>
      <c r="AA12" s="3" t="n"/>
      <c r="AB12" s="3" t="n"/>
      <c r="AC12" s="3" t="n"/>
      <c r="AD12" s="3" t="n"/>
      <c r="AE12" s="3" t="n"/>
      <c r="AF12" s="3" t="n"/>
      <c r="AG12" s="3" t="n"/>
    </row>
    <row r="13" ht="27.6" customHeight="1">
      <c r="A13" s="3" t="n">
        <v>12</v>
      </c>
      <c r="B13" s="3" t="inlineStr">
        <is>
          <t>course_facts</t>
        </is>
      </c>
      <c r="C13" s="3" t="inlineStr">
        <is>
          <t>easy</t>
        </is>
      </c>
      <c r="D13" s="3" t="inlineStr">
        <is>
          <t>EN</t>
        </is>
      </c>
      <c r="E13" s="3" t="inlineStr">
        <is>
          <t>In which language is UE-F24.00756 taught?</t>
        </is>
      </c>
      <c r="F13" s="3" t="inlineStr">
        <is>
          <t>Exact value from Course/CourseOffering records.</t>
        </is>
      </c>
      <c r="G13" s="3" t="inlineStr">
        <is>
          <t>DB</t>
        </is>
      </c>
      <c r="H13" s="3" t="inlineStr">
        <is>
          <t>API /courses/:code</t>
        </is>
      </c>
      <c r="I13" s="3" t="inlineStr">
        <is>
          <t>Course, CourseOffering, teaches, is_taught_in</t>
        </is>
      </c>
      <c r="J13" s="3" t="inlineStr">
        <is>
          <t>language</t>
        </is>
      </c>
      <c r="K13" s="3" t="inlineStr">
        <is>
          <t>Replace {COURSE_CODE} with a real course code from your DB.</t>
        </is>
      </c>
      <c r="L13" s="3" t="n"/>
      <c r="M13" s="3" t="n"/>
      <c r="N13" s="3" t="n"/>
      <c r="O13" s="3" t="n"/>
      <c r="P13" s="3" t="n"/>
      <c r="Q13" s="3" t="n"/>
      <c r="R13" s="3" t="n"/>
      <c r="S13" s="3" t="n"/>
      <c r="T13" s="3" t="n"/>
      <c r="U13" s="3" t="n"/>
      <c r="V13" s="3" t="n"/>
      <c r="W13" s="3" t="n"/>
      <c r="X13" s="3" t="n"/>
      <c r="Y13" s="3" t="n"/>
      <c r="Z13" s="3" t="n"/>
      <c r="AA13" s="3" t="n"/>
      <c r="AB13" s="3" t="n"/>
      <c r="AC13" s="3" t="n"/>
      <c r="AD13" s="3" t="n"/>
      <c r="AE13" s="3" t="n"/>
      <c r="AF13" s="3" t="n"/>
      <c r="AG13" s="3" t="n"/>
    </row>
    <row r="14" ht="27.6" customHeight="1">
      <c r="A14" s="3" t="n">
        <v>13</v>
      </c>
      <c r="B14" s="3" t="inlineStr">
        <is>
          <t>course_facts</t>
        </is>
      </c>
      <c r="C14" s="3" t="inlineStr">
        <is>
          <t>easy</t>
        </is>
      </c>
      <c r="D14" s="3" t="inlineStr">
        <is>
          <t>EN</t>
        </is>
      </c>
      <c r="E14" s="3" t="inlineStr">
        <is>
          <t>Is UE-L14.02290 marked as a soft-skills course?</t>
        </is>
      </c>
      <c r="F14" s="3" t="inlineStr">
        <is>
          <t>Exact value from Course/CourseOffering records.</t>
        </is>
      </c>
      <c r="G14" s="3" t="inlineStr">
        <is>
          <t>DB</t>
        </is>
      </c>
      <c r="H14" s="3" t="inlineStr">
        <is>
          <t>API /courses/:code</t>
        </is>
      </c>
      <c r="I14" s="3" t="inlineStr">
        <is>
          <t>Course, CourseOffering, teaches, is_taught_in</t>
        </is>
      </c>
      <c r="J14" s="3" t="inlineStr">
        <is>
          <t>soft_skills flag</t>
        </is>
      </c>
      <c r="K14" s="3" t="inlineStr">
        <is>
          <t>Replace {COURSE_CODE} with a real course code from your DB.</t>
        </is>
      </c>
      <c r="L14" s="3" t="n"/>
      <c r="M14" s="3" t="n"/>
      <c r="N14" s="3" t="n"/>
      <c r="O14" s="3" t="n"/>
      <c r="P14" s="3" t="n"/>
      <c r="Q14" s="3" t="n"/>
      <c r="R14" s="3" t="n"/>
      <c r="S14" s="3" t="n"/>
      <c r="T14" s="3" t="n"/>
      <c r="U14" s="3" t="n"/>
      <c r="V14" s="3" t="n"/>
      <c r="W14" s="3" t="n"/>
      <c r="X14" s="3" t="n"/>
      <c r="Y14" s="3" t="n"/>
      <c r="Z14" s="3" t="n"/>
      <c r="AA14" s="3" t="n"/>
      <c r="AB14" s="3" t="n"/>
      <c r="AC14" s="3" t="n"/>
      <c r="AD14" s="3" t="n"/>
      <c r="AE14" s="3" t="n"/>
      <c r="AF14" s="3" t="n"/>
      <c r="AG14" s="3" t="n"/>
    </row>
    <row r="15" ht="27.6" customHeight="1">
      <c r="A15" s="3" t="n">
        <v>14</v>
      </c>
      <c r="B15" s="3" t="inlineStr">
        <is>
          <t>course_facts</t>
        </is>
      </c>
      <c r="C15" s="3" t="inlineStr">
        <is>
          <t>easy</t>
        </is>
      </c>
      <c r="D15" s="3" t="inlineStr">
        <is>
          <t>EN</t>
        </is>
      </c>
      <c r="E15" s="3" t="inlineStr">
        <is>
          <t>Is UE-L37.01417 mobility-friendly?</t>
        </is>
      </c>
      <c r="F15" s="3" t="inlineStr">
        <is>
          <t>Exact value from Course/CourseOffering records.</t>
        </is>
      </c>
      <c r="G15" s="3" t="inlineStr">
        <is>
          <t>DB</t>
        </is>
      </c>
      <c r="H15" s="3" t="inlineStr">
        <is>
          <t>API /courses/:code</t>
        </is>
      </c>
      <c r="I15" s="3" t="inlineStr">
        <is>
          <t>Course, CourseOffering, teaches, is_taught_in</t>
        </is>
      </c>
      <c r="J15" s="3" t="inlineStr">
        <is>
          <t>mobility flag</t>
        </is>
      </c>
      <c r="K15" s="3" t="inlineStr">
        <is>
          <t>Replace {COURSE_CODE} with a real course code from your DB.</t>
        </is>
      </c>
      <c r="L15" s="3" t="n"/>
      <c r="M15" s="3" t="n"/>
      <c r="N15" s="3" t="n"/>
      <c r="O15" s="3" t="n"/>
      <c r="P15" s="3" t="n"/>
      <c r="Q15" s="3" t="n"/>
      <c r="R15" s="3" t="n"/>
      <c r="S15" s="3" t="n"/>
      <c r="T15" s="3" t="n"/>
      <c r="U15" s="3" t="n"/>
      <c r="V15" s="3" t="n"/>
      <c r="W15" s="3" t="n"/>
      <c r="X15" s="3" t="n"/>
      <c r="Y15" s="3" t="n"/>
      <c r="Z15" s="3" t="n"/>
      <c r="AA15" s="3" t="n"/>
      <c r="AB15" s="3" t="n"/>
      <c r="AC15" s="3" t="n"/>
      <c r="AD15" s="3" t="n"/>
      <c r="AE15" s="3" t="n"/>
      <c r="AF15" s="3" t="n"/>
      <c r="AG15" s="3" t="n"/>
    </row>
    <row r="16" ht="27.6" customHeight="1">
      <c r="A16" s="3" t="n">
        <v>15</v>
      </c>
      <c r="B16" s="3" t="inlineStr">
        <is>
          <t>schedule_datetime</t>
        </is>
      </c>
      <c r="C16" s="3" t="inlineStr">
        <is>
          <t>medium</t>
        </is>
      </c>
      <c r="D16" s="3" t="inlineStr">
        <is>
          <t>EN</t>
        </is>
      </c>
      <c r="E16" s="3" t="inlineStr">
        <is>
          <t>When does UE-L26.00318 take place in HS-2026?</t>
        </is>
      </c>
      <c r="F16" s="3" t="inlineStr">
        <is>
          <t>Exact schedule/evaluation information or explicit not available.</t>
        </is>
      </c>
      <c r="G16" s="3" t="inlineStr">
        <is>
          <t>DB</t>
        </is>
      </c>
      <c r="H16" s="3" t="inlineStr">
        <is>
          <t>API /planner or /courses/:code/offerings</t>
        </is>
      </c>
      <c r="I16" s="3" t="inlineStr">
        <is>
          <t>CourseOffering, Session, Evaluation</t>
        </is>
      </c>
      <c r="J16" s="3" t="inlineStr">
        <is>
          <t>date/time</t>
        </is>
      </c>
      <c r="K16" s="3" t="inlineStr">
        <is>
          <t>Replace placeholders with real DB values.</t>
        </is>
      </c>
      <c r="L16" s="3" t="n"/>
      <c r="M16" s="3" t="n"/>
      <c r="N16" s="3" t="n"/>
      <c r="O16" s="3" t="n"/>
      <c r="P16" s="3" t="n"/>
      <c r="Q16" s="3" t="n"/>
      <c r="R16" s="3" t="n"/>
      <c r="S16" s="3" t="n"/>
      <c r="T16" s="3" t="n"/>
      <c r="U16" s="3" t="n"/>
      <c r="V16" s="3" t="n"/>
      <c r="W16" s="3" t="n"/>
      <c r="X16" s="3" t="n"/>
      <c r="Y16" s="3" t="n"/>
      <c r="Z16" s="3" t="n"/>
      <c r="AA16" s="3" t="n"/>
      <c r="AB16" s="3" t="n"/>
      <c r="AC16" s="3" t="n"/>
      <c r="AD16" s="3" t="n"/>
      <c r="AE16" s="3" t="n"/>
      <c r="AF16" s="3" t="n"/>
      <c r="AG16" s="3" t="n"/>
    </row>
    <row r="17" ht="27.6" customHeight="1">
      <c r="A17" s="3" t="n">
        <v>16</v>
      </c>
      <c r="B17" s="3" t="inlineStr">
        <is>
          <t>schedule_datetime</t>
        </is>
      </c>
      <c r="C17" s="3" t="inlineStr">
        <is>
          <t>medium</t>
        </is>
      </c>
      <c r="D17" s="3" t="inlineStr">
        <is>
          <t>EN</t>
        </is>
      </c>
      <c r="E17" s="3" t="inlineStr">
        <is>
          <t>On which weekday is UE-EKM.01125 held in HS-2026?</t>
        </is>
      </c>
      <c r="F17" s="3" t="inlineStr">
        <is>
          <t>Exact schedule/evaluation information or explicit not available.</t>
        </is>
      </c>
      <c r="G17" s="3" t="inlineStr">
        <is>
          <t>DB</t>
        </is>
      </c>
      <c r="H17" s="3" t="inlineStr">
        <is>
          <t>API /planner or /courses/:code/offerings</t>
        </is>
      </c>
      <c r="I17" s="3" t="inlineStr">
        <is>
          <t>CourseOffering, Session, Evaluation</t>
        </is>
      </c>
      <c r="J17" s="3" t="inlineStr">
        <is>
          <t>weekday</t>
        </is>
      </c>
      <c r="K17" s="3" t="inlineStr">
        <is>
          <t>Replace placeholders with real DB values.</t>
        </is>
      </c>
      <c r="L17" s="3" t="n"/>
      <c r="M17" s="3" t="n"/>
      <c r="N17" s="3" t="n"/>
      <c r="O17" s="3" t="n"/>
      <c r="P17" s="3" t="n"/>
      <c r="Q17" s="3" t="n"/>
      <c r="R17" s="3" t="n"/>
      <c r="S17" s="3" t="n"/>
      <c r="T17" s="3" t="n"/>
      <c r="U17" s="3" t="n"/>
      <c r="V17" s="3" t="n"/>
      <c r="W17" s="3" t="n"/>
      <c r="X17" s="3" t="n"/>
      <c r="Y17" s="3" t="n"/>
      <c r="Z17" s="3" t="n"/>
      <c r="AA17" s="3" t="n"/>
      <c r="AB17" s="3" t="n"/>
      <c r="AC17" s="3" t="n"/>
      <c r="AD17" s="3" t="n"/>
      <c r="AE17" s="3" t="n"/>
      <c r="AF17" s="3" t="n"/>
      <c r="AG17" s="3" t="n"/>
    </row>
    <row r="18" ht="27.6" customHeight="1">
      <c r="A18" s="3" t="n">
        <v>17</v>
      </c>
      <c r="B18" s="3" t="inlineStr">
        <is>
          <t>schedule_datetime</t>
        </is>
      </c>
      <c r="C18" s="3" t="inlineStr">
        <is>
          <t>medium</t>
        </is>
      </c>
      <c r="D18" s="3" t="inlineStr">
        <is>
          <t>EN</t>
        </is>
      </c>
      <c r="E18" s="3" t="inlineStr">
        <is>
          <t>Where does UE-L37.00927 take place in FS-2026?</t>
        </is>
      </c>
      <c r="F18" s="3" t="inlineStr">
        <is>
          <t>Exact schedule/evaluation information or explicit not available.</t>
        </is>
      </c>
      <c r="G18" s="3" t="inlineStr">
        <is>
          <t>DB</t>
        </is>
      </c>
      <c r="H18" s="3" t="inlineStr">
        <is>
          <t>API /planner or /courses/:code/offerings</t>
        </is>
      </c>
      <c r="I18" s="3" t="inlineStr">
        <is>
          <t>CourseOffering, Session, Evaluation</t>
        </is>
      </c>
      <c r="J18" s="3" t="inlineStr">
        <is>
          <t>room</t>
        </is>
      </c>
      <c r="K18" s="3" t="inlineStr">
        <is>
          <t>Replace placeholders with real DB values.</t>
        </is>
      </c>
      <c r="L18" s="3" t="n"/>
      <c r="M18" s="3" t="n"/>
      <c r="N18" s="3" t="n"/>
      <c r="O18" s="3" t="n"/>
      <c r="P18" s="3" t="n"/>
      <c r="Q18" s="3" t="n"/>
      <c r="R18" s="3" t="n"/>
      <c r="S18" s="3" t="n"/>
      <c r="T18" s="3" t="n"/>
      <c r="U18" s="3" t="n"/>
      <c r="V18" s="3" t="n"/>
      <c r="W18" s="3" t="n"/>
      <c r="X18" s="3" t="n"/>
      <c r="Y18" s="3" t="n"/>
      <c r="Z18" s="3" t="n"/>
      <c r="AA18" s="3" t="n"/>
      <c r="AB18" s="3" t="n"/>
      <c r="AC18" s="3" t="n"/>
      <c r="AD18" s="3" t="n"/>
      <c r="AE18" s="3" t="n"/>
      <c r="AF18" s="3" t="n"/>
      <c r="AG18" s="3" t="n"/>
    </row>
    <row r="19" ht="27.6" customHeight="1">
      <c r="A19" s="3" t="n">
        <v>18</v>
      </c>
      <c r="B19" s="3" t="inlineStr">
        <is>
          <t>schedule_datetime</t>
        </is>
      </c>
      <c r="C19" s="3" t="inlineStr">
        <is>
          <t>medium</t>
        </is>
      </c>
      <c r="D19" s="3" t="inlineStr">
        <is>
          <t>EN</t>
        </is>
      </c>
      <c r="E19" s="3" t="inlineStr">
        <is>
          <t>Is UE-F22.00184 a weekly course or a block course in FS-2026?</t>
        </is>
      </c>
      <c r="F19" s="3" t="inlineStr">
        <is>
          <t>Exact schedule/evaluation information or explicit not available.</t>
        </is>
      </c>
      <c r="G19" s="3" t="inlineStr">
        <is>
          <t>DB</t>
        </is>
      </c>
      <c r="H19" s="3" t="inlineStr">
        <is>
          <t>API /planner or /courses/:code/offerings</t>
        </is>
      </c>
      <c r="I19" s="3" t="inlineStr">
        <is>
          <t>CourseOffering, Session, Evaluation</t>
        </is>
      </c>
      <c r="J19" s="3" t="inlineStr">
        <is>
          <t>offering type</t>
        </is>
      </c>
      <c r="K19" s="3" t="inlineStr">
        <is>
          <t>Replace placeholders with real DB values.</t>
        </is>
      </c>
      <c r="L19" s="3" t="n"/>
      <c r="M19" s="3" t="n"/>
      <c r="N19" s="3" t="n"/>
      <c r="O19" s="3" t="n"/>
      <c r="P19" s="3" t="n"/>
      <c r="Q19" s="3" t="n"/>
      <c r="R19" s="3" t="n"/>
      <c r="S19" s="3" t="n"/>
      <c r="T19" s="3" t="n"/>
      <c r="U19" s="3" t="n"/>
      <c r="V19" s="3" t="n"/>
      <c r="W19" s="3" t="n"/>
      <c r="X19" s="3" t="n"/>
      <c r="Y19" s="3" t="n"/>
      <c r="Z19" s="3" t="n"/>
      <c r="AA19" s="3" t="n"/>
      <c r="AB19" s="3" t="n"/>
      <c r="AC19" s="3" t="n"/>
      <c r="AD19" s="3" t="n"/>
      <c r="AE19" s="3" t="n"/>
      <c r="AF19" s="3" t="n"/>
      <c r="AG19" s="3" t="n"/>
    </row>
    <row r="20" ht="27.6" customHeight="1">
      <c r="A20" s="3" t="n">
        <v>19</v>
      </c>
      <c r="B20" s="3" t="inlineStr">
        <is>
          <t>schedule_datetime</t>
        </is>
      </c>
      <c r="C20" s="3" t="inlineStr">
        <is>
          <t>medium</t>
        </is>
      </c>
      <c r="D20" s="3" t="inlineStr">
        <is>
          <t>EN</t>
        </is>
      </c>
      <c r="E20" s="3" t="inlineStr">
        <is>
          <t>What sessions are listed for 	UE-I08.00010 in FS-2026?</t>
        </is>
      </c>
      <c r="F20" s="3" t="inlineStr">
        <is>
          <t>Exact schedule/evaluation information or explicit not available.</t>
        </is>
      </c>
      <c r="G20" s="3" t="inlineStr">
        <is>
          <t>DB</t>
        </is>
      </c>
      <c r="H20" s="3" t="inlineStr">
        <is>
          <t>API /planner or /courses/:code/offerings</t>
        </is>
      </c>
      <c r="I20" s="3" t="inlineStr">
        <is>
          <t>CourseOffering, Session, Evaluation</t>
        </is>
      </c>
      <c r="J20" s="3" t="inlineStr">
        <is>
          <t>session list</t>
        </is>
      </c>
      <c r="K20" s="3" t="inlineStr">
        <is>
          <t>Replace placeholders with real DB values.</t>
        </is>
      </c>
      <c r="L20" s="3" t="n"/>
      <c r="M20" s="3" t="n"/>
      <c r="N20" s="3" t="n"/>
      <c r="O20" s="3" t="n"/>
      <c r="P20" s="3" t="n"/>
      <c r="Q20" s="3" t="n"/>
      <c r="R20" s="3" t="n"/>
      <c r="S20" s="3" t="n"/>
      <c r="T20" s="3" t="n"/>
      <c r="U20" s="3" t="n"/>
      <c r="V20" s="3" t="n"/>
      <c r="W20" s="3" t="n"/>
      <c r="X20" s="3" t="n"/>
      <c r="Y20" s="3" t="n"/>
      <c r="Z20" s="3" t="n"/>
      <c r="AA20" s="3" t="n"/>
      <c r="AB20" s="3" t="n"/>
      <c r="AC20" s="3" t="n"/>
      <c r="AD20" s="3" t="n"/>
      <c r="AE20" s="3" t="n"/>
      <c r="AF20" s="3" t="n"/>
      <c r="AG20" s="3" t="n"/>
    </row>
    <row r="21" ht="27.6" customHeight="1">
      <c r="A21" s="3" t="n">
        <v>20</v>
      </c>
      <c r="B21" s="3" t="inlineStr">
        <is>
          <t>schedule_datetime</t>
        </is>
      </c>
      <c r="C21" s="3" t="inlineStr">
        <is>
          <t>medium</t>
        </is>
      </c>
      <c r="D21" s="3" t="inlineStr">
        <is>
          <t>EN</t>
        </is>
      </c>
      <c r="E21" s="3" t="inlineStr">
        <is>
          <t>When is the evaluation or exam for UE-SBC.07109 in HS-2026?</t>
        </is>
      </c>
      <c r="F21" s="3" t="inlineStr">
        <is>
          <t>Exact schedule/evaluation information or explicit not available.</t>
        </is>
      </c>
      <c r="G21" s="3" t="inlineStr">
        <is>
          <t>DB</t>
        </is>
      </c>
      <c r="H21" s="3" t="inlineStr">
        <is>
          <t>API /planner or /courses/:code/offerings</t>
        </is>
      </c>
      <c r="I21" s="3" t="inlineStr">
        <is>
          <t>CourseOffering, Session, Evaluation</t>
        </is>
      </c>
      <c r="J21" s="3" t="inlineStr">
        <is>
          <t>evaluation date/time</t>
        </is>
      </c>
      <c r="K21" s="3" t="inlineStr">
        <is>
          <t>Replace placeholders with real DB values.</t>
        </is>
      </c>
      <c r="L21" s="3" t="n"/>
      <c r="M21" s="3" t="n"/>
      <c r="N21" s="3" t="n"/>
      <c r="O21" s="3" t="n"/>
      <c r="P21" s="3" t="n"/>
      <c r="Q21" s="3" t="n"/>
      <c r="R21" s="3" t="n"/>
      <c r="S21" s="3" t="n"/>
      <c r="T21" s="3" t="n"/>
      <c r="U21" s="3" t="n"/>
      <c r="V21" s="3" t="n"/>
      <c r="W21" s="3" t="n"/>
      <c r="X21" s="3" t="n"/>
      <c r="Y21" s="3" t="n"/>
      <c r="Z21" s="3" t="n"/>
      <c r="AA21" s="3" t="n"/>
      <c r="AB21" s="3" t="n"/>
      <c r="AC21" s="3" t="n"/>
      <c r="AD21" s="3" t="n"/>
      <c r="AE21" s="3" t="n"/>
      <c r="AF21" s="3" t="n"/>
      <c r="AG21" s="3" t="n"/>
    </row>
    <row r="22" ht="27.6" customHeight="1">
      <c r="A22" s="3" t="n">
        <v>21</v>
      </c>
      <c r="B22" s="3" t="inlineStr">
        <is>
          <t>schedule_datetime</t>
        </is>
      </c>
      <c r="C22" s="3" t="inlineStr">
        <is>
          <t>medium</t>
        </is>
      </c>
      <c r="D22" s="3" t="inlineStr">
        <is>
          <t>EN</t>
        </is>
      </c>
      <c r="E22" s="3" t="inlineStr">
        <is>
          <t>Which courses in FS-2026 happen on Monday?</t>
        </is>
      </c>
      <c r="F22" s="3" t="inlineStr">
        <is>
          <t>Exact schedule/evaluation information or explicit not available.</t>
        </is>
      </c>
      <c r="G22" s="3" t="inlineStr">
        <is>
          <t>DB</t>
        </is>
      </c>
      <c r="H22" s="3" t="inlineStr">
        <is>
          <t>API /planner or /courses/:code/offerings</t>
        </is>
      </c>
      <c r="I22" s="3" t="inlineStr">
        <is>
          <t>CourseOffering, Session, Evaluation</t>
        </is>
      </c>
      <c r="J22" s="3" t="inlineStr">
        <is>
          <t>course list</t>
        </is>
      </c>
      <c r="K22" s="3" t="inlineStr">
        <is>
          <t>Replace placeholders with real DB values.</t>
        </is>
      </c>
      <c r="L22" s="3" t="n"/>
      <c r="M22" s="3" t="n"/>
      <c r="N22" s="3" t="n"/>
      <c r="O22" s="3" t="n"/>
      <c r="P22" s="3" t="n"/>
      <c r="Q22" s="3" t="n"/>
      <c r="R22" s="3" t="n"/>
      <c r="S22" s="3" t="n"/>
      <c r="T22" s="3" t="n"/>
      <c r="U22" s="3" t="n"/>
      <c r="V22" s="3" t="n"/>
      <c r="W22" s="3" t="n"/>
      <c r="X22" s="3" t="n"/>
      <c r="Y22" s="3" t="n"/>
      <c r="Z22" s="3" t="n"/>
      <c r="AA22" s="3" t="n"/>
      <c r="AB22" s="3" t="n"/>
      <c r="AC22" s="3" t="n"/>
      <c r="AD22" s="3" t="n"/>
      <c r="AE22" s="3" t="n"/>
      <c r="AF22" s="3" t="n"/>
      <c r="AG22" s="3" t="n"/>
    </row>
    <row r="23" ht="27.6" customHeight="1">
      <c r="A23" s="3" t="n">
        <v>22</v>
      </c>
      <c r="B23" s="3" t="inlineStr">
        <is>
          <t>schedule_datetime</t>
        </is>
      </c>
      <c r="C23" s="3" t="inlineStr">
        <is>
          <t>medium</t>
        </is>
      </c>
      <c r="D23" s="3" t="inlineStr">
        <is>
          <t>EN</t>
        </is>
      </c>
      <c r="E23" s="3" t="inlineStr">
        <is>
          <t>Which courses in HS-2026 have a time conflict with UE-L26.00013?</t>
        </is>
      </c>
      <c r="F23" s="3" t="inlineStr">
        <is>
          <t>Exact schedule/evaluation information or explicit not available.</t>
        </is>
      </c>
      <c r="G23" s="3" t="inlineStr">
        <is>
          <t>DB</t>
        </is>
      </c>
      <c r="H23" s="3" t="inlineStr">
        <is>
          <t>API /planner or /courses/:code/offerings</t>
        </is>
      </c>
      <c r="I23" s="3" t="inlineStr">
        <is>
          <t>CourseOffering, Session, Evaluation</t>
        </is>
      </c>
      <c r="J23" s="3" t="inlineStr">
        <is>
          <t>conflicting sessions</t>
        </is>
      </c>
      <c r="K23" s="3" t="inlineStr">
        <is>
          <t>Replace placeholders with real DB values.</t>
        </is>
      </c>
      <c r="L23" s="3" t="n"/>
      <c r="M23" s="3" t="n"/>
      <c r="N23" s="3" t="n"/>
      <c r="O23" s="3" t="n"/>
      <c r="P23" s="3" t="n"/>
      <c r="Q23" s="3" t="n"/>
      <c r="R23" s="3" t="n"/>
      <c r="S23" s="3" t="n"/>
      <c r="T23" s="3" t="n"/>
      <c r="U23" s="3" t="n"/>
      <c r="V23" s="3" t="n"/>
      <c r="W23" s="3" t="n"/>
      <c r="X23" s="3" t="n"/>
      <c r="Y23" s="3" t="n"/>
      <c r="Z23" s="3" t="n"/>
      <c r="AA23" s="3" t="n"/>
      <c r="AB23" s="3" t="n"/>
      <c r="AC23" s="3" t="n"/>
      <c r="AD23" s="3" t="n"/>
      <c r="AE23" s="3" t="n"/>
      <c r="AF23" s="3" t="n"/>
      <c r="AG23" s="3" t="n"/>
    </row>
    <row r="24" ht="27.6" customHeight="1">
      <c r="A24" s="3" t="n">
        <v>23</v>
      </c>
      <c r="B24" s="3" t="inlineStr">
        <is>
          <t>program_structure_filtering</t>
        </is>
      </c>
      <c r="C24" s="3" t="inlineStr">
        <is>
          <t>medium</t>
        </is>
      </c>
      <c r="D24" s="3" t="inlineStr">
        <is>
          <t>EN</t>
        </is>
      </c>
      <c r="E24" s="3" t="inlineStr">
        <is>
          <t>How many ECTS are required for Business Informatics?</t>
        </is>
      </c>
      <c r="F24" s="3" t="inlineStr">
        <is>
          <t>Exact values from DB.</t>
        </is>
      </c>
      <c r="G24" s="3" t="inlineStr">
        <is>
          <t>DB</t>
        </is>
      </c>
      <c r="H24" s="3" t="inlineStr">
        <is>
          <t>API /programs filter</t>
        </is>
      </c>
      <c r="I24" s="3" t="inlineStr">
        <is>
          <t>StudyProgram, consist_of, Course, programDocument</t>
        </is>
      </c>
      <c r="J24" s="3" t="inlineStr">
        <is>
          <t>total ECTS</t>
        </is>
      </c>
      <c r="K24" s="3" t="inlineStr">
        <is>
          <t>Replace placeholders where needed.</t>
        </is>
      </c>
      <c r="L24" s="3" t="n"/>
      <c r="M24" s="3" t="n"/>
      <c r="N24" s="3" t="n"/>
      <c r="O24" s="3" t="n"/>
      <c r="P24" s="3" t="n"/>
      <c r="Q24" s="3" t="n"/>
      <c r="R24" s="3" t="n"/>
      <c r="S24" s="3" t="n"/>
      <c r="T24" s="3" t="n"/>
      <c r="U24" s="3" t="n"/>
      <c r="V24" s="3" t="n"/>
      <c r="W24" s="3" t="n"/>
      <c r="X24" s="3" t="n"/>
      <c r="Y24" s="3" t="n"/>
      <c r="Z24" s="3" t="n"/>
      <c r="AA24" s="3" t="n"/>
      <c r="AB24" s="3" t="n"/>
      <c r="AC24" s="3" t="n"/>
      <c r="AD24" s="3" t="n"/>
      <c r="AE24" s="3" t="n"/>
      <c r="AF24" s="3" t="n"/>
      <c r="AG24" s="3" t="n"/>
    </row>
    <row r="25" ht="27.6" customHeight="1">
      <c r="A25" s="3" t="n">
        <v>24</v>
      </c>
      <c r="B25" s="3" t="inlineStr">
        <is>
          <t>program_structure_filtering</t>
        </is>
      </c>
      <c r="C25" s="3" t="inlineStr">
        <is>
          <t>medium</t>
        </is>
      </c>
      <c r="D25" s="3" t="inlineStr">
        <is>
          <t>EN</t>
        </is>
      </c>
      <c r="E25" s="3" t="inlineStr">
        <is>
          <t>When can students start Physics: autumn, spring, or both?</t>
        </is>
      </c>
      <c r="F25" s="3" t="inlineStr">
        <is>
          <t>Exact values from DB.</t>
        </is>
      </c>
      <c r="G25" s="3" t="inlineStr">
        <is>
          <t>DB</t>
        </is>
      </c>
      <c r="H25" s="3" t="inlineStr">
        <is>
          <t>API /programs filter</t>
        </is>
      </c>
      <c r="I25" s="3" t="inlineStr">
        <is>
          <t>StudyProgram, consist_of, Course, programDocument</t>
        </is>
      </c>
      <c r="J25" s="3" t="inlineStr">
        <is>
          <t>study_start</t>
        </is>
      </c>
      <c r="K25" s="3" t="inlineStr">
        <is>
          <t>Replace placeholders where needed.</t>
        </is>
      </c>
      <c r="L25" s="3" t="n"/>
      <c r="M25" s="3" t="n"/>
      <c r="N25" s="3" t="n"/>
      <c r="O25" s="3" t="n"/>
      <c r="P25" s="3" t="n"/>
      <c r="Q25" s="3" t="n"/>
      <c r="R25" s="3" t="n"/>
      <c r="S25" s="3" t="n"/>
      <c r="T25" s="3" t="n"/>
      <c r="U25" s="3" t="n"/>
      <c r="V25" s="3" t="n"/>
      <c r="W25" s="3" t="n"/>
      <c r="X25" s="3" t="n"/>
      <c r="Y25" s="3" t="n"/>
      <c r="Z25" s="3" t="n"/>
      <c r="AA25" s="3" t="n"/>
      <c r="AB25" s="3" t="n"/>
      <c r="AC25" s="3" t="n"/>
      <c r="AD25" s="3" t="n"/>
      <c r="AE25" s="3" t="n"/>
      <c r="AF25" s="3" t="n"/>
      <c r="AG25" s="3" t="n"/>
    </row>
    <row r="26" ht="27.6" customHeight="1">
      <c r="A26" s="3" t="n">
        <v>25</v>
      </c>
      <c r="B26" s="3" t="inlineStr">
        <is>
          <t>program_structure_filtering</t>
        </is>
      </c>
      <c r="C26" s="3" t="inlineStr">
        <is>
          <t>medium</t>
        </is>
      </c>
      <c r="D26" s="3" t="inlineStr">
        <is>
          <t>EN</t>
        </is>
      </c>
      <c r="E26" s="3" t="inlineStr">
        <is>
          <t>Which faculty offers 	Digital Neuroscience?</t>
        </is>
      </c>
      <c r="F26" s="3" t="inlineStr">
        <is>
          <t>Exact values from DB.</t>
        </is>
      </c>
      <c r="G26" s="3" t="inlineStr">
        <is>
          <t>DB</t>
        </is>
      </c>
      <c r="H26" s="3" t="inlineStr">
        <is>
          <t>API /programs filter</t>
        </is>
      </c>
      <c r="I26" s="3" t="inlineStr">
        <is>
          <t>StudyProgram, consist_of, Course, programDocument</t>
        </is>
      </c>
      <c r="J26" s="3" t="inlineStr">
        <is>
          <t>faculty</t>
        </is>
      </c>
      <c r="K26" s="3" t="inlineStr">
        <is>
          <t>Replace placeholders where needed.</t>
        </is>
      </c>
      <c r="L26" s="3" t="n"/>
      <c r="M26" s="3" t="n"/>
      <c r="N26" s="3" t="n"/>
      <c r="O26" s="3" t="n"/>
      <c r="P26" s="3" t="n"/>
      <c r="Q26" s="3" t="n"/>
      <c r="R26" s="3" t="n"/>
      <c r="S26" s="3" t="n"/>
      <c r="T26" s="3" t="n"/>
      <c r="U26" s="3" t="n"/>
      <c r="V26" s="3" t="n"/>
      <c r="W26" s="3" t="n"/>
      <c r="X26" s="3" t="n"/>
      <c r="Y26" s="3" t="n"/>
      <c r="Z26" s="3" t="n"/>
      <c r="AA26" s="3" t="n"/>
      <c r="AB26" s="3" t="n"/>
      <c r="AC26" s="3" t="n"/>
      <c r="AD26" s="3" t="n"/>
      <c r="AE26" s="3" t="n"/>
      <c r="AF26" s="3" t="n"/>
      <c r="AG26" s="3" t="n"/>
    </row>
    <row r="27" ht="27.6" customHeight="1">
      <c r="A27" s="3" t="n">
        <v>26</v>
      </c>
      <c r="B27" s="3" t="inlineStr">
        <is>
          <t>program_structure_filtering</t>
        </is>
      </c>
      <c r="C27" s="3" t="inlineStr">
        <is>
          <t>medium</t>
        </is>
      </c>
      <c r="D27" s="3" t="inlineStr">
        <is>
          <t>EN</t>
        </is>
      </c>
      <c r="E27" s="3" t="inlineStr">
        <is>
          <t>Which languages are associated with 	Digital Neuroscience?</t>
        </is>
      </c>
      <c r="F27" s="3" t="inlineStr">
        <is>
          <t>Exact values from DB.</t>
        </is>
      </c>
      <c r="G27" s="3" t="inlineStr">
        <is>
          <t>DB</t>
        </is>
      </c>
      <c r="H27" s="3" t="inlineStr">
        <is>
          <t>API /programs/:id/languages</t>
        </is>
      </c>
      <c r="I27" s="3" t="inlineStr">
        <is>
          <t>StudyProgram, consist_of, Course, programDocument</t>
        </is>
      </c>
      <c r="J27" s="3" t="inlineStr">
        <is>
          <t>languages</t>
        </is>
      </c>
      <c r="K27" s="3" t="inlineStr">
        <is>
          <t>Replace placeholders where needed.</t>
        </is>
      </c>
      <c r="L27" s="3" t="n"/>
      <c r="M27" s="3" t="n"/>
      <c r="N27" s="3" t="n"/>
      <c r="O27" s="3" t="n"/>
      <c r="P27" s="3" t="n"/>
      <c r="Q27" s="3" t="n"/>
      <c r="R27" s="3" t="n"/>
      <c r="S27" s="3" t="n"/>
      <c r="T27" s="3" t="n"/>
      <c r="U27" s="3" t="n"/>
      <c r="V27" s="3" t="n"/>
      <c r="W27" s="3" t="n"/>
      <c r="X27" s="3" t="n"/>
      <c r="Y27" s="3" t="n"/>
      <c r="Z27" s="3" t="n"/>
      <c r="AA27" s="3" t="n"/>
      <c r="AB27" s="3" t="n"/>
      <c r="AC27" s="3" t="n"/>
      <c r="AD27" s="3" t="n"/>
      <c r="AE27" s="3" t="n"/>
      <c r="AF27" s="3" t="n"/>
      <c r="AG27" s="3" t="n"/>
    </row>
    <row r="28" ht="27.6" customHeight="1">
      <c r="A28" s="3" t="n">
        <v>27</v>
      </c>
      <c r="B28" s="3" t="inlineStr">
        <is>
          <t>program_structure_filtering</t>
        </is>
      </c>
      <c r="C28" s="3" t="inlineStr">
        <is>
          <t>medium</t>
        </is>
      </c>
      <c r="D28" s="3" t="inlineStr">
        <is>
          <t>EN</t>
        </is>
      </c>
      <c r="E28" s="3" t="inlineStr">
        <is>
          <t>Which courses belong to Experimental Biomedical Research?</t>
        </is>
      </c>
      <c r="F28" s="3" t="inlineStr">
        <is>
          <t>Exact values from DB.</t>
        </is>
      </c>
      <c r="G28" s="3" t="inlineStr">
        <is>
          <t>DB</t>
        </is>
      </c>
      <c r="H28" s="3" t="inlineStr">
        <is>
          <t>API /programs/:id/courses</t>
        </is>
      </c>
      <c r="I28" s="3" t="inlineStr">
        <is>
          <t>StudyProgram, consist_of, Course, programDocument</t>
        </is>
      </c>
      <c r="J28" s="3" t="inlineStr">
        <is>
          <t>course list</t>
        </is>
      </c>
      <c r="K28" s="3" t="inlineStr">
        <is>
          <t>Replace placeholders where needed.</t>
        </is>
      </c>
      <c r="L28" s="3" t="n"/>
      <c r="M28" s="3" t="n"/>
      <c r="N28" s="3" t="n"/>
      <c r="O28" s="3" t="n"/>
      <c r="P28" s="3" t="n"/>
      <c r="Q28" s="3" t="n"/>
      <c r="R28" s="3" t="n"/>
      <c r="S28" s="3" t="n"/>
      <c r="T28" s="3" t="n"/>
      <c r="U28" s="3" t="n"/>
      <c r="V28" s="3" t="n"/>
      <c r="W28" s="3" t="n"/>
      <c r="X28" s="3" t="n"/>
      <c r="Y28" s="3" t="n"/>
      <c r="Z28" s="3" t="n"/>
      <c r="AA28" s="3" t="n"/>
      <c r="AB28" s="3" t="n"/>
      <c r="AC28" s="3" t="n"/>
      <c r="AD28" s="3" t="n"/>
      <c r="AE28" s="3" t="n"/>
      <c r="AF28" s="3" t="n"/>
      <c r="AG28" s="3" t="n"/>
    </row>
    <row r="29" ht="27.6" customHeight="1">
      <c r="A29" s="3" t="n">
        <v>28</v>
      </c>
      <c r="B29" s="3" t="inlineStr">
        <is>
          <t>program_structure_filtering</t>
        </is>
      </c>
      <c r="C29" s="3" t="inlineStr">
        <is>
          <t>medium</t>
        </is>
      </c>
      <c r="D29" s="3" t="inlineStr">
        <is>
          <t>EN</t>
        </is>
      </c>
      <c r="E29" s="3" t="inlineStr">
        <is>
          <t>Which elective courses belong to Computer Science?</t>
        </is>
      </c>
      <c r="F29" s="3" t="inlineStr">
        <is>
          <t>Exact values from DB.</t>
        </is>
      </c>
      <c r="G29" s="3" t="inlineStr">
        <is>
          <t>DB</t>
        </is>
      </c>
      <c r="H29" s="3" t="inlineStr">
        <is>
          <t>API /programs/:id/courses?type=Elective</t>
        </is>
      </c>
      <c r="I29" s="3" t="inlineStr">
        <is>
          <t>StudyProgram, consist_of, Course, programDocument</t>
        </is>
      </c>
      <c r="J29" s="3" t="inlineStr">
        <is>
          <t>elective list</t>
        </is>
      </c>
      <c r="K29" s="3" t="inlineStr">
        <is>
          <t>Replace placeholders where needed.</t>
        </is>
      </c>
      <c r="L29" s="3" t="n"/>
      <c r="M29" s="3" t="n"/>
      <c r="N29" s="3" t="n"/>
      <c r="O29" s="3" t="n"/>
      <c r="P29" s="3" t="n"/>
      <c r="Q29" s="3" t="n"/>
      <c r="R29" s="3" t="n"/>
      <c r="S29" s="3" t="n"/>
      <c r="T29" s="3" t="n"/>
      <c r="U29" s="3" t="n"/>
      <c r="V29" s="3" t="n"/>
      <c r="W29" s="3" t="n"/>
      <c r="X29" s="3" t="n"/>
      <c r="Y29" s="3" t="n"/>
      <c r="Z29" s="3" t="n"/>
      <c r="AA29" s="3" t="n"/>
      <c r="AB29" s="3" t="n"/>
      <c r="AC29" s="3" t="n"/>
      <c r="AD29" s="3" t="n"/>
      <c r="AE29" s="3" t="n"/>
      <c r="AF29" s="3" t="n"/>
      <c r="AG29" s="3" t="n"/>
    </row>
    <row r="30" ht="41.4" customHeight="1">
      <c r="A30" s="3" t="n">
        <v>29</v>
      </c>
      <c r="B30" s="3" t="inlineStr">
        <is>
          <t>program_structure_filtering</t>
        </is>
      </c>
      <c r="C30" s="3" t="inlineStr">
        <is>
          <t>medium</t>
        </is>
      </c>
      <c r="D30" s="3" t="inlineStr">
        <is>
          <t>EN</t>
        </is>
      </c>
      <c r="E30" s="3" t="inlineStr">
        <is>
          <t>Which mandatory courses belong to 3	Computer Sci?ence</t>
        </is>
      </c>
      <c r="F30" s="3" t="inlineStr">
        <is>
          <t>Exact values from DB.</t>
        </is>
      </c>
      <c r="G30" s="3" t="inlineStr">
        <is>
          <t>DB</t>
        </is>
      </c>
      <c r="H30" s="3" t="inlineStr">
        <is>
          <t>API /programs/:id/courses?type=Mandatory</t>
        </is>
      </c>
      <c r="I30" s="3" t="inlineStr">
        <is>
          <t>StudyProgram, consist_of, Course, programDocument</t>
        </is>
      </c>
      <c r="J30" s="3" t="inlineStr">
        <is>
          <t>mandatory list</t>
        </is>
      </c>
      <c r="K30" s="3" t="inlineStr">
        <is>
          <t>Replace placeholders where needed.</t>
        </is>
      </c>
      <c r="L30" s="3" t="n"/>
      <c r="M30" s="3" t="n"/>
      <c r="N30" s="3" t="n"/>
      <c r="O30" s="3" t="n"/>
      <c r="P30" s="3" t="n"/>
      <c r="Q30" s="3" t="n"/>
      <c r="R30" s="3" t="n"/>
      <c r="S30" s="3" t="n"/>
      <c r="T30" s="3" t="n"/>
      <c r="U30" s="3" t="n"/>
      <c r="V30" s="3" t="n"/>
      <c r="W30" s="3" t="n"/>
      <c r="X30" s="3" t="n"/>
      <c r="Y30" s="3" t="n"/>
      <c r="Z30" s="3" t="n"/>
      <c r="AA30" s="3" t="n"/>
      <c r="AB30" s="3" t="n"/>
      <c r="AC30" s="3" t="n"/>
      <c r="AD30" s="3" t="n"/>
      <c r="AE30" s="3" t="n"/>
      <c r="AF30" s="3" t="n"/>
      <c r="AG30" s="3" t="n"/>
    </row>
    <row r="31" ht="27.6" customHeight="1">
      <c r="A31" s="3" t="n">
        <v>30</v>
      </c>
      <c r="B31" s="3" t="inlineStr">
        <is>
          <t>program_structure_filtering</t>
        </is>
      </c>
      <c r="C31" s="3" t="inlineStr">
        <is>
          <t>medium</t>
        </is>
      </c>
      <c r="D31" s="3" t="inlineStr">
        <is>
          <t>EN</t>
        </is>
      </c>
      <c r="E31" s="3" t="inlineStr">
        <is>
          <t>Which study plan documents are stored for Social Anthropology?</t>
        </is>
      </c>
      <c r="F31" s="3" t="inlineStr">
        <is>
          <t>Exact values from DB.</t>
        </is>
      </c>
      <c r="G31" s="3" t="inlineStr">
        <is>
          <t>DB</t>
        </is>
      </c>
      <c r="H31" s="3" t="inlineStr">
        <is>
          <t>API /programs/:id/documents</t>
        </is>
      </c>
      <c r="I31" s="3" t="inlineStr">
        <is>
          <t>StudyProgram, consist_of, Course, programDocument</t>
        </is>
      </c>
      <c r="J31" s="3" t="inlineStr">
        <is>
          <t>document labels/URLs</t>
        </is>
      </c>
      <c r="K31" s="3" t="inlineStr">
        <is>
          <t>Replace placeholders where needed.</t>
        </is>
      </c>
      <c r="L31" s="3" t="n"/>
      <c r="M31" s="3" t="n"/>
      <c r="N31" s="3" t="n"/>
      <c r="O31" s="3" t="n"/>
      <c r="P31" s="3" t="n"/>
      <c r="Q31" s="3" t="n"/>
      <c r="R31" s="3" t="n"/>
      <c r="S31" s="3" t="n"/>
      <c r="T31" s="3" t="n"/>
      <c r="U31" s="3" t="n"/>
      <c r="V31" s="3" t="n"/>
      <c r="W31" s="3" t="n"/>
      <c r="X31" s="3" t="n"/>
      <c r="Y31" s="3" t="n"/>
      <c r="Z31" s="3" t="n"/>
      <c r="AA31" s="3" t="n"/>
      <c r="AB31" s="3" t="n"/>
      <c r="AC31" s="3" t="n"/>
      <c r="AD31" s="3" t="n"/>
      <c r="AE31" s="3" t="n"/>
      <c r="AF31" s="3" t="n"/>
      <c r="AG31" s="3" t="n"/>
    </row>
    <row r="32" ht="27.6" customHeight="1">
      <c r="A32" s="3" t="n">
        <v>31</v>
      </c>
      <c r="B32" s="3" t="inlineStr">
        <is>
          <t>program_structure_filtering</t>
        </is>
      </c>
      <c r="C32" s="3" t="inlineStr">
        <is>
          <t>medium</t>
        </is>
      </c>
      <c r="D32" s="3" t="inlineStr">
        <is>
          <t>EN</t>
        </is>
      </c>
      <c r="E32" s="3" t="inlineStr">
        <is>
          <t>Show all courses with 6 ECTS.</t>
        </is>
      </c>
      <c r="F32" s="3" t="inlineStr">
        <is>
          <t>Exact values from DB.</t>
        </is>
      </c>
      <c r="G32" s="3" t="inlineStr">
        <is>
          <t>DB</t>
        </is>
      </c>
      <c r="H32" s="3" t="inlineStr">
        <is>
          <t>API /courses?ects=6</t>
        </is>
      </c>
      <c r="I32" s="3" t="inlineStr">
        <is>
          <t>StudyProgram, consist_of, Course, programDocument</t>
        </is>
      </c>
      <c r="J32" s="3" t="inlineStr">
        <is>
          <t>course list</t>
        </is>
      </c>
      <c r="K32" s="3" t="inlineStr">
        <is>
          <t>Replace placeholders where needed.</t>
        </is>
      </c>
      <c r="L32" s="3" t="n"/>
      <c r="M32" s="3" t="n"/>
      <c r="N32" s="3" t="n"/>
      <c r="O32" s="3" t="n"/>
      <c r="P32" s="3" t="n"/>
      <c r="Q32" s="3" t="n"/>
      <c r="R32" s="3" t="n"/>
      <c r="S32" s="3" t="n"/>
      <c r="T32" s="3" t="n"/>
      <c r="U32" s="3" t="n"/>
      <c r="V32" s="3" t="n"/>
      <c r="W32" s="3" t="n"/>
      <c r="X32" s="3" t="n"/>
      <c r="Y32" s="3" t="n"/>
      <c r="Z32" s="3" t="n"/>
      <c r="AA32" s="3" t="n"/>
      <c r="AB32" s="3" t="n"/>
      <c r="AC32" s="3" t="n"/>
      <c r="AD32" s="3" t="n"/>
      <c r="AE32" s="3" t="n"/>
      <c r="AF32" s="3" t="n"/>
      <c r="AG32" s="3" t="n"/>
    </row>
    <row r="33" ht="27.6" customHeight="1">
      <c r="A33" s="3" t="n">
        <v>32</v>
      </c>
      <c r="B33" s="3" t="inlineStr">
        <is>
          <t>program_structure_filtering</t>
        </is>
      </c>
      <c r="C33" s="3" t="inlineStr">
        <is>
          <t>medium</t>
        </is>
      </c>
      <c r="D33" s="3" t="inlineStr">
        <is>
          <t>EN</t>
        </is>
      </c>
      <c r="E33" s="3" t="inlineStr">
        <is>
          <t>Show all courses taught in English.</t>
        </is>
      </c>
      <c r="F33" s="3" t="inlineStr">
        <is>
          <t>Exact values from DB.</t>
        </is>
      </c>
      <c r="G33" s="3" t="inlineStr">
        <is>
          <t>DB</t>
        </is>
      </c>
      <c r="H33" s="3" t="inlineStr">
        <is>
          <t>API /courses?language=English</t>
        </is>
      </c>
      <c r="I33" s="3" t="inlineStr">
        <is>
          <t>StudyProgram, consist_of, Course, programDocument</t>
        </is>
      </c>
      <c r="J33" s="3" t="inlineStr">
        <is>
          <t>course list</t>
        </is>
      </c>
      <c r="K33" s="3" t="inlineStr">
        <is>
          <t>Replace placeholders where needed.</t>
        </is>
      </c>
      <c r="L33" s="3" t="n"/>
      <c r="M33" s="3" t="n"/>
      <c r="N33" s="3" t="n"/>
      <c r="O33" s="3" t="n"/>
      <c r="P33" s="3" t="n"/>
      <c r="Q33" s="3" t="n"/>
      <c r="R33" s="3" t="n"/>
      <c r="S33" s="3" t="n"/>
      <c r="T33" s="3" t="n"/>
      <c r="U33" s="3" t="n"/>
      <c r="V33" s="3" t="n"/>
      <c r="W33" s="3" t="n"/>
      <c r="X33" s="3" t="n"/>
      <c r="Y33" s="3" t="n"/>
      <c r="Z33" s="3" t="n"/>
      <c r="AA33" s="3" t="n"/>
      <c r="AB33" s="3" t="n"/>
      <c r="AC33" s="3" t="n"/>
      <c r="AD33" s="3" t="n"/>
      <c r="AE33" s="3" t="n"/>
      <c r="AF33" s="3" t="n"/>
      <c r="AG33" s="3" t="n"/>
    </row>
    <row r="34" ht="27.6" customHeight="1">
      <c r="A34" s="3" t="n">
        <v>33</v>
      </c>
      <c r="B34" s="3" t="inlineStr">
        <is>
          <t>program_structure_filtering</t>
        </is>
      </c>
      <c r="C34" s="3" t="inlineStr">
        <is>
          <t>medium</t>
        </is>
      </c>
      <c r="D34" s="3" t="inlineStr">
        <is>
          <t>EN</t>
        </is>
      </c>
      <c r="E34" s="3" t="inlineStr">
        <is>
          <t>Show all courses offered in HS-2026.</t>
        </is>
      </c>
      <c r="F34" s="3" t="inlineStr">
        <is>
          <t>Exact values from DB.</t>
        </is>
      </c>
      <c r="G34" s="3" t="inlineStr">
        <is>
          <t>DB</t>
        </is>
      </c>
      <c r="H34" s="3" t="inlineStr">
        <is>
          <t>API /courses?semester=...</t>
        </is>
      </c>
      <c r="I34" s="3" t="inlineStr">
        <is>
          <t>StudyProgram, consist_of, Course, programDocument</t>
        </is>
      </c>
      <c r="J34" s="3" t="inlineStr">
        <is>
          <t>course list</t>
        </is>
      </c>
      <c r="K34" s="3" t="inlineStr">
        <is>
          <t>Replace placeholders where needed.</t>
        </is>
      </c>
      <c r="L34" s="3" t="n"/>
      <c r="M34" s="3" t="n"/>
      <c r="N34" s="3" t="n"/>
      <c r="O34" s="3" t="n"/>
      <c r="P34" s="3" t="n"/>
      <c r="Q34" s="3" t="n"/>
      <c r="R34" s="3" t="n"/>
      <c r="S34" s="3" t="n"/>
      <c r="T34" s="3" t="n"/>
      <c r="U34" s="3" t="n"/>
      <c r="V34" s="3" t="n"/>
      <c r="W34" s="3" t="n"/>
      <c r="X34" s="3" t="n"/>
      <c r="Y34" s="3" t="n"/>
      <c r="Z34" s="3" t="n"/>
      <c r="AA34" s="3" t="n"/>
      <c r="AB34" s="3" t="n"/>
      <c r="AC34" s="3" t="n"/>
      <c r="AD34" s="3" t="n"/>
      <c r="AE34" s="3" t="n"/>
      <c r="AF34" s="3" t="n"/>
      <c r="AG34" s="3" t="n"/>
    </row>
    <row r="35" ht="41.4" customHeight="1">
      <c r="A35" s="3" t="n">
        <v>34</v>
      </c>
      <c r="B35" s="3" t="inlineStr">
        <is>
          <t>program_structure_filtering</t>
        </is>
      </c>
      <c r="C35" s="3" t="inlineStr">
        <is>
          <t>medium</t>
        </is>
      </c>
      <c r="D35" s="3" t="inlineStr">
        <is>
          <t>EN</t>
        </is>
      </c>
      <c r="E35" s="3" t="inlineStr">
        <is>
          <t>Which bachelor programs have 180 ECTS?</t>
        </is>
      </c>
      <c r="F35" s="3" t="inlineStr">
        <is>
          <t>Exact values from DB.</t>
        </is>
      </c>
      <c r="G35" s="3" t="inlineStr">
        <is>
          <t>DB</t>
        </is>
      </c>
      <c r="H35" s="3" t="inlineStr">
        <is>
          <t>API /programs?degree=Bachelor&amp;ects=180</t>
        </is>
      </c>
      <c r="I35" s="3" t="inlineStr">
        <is>
          <t>StudyProgram, consist_of, Course, programDocument</t>
        </is>
      </c>
      <c r="J35" s="3" t="inlineStr">
        <is>
          <t>program list</t>
        </is>
      </c>
      <c r="K35" s="3" t="inlineStr">
        <is>
          <t>Replace placeholders where needed.</t>
        </is>
      </c>
      <c r="L35" s="3" t="n"/>
      <c r="M35" s="3" t="n"/>
      <c r="N35" s="3" t="n"/>
      <c r="O35" s="3" t="n"/>
      <c r="P35" s="3" t="n"/>
      <c r="Q35" s="3" t="n"/>
      <c r="R35" s="3" t="n"/>
      <c r="S35" s="3" t="n"/>
      <c r="T35" s="3" t="n"/>
      <c r="U35" s="3" t="n"/>
      <c r="V35" s="3" t="n"/>
      <c r="W35" s="3" t="n"/>
      <c r="X35" s="3" t="n"/>
      <c r="Y35" s="3" t="n"/>
      <c r="Z35" s="3" t="n"/>
      <c r="AA35" s="3" t="n"/>
      <c r="AB35" s="3" t="n"/>
      <c r="AC35" s="3" t="n"/>
      <c r="AD35" s="3" t="n"/>
      <c r="AE35" s="3" t="n"/>
      <c r="AF35" s="3" t="n"/>
      <c r="AG35" s="3" t="n"/>
    </row>
    <row r="36" ht="27.6" customHeight="1">
      <c r="A36" s="3" t="n">
        <v>35</v>
      </c>
      <c r="B36" s="3" t="inlineStr">
        <is>
          <t>rag_document</t>
        </is>
      </c>
      <c r="C36" s="3" t="inlineStr">
        <is>
          <t>hard</t>
        </is>
      </c>
      <c r="D36" s="3" t="inlineStr">
        <is>
          <t>EN</t>
        </is>
      </c>
      <c r="E36" s="3" t="inlineStr">
        <is>
          <t>What does the study plan of History say about electives?</t>
        </is>
      </c>
      <c r="F36" s="3" t="inlineStr">
        <is>
          <t>Answer grounded in retrieved document text with correct source attribution.</t>
        </is>
      </c>
      <c r="G36" s="3" t="inlineStr">
        <is>
          <t>RAG</t>
        </is>
      </c>
      <c r="H36" s="3" t="inlineStr">
        <is>
          <t>RAG over study plan/regulation documents</t>
        </is>
      </c>
      <c r="I36" s="3" t="inlineStr">
        <is>
          <t>PDF/study plan/regulation</t>
        </is>
      </c>
      <c r="J36" s="3" t="inlineStr">
        <is>
          <t>elective rules</t>
        </is>
      </c>
      <c r="K36" s="3" t="inlineStr">
        <is>
          <t>Use for website-RAG vs hybrid fallback comparison.</t>
        </is>
      </c>
      <c r="L36" s="3" t="n"/>
      <c r="M36" s="3" t="n"/>
      <c r="N36" s="3" t="n"/>
      <c r="O36" s="3" t="n"/>
      <c r="P36" s="3" t="n"/>
      <c r="Q36" s="3" t="n"/>
      <c r="R36" s="3" t="n"/>
      <c r="S36" s="3" t="n"/>
      <c r="T36" s="3" t="n"/>
      <c r="U36" s="3" t="n"/>
      <c r="V36" s="3" t="n"/>
      <c r="W36" s="3" t="n"/>
      <c r="X36" s="3" t="n"/>
      <c r="Y36" s="3" t="n"/>
      <c r="Z36" s="3" t="n"/>
      <c r="AA36" s="3" t="n"/>
      <c r="AB36" s="3" t="n"/>
      <c r="AC36" s="3" t="n"/>
      <c r="AD36" s="3" t="n"/>
      <c r="AE36" s="3" t="n"/>
      <c r="AF36" s="3" t="n"/>
      <c r="AG36" s="3" t="n"/>
    </row>
    <row r="37" ht="27.6" customHeight="1">
      <c r="A37" s="3" t="n">
        <v>36</v>
      </c>
      <c r="B37" s="3" t="inlineStr">
        <is>
          <t>rag_document</t>
        </is>
      </c>
      <c r="C37" s="3" t="inlineStr">
        <is>
          <t>hard</t>
        </is>
      </c>
      <c r="D37" s="3" t="inlineStr">
        <is>
          <t>EN</t>
        </is>
      </c>
      <c r="E37" s="3" t="inlineStr">
        <is>
          <t>What does the regulation document say about admission requirements for Special Education?</t>
        </is>
      </c>
      <c r="F37" s="3" t="inlineStr">
        <is>
          <t>Answer grounded in retrieved document text with correct source attribution.</t>
        </is>
      </c>
      <c r="G37" s="3" t="inlineStr">
        <is>
          <t>RAG</t>
        </is>
      </c>
      <c r="H37" s="3" t="inlineStr">
        <is>
          <t>RAG over study plan/regulation documents</t>
        </is>
      </c>
      <c r="I37" s="3" t="inlineStr">
        <is>
          <t>PDF/study plan/regulation</t>
        </is>
      </c>
      <c r="J37" s="3" t="inlineStr">
        <is>
          <t>admission requirements</t>
        </is>
      </c>
      <c r="K37" s="3" t="inlineStr">
        <is>
          <t>Use for website-RAG vs hybrid fallback comparison.</t>
        </is>
      </c>
      <c r="L37" s="3" t="n"/>
      <c r="M37" s="3" t="n"/>
      <c r="N37" s="3" t="n"/>
      <c r="O37" s="3" t="n"/>
      <c r="P37" s="3" t="n"/>
      <c r="Q37" s="3" t="n"/>
      <c r="R37" s="3" t="n"/>
      <c r="S37" s="3" t="n"/>
      <c r="T37" s="3" t="n"/>
      <c r="U37" s="3" t="n"/>
      <c r="V37" s="3" t="n"/>
      <c r="W37" s="3" t="n"/>
      <c r="X37" s="3" t="n"/>
      <c r="Y37" s="3" t="n"/>
      <c r="Z37" s="3" t="n"/>
      <c r="AA37" s="3" t="n"/>
      <c r="AB37" s="3" t="n"/>
      <c r="AC37" s="3" t="n"/>
      <c r="AD37" s="3" t="n"/>
      <c r="AE37" s="3" t="n"/>
      <c r="AF37" s="3" t="n"/>
      <c r="AG37" s="3" t="n"/>
    </row>
    <row r="38" ht="27.6" customHeight="1">
      <c r="A38" s="3" t="n">
        <v>37</v>
      </c>
      <c r="B38" s="3" t="inlineStr">
        <is>
          <t>rag_document</t>
        </is>
      </c>
      <c r="C38" s="3" t="inlineStr">
        <is>
          <t>hard</t>
        </is>
      </c>
      <c r="D38" s="3" t="inlineStr">
        <is>
          <t>EN</t>
        </is>
      </c>
      <c r="E38" s="3" t="inlineStr">
        <is>
          <t>What does the study plan say about recommended semester structure for Political Science?</t>
        </is>
      </c>
      <c r="F38" s="3" t="inlineStr">
        <is>
          <t>Answer grounded in retrieved document text with correct source attribution.</t>
        </is>
      </c>
      <c r="G38" s="3" t="inlineStr">
        <is>
          <t>RAG</t>
        </is>
      </c>
      <c r="H38" s="3" t="inlineStr">
        <is>
          <t>RAG over study plan/regulation documents</t>
        </is>
      </c>
      <c r="I38" s="3" t="inlineStr">
        <is>
          <t>PDF/study plan/regulation</t>
        </is>
      </c>
      <c r="J38" s="3" t="inlineStr">
        <is>
          <t>semester structure</t>
        </is>
      </c>
      <c r="K38" s="3" t="inlineStr">
        <is>
          <t>Use for website-RAG vs hybrid fallback comparison.</t>
        </is>
      </c>
      <c r="L38" s="3" t="n"/>
      <c r="M38" s="3" t="n"/>
      <c r="N38" s="3" t="n"/>
      <c r="O38" s="3" t="n"/>
      <c r="P38" s="3" t="n"/>
      <c r="Q38" s="3" t="n"/>
      <c r="R38" s="3" t="n"/>
      <c r="S38" s="3" t="n"/>
      <c r="T38" s="3" t="n"/>
      <c r="U38" s="3" t="n"/>
      <c r="V38" s="3" t="n"/>
      <c r="W38" s="3" t="n"/>
      <c r="X38" s="3" t="n"/>
      <c r="Y38" s="3" t="n"/>
      <c r="Z38" s="3" t="n"/>
      <c r="AA38" s="3" t="n"/>
      <c r="AB38" s="3" t="n"/>
      <c r="AC38" s="3" t="n"/>
      <c r="AD38" s="3" t="n"/>
      <c r="AE38" s="3" t="n"/>
      <c r="AF38" s="3" t="n"/>
      <c r="AG38" s="3" t="n"/>
    </row>
    <row r="39" ht="27.6" customHeight="1">
      <c r="A39" s="3" t="n">
        <v>38</v>
      </c>
      <c r="B39" s="3" t="inlineStr">
        <is>
          <t>rag_document</t>
        </is>
      </c>
      <c r="C39" s="3" t="inlineStr">
        <is>
          <t>hard</t>
        </is>
      </c>
      <c r="D39" s="3" t="inlineStr">
        <is>
          <t>EN</t>
        </is>
      </c>
      <c r="E39" s="3" t="inlineStr">
        <is>
          <t>What learning outcomes or competencies are described for Communication Studies?</t>
        </is>
      </c>
      <c r="F39" s="3" t="inlineStr">
        <is>
          <t>Answer grounded in retrieved document text with correct source attribution.</t>
        </is>
      </c>
      <c r="G39" s="3" t="inlineStr">
        <is>
          <t>RAG</t>
        </is>
      </c>
      <c r="H39" s="3" t="inlineStr">
        <is>
          <t>RAG over study plan/regulation documents</t>
        </is>
      </c>
      <c r="I39" s="3" t="inlineStr">
        <is>
          <t>PDF/study plan/regulation</t>
        </is>
      </c>
      <c r="J39" s="3" t="inlineStr">
        <is>
          <t>learning outcomes/competencies</t>
        </is>
      </c>
      <c r="K39" s="3" t="inlineStr">
        <is>
          <t>Use for website-RAG vs hybrid fallback comparison.</t>
        </is>
      </c>
      <c r="L39" s="3" t="n"/>
      <c r="M39" s="3" t="n"/>
      <c r="N39" s="3" t="n"/>
      <c r="O39" s="3" t="n"/>
      <c r="P39" s="3" t="n"/>
      <c r="Q39" s="3" t="n"/>
      <c r="R39" s="3" t="n"/>
      <c r="S39" s="3" t="n"/>
      <c r="T39" s="3" t="n"/>
      <c r="U39" s="3" t="n"/>
      <c r="V39" s="3" t="n"/>
      <c r="W39" s="3" t="n"/>
      <c r="X39" s="3" t="n"/>
      <c r="Y39" s="3" t="n"/>
      <c r="Z39" s="3" t="n"/>
      <c r="AA39" s="3" t="n"/>
      <c r="AB39" s="3" t="n"/>
      <c r="AC39" s="3" t="n"/>
      <c r="AD39" s="3" t="n"/>
      <c r="AE39" s="3" t="n"/>
      <c r="AF39" s="3" t="n"/>
      <c r="AG39" s="3" t="n"/>
    </row>
    <row r="40" ht="27.6" customHeight="1">
      <c r="A40" s="3" t="n">
        <v>39</v>
      </c>
      <c r="B40" s="3" t="inlineStr">
        <is>
          <t>rag_document</t>
        </is>
      </c>
      <c r="C40" s="3" t="inlineStr">
        <is>
          <t>hard</t>
        </is>
      </c>
      <c r="D40" s="3" t="inlineStr">
        <is>
          <t>EN</t>
        </is>
      </c>
      <c r="E40" s="3" t="inlineStr">
        <is>
          <t>Which examination rules are mentioned in the regulation document for Economics?</t>
        </is>
      </c>
      <c r="F40" s="3" t="inlineStr">
        <is>
          <t>Answer grounded in retrieved document text with correct source attribution.</t>
        </is>
      </c>
      <c r="G40" s="3" t="inlineStr">
        <is>
          <t>RAG</t>
        </is>
      </c>
      <c r="H40" s="3" t="inlineStr">
        <is>
          <t>RAG over study plan/regulation documents</t>
        </is>
      </c>
      <c r="I40" s="3" t="inlineStr">
        <is>
          <t>PDF/study plan/regulation</t>
        </is>
      </c>
      <c r="J40" s="3" t="inlineStr">
        <is>
          <t>exam/regulation rules</t>
        </is>
      </c>
      <c r="K40" s="3" t="inlineStr">
        <is>
          <t>Use for website-RAG vs hybrid fallback comparison.</t>
        </is>
      </c>
      <c r="L40" s="3" t="n"/>
      <c r="M40" s="3" t="n"/>
      <c r="N40" s="3" t="n"/>
      <c r="O40" s="3" t="n"/>
      <c r="P40" s="3" t="n"/>
      <c r="Q40" s="3" t="n"/>
      <c r="R40" s="3" t="n"/>
      <c r="S40" s="3" t="n"/>
      <c r="T40" s="3" t="n"/>
      <c r="U40" s="3" t="n"/>
      <c r="V40" s="3" t="n"/>
      <c r="W40" s="3" t="n"/>
      <c r="X40" s="3" t="n"/>
      <c r="Y40" s="3" t="n"/>
      <c r="Z40" s="3" t="n"/>
      <c r="AA40" s="3" t="n"/>
      <c r="AB40" s="3" t="n"/>
      <c r="AC40" s="3" t="n"/>
      <c r="AD40" s="3" t="n"/>
      <c r="AE40" s="3" t="n"/>
      <c r="AF40" s="3" t="n"/>
      <c r="AG40" s="3" t="n"/>
    </row>
    <row r="41" ht="27.6" customHeight="1">
      <c r="A41" s="3" t="n">
        <v>40</v>
      </c>
      <c r="B41" s="3" t="inlineStr">
        <is>
          <t>rag_document</t>
        </is>
      </c>
      <c r="C41" s="3" t="inlineStr">
        <is>
          <t>hard</t>
        </is>
      </c>
      <c r="D41" s="3" t="inlineStr">
        <is>
          <t>EN</t>
        </is>
      </c>
      <c r="E41" s="3" t="inlineStr">
        <is>
          <t>What does the document say about repeating failed exams?</t>
        </is>
      </c>
      <c r="F41" s="3" t="inlineStr">
        <is>
          <t>Answer grounded in retrieved document text with correct source attribution.</t>
        </is>
      </c>
      <c r="G41" s="3" t="inlineStr">
        <is>
          <t>RAG</t>
        </is>
      </c>
      <c r="H41" s="3" t="inlineStr">
        <is>
          <t>RAG over study plan/regulation documents</t>
        </is>
      </c>
      <c r="I41" s="3" t="inlineStr">
        <is>
          <t>PDF/study plan/regulation</t>
        </is>
      </c>
      <c r="J41" s="3" t="inlineStr">
        <is>
          <t>repeat exam rules</t>
        </is>
      </c>
      <c r="K41" s="3" t="inlineStr">
        <is>
          <t>Use for website-RAG vs hybrid fallback comparison.</t>
        </is>
      </c>
      <c r="L41" s="3" t="n"/>
      <c r="M41" s="3" t="n"/>
      <c r="N41" s="3" t="n"/>
      <c r="O41" s="3" t="n"/>
      <c r="P41" s="3" t="n"/>
      <c r="Q41" s="3" t="n"/>
      <c r="R41" s="3" t="n"/>
      <c r="S41" s="3" t="n"/>
      <c r="T41" s="3" t="n"/>
      <c r="U41" s="3" t="n"/>
      <c r="V41" s="3" t="n"/>
      <c r="W41" s="3" t="n"/>
      <c r="X41" s="3" t="n"/>
      <c r="Y41" s="3" t="n"/>
      <c r="Z41" s="3" t="n"/>
      <c r="AA41" s="3" t="n"/>
      <c r="AB41" s="3" t="n"/>
      <c r="AC41" s="3" t="n"/>
      <c r="AD41" s="3" t="n"/>
      <c r="AE41" s="3" t="n"/>
      <c r="AF41" s="3" t="n"/>
      <c r="AG41" s="3" t="n"/>
    </row>
    <row r="42" ht="27.6" customHeight="1">
      <c r="A42" s="3" t="n">
        <v>41</v>
      </c>
      <c r="B42" s="3" t="inlineStr">
        <is>
          <t>rag_document</t>
        </is>
      </c>
      <c r="C42" s="3" t="inlineStr">
        <is>
          <t>hard</t>
        </is>
      </c>
      <c r="D42" s="3" t="inlineStr">
        <is>
          <t>EN</t>
        </is>
      </c>
      <c r="E42" s="3" t="inlineStr">
        <is>
          <t>What does the document say about recognition of external credits or mobility?</t>
        </is>
      </c>
      <c r="F42" s="3" t="inlineStr">
        <is>
          <t>Answer grounded in retrieved document text with correct source attribution.</t>
        </is>
      </c>
      <c r="G42" s="3" t="inlineStr">
        <is>
          <t>RAG</t>
        </is>
      </c>
      <c r="H42" s="3" t="inlineStr">
        <is>
          <t>RAG over study plan/regulation documents</t>
        </is>
      </c>
      <c r="I42" s="3" t="inlineStr">
        <is>
          <t>PDF/study plan/regulation</t>
        </is>
      </c>
      <c r="J42" s="3" t="inlineStr">
        <is>
          <t>mobility/credit recognition</t>
        </is>
      </c>
      <c r="K42" s="3" t="inlineStr">
        <is>
          <t>Use for website-RAG vs hybrid fallback comparison.</t>
        </is>
      </c>
      <c r="L42" s="3" t="n"/>
      <c r="M42" s="3" t="n"/>
      <c r="N42" s="3" t="n"/>
      <c r="O42" s="3" t="n"/>
      <c r="P42" s="3" t="n"/>
      <c r="Q42" s="3" t="n"/>
      <c r="R42" s="3" t="n"/>
      <c r="S42" s="3" t="n"/>
      <c r="T42" s="3" t="n"/>
      <c r="U42" s="3" t="n"/>
      <c r="V42" s="3" t="n"/>
      <c r="W42" s="3" t="n"/>
      <c r="X42" s="3" t="n"/>
      <c r="Y42" s="3" t="n"/>
      <c r="Z42" s="3" t="n"/>
      <c r="AA42" s="3" t="n"/>
      <c r="AB42" s="3" t="n"/>
      <c r="AC42" s="3" t="n"/>
      <c r="AD42" s="3" t="n"/>
      <c r="AE42" s="3" t="n"/>
      <c r="AF42" s="3" t="n"/>
      <c r="AG42" s="3" t="n"/>
    </row>
    <row r="43" ht="27.6" customHeight="1">
      <c r="A43" s="3" t="n">
        <v>42</v>
      </c>
      <c r="B43" s="3" t="inlineStr">
        <is>
          <t>rag_document</t>
        </is>
      </c>
      <c r="C43" s="3" t="inlineStr">
        <is>
          <t>hard</t>
        </is>
      </c>
      <c r="D43" s="3" t="inlineStr">
        <is>
          <t>EN</t>
        </is>
      </c>
      <c r="E43" s="3" t="inlineStr">
        <is>
          <t>What does the study plan say about choosing minor programs?</t>
        </is>
      </c>
      <c r="F43" s="3" t="inlineStr">
        <is>
          <t>Answer grounded in retrieved document text with correct source attribution.</t>
        </is>
      </c>
      <c r="G43" s="3" t="inlineStr">
        <is>
          <t>RAG</t>
        </is>
      </c>
      <c r="H43" s="3" t="inlineStr">
        <is>
          <t>RAG over study plan/regulation documents</t>
        </is>
      </c>
      <c r="I43" s="3" t="inlineStr">
        <is>
          <t>PDF/study plan/regulation</t>
        </is>
      </c>
      <c r="J43" s="3" t="inlineStr">
        <is>
          <t>minor/elective rules</t>
        </is>
      </c>
      <c r="K43" s="3" t="inlineStr">
        <is>
          <t>Use for website-RAG vs hybrid fallback comparison.</t>
        </is>
      </c>
      <c r="L43" s="3" t="n"/>
      <c r="M43" s="3" t="n"/>
      <c r="N43" s="3" t="n"/>
      <c r="O43" s="3" t="n"/>
      <c r="P43" s="3" t="n"/>
      <c r="Q43" s="3" t="n"/>
      <c r="R43" s="3" t="n"/>
      <c r="S43" s="3" t="n"/>
      <c r="T43" s="3" t="n"/>
      <c r="U43" s="3" t="n"/>
      <c r="V43" s="3" t="n"/>
      <c r="W43" s="3" t="n"/>
      <c r="X43" s="3" t="n"/>
      <c r="Y43" s="3" t="n"/>
      <c r="Z43" s="3" t="n"/>
      <c r="AA43" s="3" t="n"/>
      <c r="AB43" s="3" t="n"/>
      <c r="AC43" s="3" t="n"/>
      <c r="AD43" s="3" t="n"/>
      <c r="AE43" s="3" t="n"/>
      <c r="AF43" s="3" t="n"/>
      <c r="AG43" s="3" t="n"/>
    </row>
    <row r="44" ht="41.4" customHeight="1">
      <c r="A44" s="3" t="n">
        <v>43</v>
      </c>
      <c r="B44" s="3" t="inlineStr">
        <is>
          <t>multilingual</t>
        </is>
      </c>
      <c r="C44" s="3" t="inlineStr">
        <is>
          <t>medium</t>
        </is>
      </c>
      <c r="D44" s="3" t="inlineStr">
        <is>
          <t>DE</t>
        </is>
      </c>
      <c r="E44" s="3" t="inlineStr">
        <is>
          <t>Welche Bachelorprogramme kann ich an der Universität Freiburg studieren?</t>
        </is>
      </c>
      <c r="F44" s="3" t="inlineStr">
        <is>
          <t>Same factual answer as the equivalent English/German/French query; response language should match or be appropriate.</t>
        </is>
      </c>
      <c r="G44" s="3" t="inlineStr">
        <is>
          <t>Mixed</t>
        </is>
      </c>
      <c r="H44" s="3" t="inlineStr">
        <is>
          <t>API first, RAG fallback</t>
        </is>
      </c>
      <c r="I44" s="3" t="inlineStr">
        <is>
          <t>DB or PDF source</t>
        </is>
      </c>
      <c r="J44" s="3" t="inlineStr">
        <is>
          <t>program names</t>
        </is>
      </c>
      <c r="K44" s="3" t="inlineStr">
        <is>
          <t>Tests multilingual query understanding and response language consistency.</t>
        </is>
      </c>
      <c r="L44" s="3" t="n"/>
      <c r="M44" s="3" t="n"/>
      <c r="N44" s="3" t="n"/>
      <c r="O44" s="3" t="n"/>
      <c r="P44" s="3" t="n"/>
      <c r="Q44" s="3" t="n"/>
      <c r="R44" s="3" t="n"/>
      <c r="S44" s="3" t="n"/>
      <c r="T44" s="3" t="n"/>
      <c r="U44" s="3" t="n"/>
      <c r="V44" s="3" t="n"/>
      <c r="W44" s="3" t="n"/>
      <c r="X44" s="3" t="n"/>
      <c r="Y44" s="3" t="n"/>
      <c r="Z44" s="3" t="n"/>
      <c r="AA44" s="3" t="n"/>
      <c r="AB44" s="3" t="n"/>
      <c r="AC44" s="3" t="n"/>
      <c r="AD44" s="3" t="n"/>
      <c r="AE44" s="3" t="n"/>
      <c r="AF44" s="3" t="n"/>
      <c r="AG44" s="3" t="n"/>
    </row>
    <row r="45" ht="41.4" customHeight="1">
      <c r="A45" s="3" t="n">
        <v>44</v>
      </c>
      <c r="B45" s="3" t="inlineStr">
        <is>
          <t>multilingual</t>
        </is>
      </c>
      <c r="C45" s="3" t="inlineStr">
        <is>
          <t>medium</t>
        </is>
      </c>
      <c r="D45" s="3" t="inlineStr">
        <is>
          <t>DE</t>
        </is>
      </c>
      <c r="E45" s="3" t="inlineStr">
        <is>
          <t>Wie viele ECTS hat UE-L14.02281?</t>
        </is>
      </c>
      <c r="F45" s="3" t="inlineStr">
        <is>
          <t>Same factual answer as the equivalent English/German/French query; response language should match or be appropriate.</t>
        </is>
      </c>
      <c r="G45" s="3" t="inlineStr">
        <is>
          <t>Mixed</t>
        </is>
      </c>
      <c r="H45" s="3" t="inlineStr">
        <is>
          <t>API first, RAG fallback</t>
        </is>
      </c>
      <c r="I45" s="3" t="inlineStr">
        <is>
          <t>DB or PDF source</t>
        </is>
      </c>
      <c r="J45" s="3" t="inlineStr">
        <is>
          <t>ECTS</t>
        </is>
      </c>
      <c r="K45" s="3" t="inlineStr">
        <is>
          <t>Tests multilingual query understanding and response language consistency.</t>
        </is>
      </c>
      <c r="L45" s="3" t="n"/>
      <c r="M45" s="3" t="n"/>
      <c r="N45" s="3" t="n"/>
      <c r="O45" s="3" t="n"/>
      <c r="P45" s="3" t="n"/>
      <c r="Q45" s="3" t="n"/>
      <c r="R45" s="3" t="n"/>
      <c r="S45" s="3" t="n"/>
      <c r="T45" s="3" t="n"/>
      <c r="U45" s="3" t="n"/>
      <c r="V45" s="3" t="n"/>
      <c r="W45" s="3" t="n"/>
      <c r="X45" s="3" t="n"/>
      <c r="Y45" s="3" t="n"/>
      <c r="Z45" s="3" t="n"/>
      <c r="AA45" s="3" t="n"/>
      <c r="AB45" s="3" t="n"/>
      <c r="AC45" s="3" t="n"/>
      <c r="AD45" s="3" t="n"/>
      <c r="AE45" s="3" t="n"/>
      <c r="AF45" s="3" t="n"/>
      <c r="AG45" s="3" t="n"/>
    </row>
    <row r="46" ht="41.4" customHeight="1">
      <c r="A46" s="3" t="n">
        <v>45</v>
      </c>
      <c r="B46" s="3" t="inlineStr">
        <is>
          <t>multilingual</t>
        </is>
      </c>
      <c r="C46" s="3" t="inlineStr">
        <is>
          <t>medium</t>
        </is>
      </c>
      <c r="D46" s="3" t="inlineStr">
        <is>
          <t>DE</t>
        </is>
      </c>
      <c r="E46" s="3" t="inlineStr">
        <is>
          <t>Wann findet UE-SME.07105 im FS-2026 statt?</t>
        </is>
      </c>
      <c r="F46" s="3" t="inlineStr">
        <is>
          <t>Same factual answer as the equivalent English/German/French query; response language should match or be appropriate.</t>
        </is>
      </c>
      <c r="G46" s="3" t="inlineStr">
        <is>
          <t>Mixed</t>
        </is>
      </c>
      <c r="H46" s="3" t="inlineStr">
        <is>
          <t>API first, RAG fallback</t>
        </is>
      </c>
      <c r="I46" s="3" t="inlineStr">
        <is>
          <t>DB or PDF source</t>
        </is>
      </c>
      <c r="J46" s="3" t="inlineStr">
        <is>
          <t>date/time</t>
        </is>
      </c>
      <c r="K46" s="3" t="inlineStr">
        <is>
          <t>Tests multilingual query understanding and response language consistency.</t>
        </is>
      </c>
      <c r="L46" s="3" t="n"/>
      <c r="M46" s="3" t="n"/>
      <c r="N46" s="3" t="n"/>
      <c r="O46" s="3" t="n"/>
      <c r="P46" s="3" t="n"/>
      <c r="Q46" s="3" t="n"/>
      <c r="R46" s="3" t="n"/>
      <c r="S46" s="3" t="n"/>
      <c r="T46" s="3" t="n"/>
      <c r="U46" s="3" t="n"/>
      <c r="V46" s="3" t="n"/>
      <c r="W46" s="3" t="n"/>
      <c r="X46" s="3" t="n"/>
      <c r="Y46" s="3" t="n"/>
      <c r="Z46" s="3" t="n"/>
      <c r="AA46" s="3" t="n"/>
      <c r="AB46" s="3" t="n"/>
      <c r="AC46" s="3" t="n"/>
      <c r="AD46" s="3" t="n"/>
      <c r="AE46" s="3" t="n"/>
      <c r="AF46" s="3" t="n"/>
      <c r="AG46" s="3" t="n"/>
    </row>
    <row r="47" ht="41.4" customHeight="1">
      <c r="A47" s="3" t="n">
        <v>46</v>
      </c>
      <c r="B47" s="3" t="inlineStr">
        <is>
          <t>multilingual</t>
        </is>
      </c>
      <c r="C47" s="3" t="inlineStr">
        <is>
          <t>medium</t>
        </is>
      </c>
      <c r="D47" s="3" t="inlineStr">
        <is>
          <t>DE</t>
        </is>
      </c>
      <c r="E47" s="3" t="inlineStr">
        <is>
          <t>Welche Kurse sind im Studienprogramm Philosophie obligatorisch?</t>
        </is>
      </c>
      <c r="F47" s="3" t="inlineStr">
        <is>
          <t>Same factual answer as the equivalent English/German/French query; response language should match or be appropriate.</t>
        </is>
      </c>
      <c r="G47" s="3" t="inlineStr">
        <is>
          <t>Mixed</t>
        </is>
      </c>
      <c r="H47" s="3" t="inlineStr">
        <is>
          <t>API first, RAG fallback</t>
        </is>
      </c>
      <c r="I47" s="3" t="inlineStr">
        <is>
          <t>DB or PDF source</t>
        </is>
      </c>
      <c r="J47" s="3" t="inlineStr">
        <is>
          <t>mandatory courses</t>
        </is>
      </c>
      <c r="K47" s="3" t="inlineStr">
        <is>
          <t>Tests multilingual query understanding and response language consistency.</t>
        </is>
      </c>
      <c r="L47" s="3" t="n"/>
      <c r="M47" s="3" t="n"/>
      <c r="N47" s="3" t="n"/>
      <c r="O47" s="3" t="n"/>
      <c r="P47" s="3" t="n"/>
      <c r="Q47" s="3" t="n"/>
      <c r="R47" s="3" t="n"/>
      <c r="S47" s="3" t="n"/>
      <c r="T47" s="3" t="n"/>
      <c r="U47" s="3" t="n"/>
      <c r="V47" s="3" t="n"/>
      <c r="W47" s="3" t="n"/>
      <c r="X47" s="3" t="n"/>
      <c r="Y47" s="3" t="n"/>
      <c r="Z47" s="3" t="n"/>
      <c r="AA47" s="3" t="n"/>
      <c r="AB47" s="3" t="n"/>
      <c r="AC47" s="3" t="n"/>
      <c r="AD47" s="3" t="n"/>
      <c r="AE47" s="3" t="n"/>
      <c r="AF47" s="3" t="n"/>
      <c r="AG47" s="3" t="n"/>
    </row>
    <row r="48" ht="41.4" customHeight="1">
      <c r="A48" s="3" t="n">
        <v>47</v>
      </c>
      <c r="B48" s="3" t="inlineStr">
        <is>
          <t>multilingual</t>
        </is>
      </c>
      <c r="C48" s="3" t="inlineStr">
        <is>
          <t>medium</t>
        </is>
      </c>
      <c r="D48" s="3" t="inlineStr">
        <is>
          <t>DE</t>
        </is>
      </c>
      <c r="E48" s="3" t="inlineStr">
        <is>
          <t>Welche Informationen enthält der Studienplan zu Wahlfächern?</t>
        </is>
      </c>
      <c r="F48" s="3" t="inlineStr">
        <is>
          <t>Same factual answer as the equivalent English/German/French query; response language should match or be appropriate.</t>
        </is>
      </c>
      <c r="G48" s="3" t="inlineStr">
        <is>
          <t>Mixed</t>
        </is>
      </c>
      <c r="H48" s="3" t="inlineStr">
        <is>
          <t>API first, RAG fallback</t>
        </is>
      </c>
      <c r="I48" s="3" t="inlineStr">
        <is>
          <t>DB or PDF source</t>
        </is>
      </c>
      <c r="J48" s="3" t="inlineStr">
        <is>
          <t>elective rules</t>
        </is>
      </c>
      <c r="K48" s="3" t="inlineStr">
        <is>
          <t>Tests multilingual query understanding and response language consistency.</t>
        </is>
      </c>
      <c r="L48" s="3" t="n"/>
      <c r="M48" s="3" t="n"/>
      <c r="N48" s="3" t="n"/>
      <c r="O48" s="3" t="n"/>
      <c r="P48" s="3" t="n"/>
      <c r="Q48" s="3" t="n"/>
      <c r="R48" s="3" t="n"/>
      <c r="S48" s="3" t="n"/>
      <c r="T48" s="3" t="n"/>
      <c r="U48" s="3" t="n"/>
      <c r="V48" s="3" t="n"/>
      <c r="W48" s="3" t="n"/>
      <c r="X48" s="3" t="n"/>
      <c r="Y48" s="3" t="n"/>
      <c r="Z48" s="3" t="n"/>
      <c r="AA48" s="3" t="n"/>
      <c r="AB48" s="3" t="n"/>
      <c r="AC48" s="3" t="n"/>
      <c r="AD48" s="3" t="n"/>
      <c r="AE48" s="3" t="n"/>
      <c r="AF48" s="3" t="n"/>
      <c r="AG48" s="3" t="n"/>
    </row>
    <row r="49" ht="41.4" customHeight="1">
      <c r="A49" s="3" t="n">
        <v>48</v>
      </c>
      <c r="B49" s="3" t="inlineStr">
        <is>
          <t>multilingual</t>
        </is>
      </c>
      <c r="C49" s="3" t="inlineStr">
        <is>
          <t>medium</t>
        </is>
      </c>
      <c r="D49" s="3" t="inlineStr">
        <is>
          <t>FR</t>
        </is>
      </c>
      <c r="E49" s="3" t="inlineStr">
        <is>
          <t>Quels programmes de bachelor puis-je étudier à l'Université de Fribourg ?</t>
        </is>
      </c>
      <c r="F49" s="3" t="inlineStr">
        <is>
          <t>Same factual answer as the equivalent English/German/French query; response language should match or be appropriate.</t>
        </is>
      </c>
      <c r="G49" s="3" t="inlineStr">
        <is>
          <t>Mixed</t>
        </is>
      </c>
      <c r="H49" s="3" t="inlineStr">
        <is>
          <t>API first, RAG fallback</t>
        </is>
      </c>
      <c r="I49" s="3" t="inlineStr">
        <is>
          <t>DB or PDF source</t>
        </is>
      </c>
      <c r="J49" s="3" t="inlineStr">
        <is>
          <t>program names</t>
        </is>
      </c>
      <c r="K49" s="3" t="inlineStr">
        <is>
          <t>Tests multilingual query understanding and response language consistency.</t>
        </is>
      </c>
      <c r="L49" s="3" t="n"/>
      <c r="M49" s="3" t="n"/>
      <c r="N49" s="3" t="n"/>
      <c r="O49" s="3" t="n"/>
      <c r="P49" s="3" t="n"/>
      <c r="Q49" s="3" t="n"/>
      <c r="R49" s="3" t="n"/>
      <c r="S49" s="3" t="n"/>
      <c r="T49" s="3" t="n"/>
      <c r="U49" s="3" t="n"/>
      <c r="V49" s="3" t="n"/>
      <c r="W49" s="3" t="n"/>
      <c r="X49" s="3" t="n"/>
      <c r="Y49" s="3" t="n"/>
      <c r="Z49" s="3" t="n"/>
      <c r="AA49" s="3" t="n"/>
      <c r="AB49" s="3" t="n"/>
      <c r="AC49" s="3" t="n"/>
      <c r="AD49" s="3" t="n"/>
      <c r="AE49" s="3" t="n"/>
      <c r="AF49" s="3" t="n"/>
      <c r="AG49" s="3" t="n"/>
    </row>
    <row r="50" ht="41.4" customHeight="1">
      <c r="A50" s="3" t="n">
        <v>49</v>
      </c>
      <c r="B50" s="3" t="inlineStr">
        <is>
          <t>multilingual</t>
        </is>
      </c>
      <c r="C50" s="3" t="inlineStr">
        <is>
          <t>medium</t>
        </is>
      </c>
      <c r="D50" s="3" t="inlineStr">
        <is>
          <t>FR</t>
        </is>
      </c>
      <c r="E50" s="3" t="inlineStr">
        <is>
          <t>Combien de crédits ECTS vaut UE-DDR.00451?</t>
        </is>
      </c>
      <c r="F50" s="3" t="inlineStr">
        <is>
          <t>Same factual answer as the equivalent English/German/French query; response language should match or be appropriate.</t>
        </is>
      </c>
      <c r="G50" s="3" t="inlineStr">
        <is>
          <t>Mixed</t>
        </is>
      </c>
      <c r="H50" s="3" t="inlineStr">
        <is>
          <t>API first, RAG fallback</t>
        </is>
      </c>
      <c r="I50" s="3" t="inlineStr">
        <is>
          <t>DB or PDF source</t>
        </is>
      </c>
      <c r="J50" s="3" t="inlineStr">
        <is>
          <t>ECTS</t>
        </is>
      </c>
      <c r="K50" s="3" t="inlineStr">
        <is>
          <t>Tests multilingual query understanding and response language consistency.</t>
        </is>
      </c>
      <c r="L50" s="3" t="n"/>
      <c r="M50" s="3" t="n"/>
      <c r="N50" s="3" t="n"/>
      <c r="O50" s="3" t="n"/>
      <c r="P50" s="3" t="n"/>
      <c r="Q50" s="3" t="n"/>
      <c r="R50" s="3" t="n"/>
      <c r="S50" s="3" t="n"/>
      <c r="T50" s="3" t="n"/>
      <c r="U50" s="3" t="n"/>
      <c r="V50" s="3" t="n"/>
      <c r="W50" s="3" t="n"/>
      <c r="X50" s="3" t="n"/>
      <c r="Y50" s="3" t="n"/>
      <c r="Z50" s="3" t="n"/>
      <c r="AA50" s="3" t="n"/>
      <c r="AB50" s="3" t="n"/>
      <c r="AC50" s="3" t="n"/>
      <c r="AD50" s="3" t="n"/>
      <c r="AE50" s="3" t="n"/>
      <c r="AF50" s="3" t="n"/>
      <c r="AG50" s="3" t="n"/>
    </row>
    <row r="51" ht="41.4" customHeight="1">
      <c r="A51" s="3" t="n">
        <v>50</v>
      </c>
      <c r="B51" s="3" t="inlineStr">
        <is>
          <t>multilingual</t>
        </is>
      </c>
      <c r="C51" s="3" t="inlineStr">
        <is>
          <t>medium</t>
        </is>
      </c>
      <c r="D51" s="3" t="inlineStr">
        <is>
          <t>FR</t>
        </is>
      </c>
      <c r="E51" s="3" t="inlineStr">
        <is>
          <t>Quand a lieu le cours UE-DDR.00368 pendant HS-2026 ?</t>
        </is>
      </c>
      <c r="F51" s="3" t="inlineStr">
        <is>
          <t>Same factual answer as the equivalent English/German/French query; response language should match or be appropriate.</t>
        </is>
      </c>
      <c r="G51" s="3" t="inlineStr">
        <is>
          <t>Mixed</t>
        </is>
      </c>
      <c r="H51" s="3" t="inlineStr">
        <is>
          <t>API first, RAG fallback</t>
        </is>
      </c>
      <c r="I51" s="3" t="inlineStr">
        <is>
          <t>DB or PDF source</t>
        </is>
      </c>
      <c r="J51" s="3" t="inlineStr">
        <is>
          <t>date/time</t>
        </is>
      </c>
      <c r="K51" s="3" t="inlineStr">
        <is>
          <t>Tests multilingual query understanding and response language consistency.</t>
        </is>
      </c>
      <c r="L51" s="3" t="n"/>
      <c r="M51" s="3" t="n"/>
      <c r="N51" s="3" t="n"/>
      <c r="O51" s="3" t="n"/>
      <c r="P51" s="3" t="n"/>
      <c r="Q51" s="3" t="n"/>
      <c r="R51" s="3" t="n"/>
      <c r="S51" s="3" t="n"/>
      <c r="T51" s="3" t="n"/>
      <c r="U51" s="3" t="n"/>
      <c r="V51" s="3" t="n"/>
      <c r="W51" s="3" t="n"/>
      <c r="X51" s="3" t="n"/>
      <c r="Y51" s="3" t="n"/>
      <c r="Z51" s="3" t="n"/>
      <c r="AA51" s="3" t="n"/>
      <c r="AB51" s="3" t="n"/>
      <c r="AC51" s="3" t="n"/>
      <c r="AD51" s="3" t="n"/>
      <c r="AE51" s="3" t="n"/>
      <c r="AF51" s="3" t="n"/>
      <c r="AG51" s="3" t="n"/>
    </row>
    <row r="52" ht="41.4" customHeight="1">
      <c r="A52" s="3" t="n">
        <v>51</v>
      </c>
      <c r="B52" s="3" t="inlineStr">
        <is>
          <t>multilingual</t>
        </is>
      </c>
      <c r="C52" s="3" t="inlineStr">
        <is>
          <t>medium</t>
        </is>
      </c>
      <c r="D52" s="3" t="inlineStr">
        <is>
          <t>FR</t>
        </is>
      </c>
      <c r="E52" s="3" t="inlineStr">
        <is>
          <t>Quels cours sont obligatoires dans le programme Marketing ?</t>
        </is>
      </c>
      <c r="F52" s="3" t="inlineStr">
        <is>
          <t>Same factual answer as the equivalent English/German/French query; response language should match or be appropriate.</t>
        </is>
      </c>
      <c r="G52" s="3" t="inlineStr">
        <is>
          <t>Mixed</t>
        </is>
      </c>
      <c r="H52" s="3" t="inlineStr">
        <is>
          <t>API first, RAG fallback</t>
        </is>
      </c>
      <c r="I52" s="3" t="inlineStr">
        <is>
          <t>DB or PDF source</t>
        </is>
      </c>
      <c r="J52" s="3" t="inlineStr">
        <is>
          <t>mandatory courses</t>
        </is>
      </c>
      <c r="K52" s="3" t="inlineStr">
        <is>
          <t>Tests multilingual query understanding and response language consistency.</t>
        </is>
      </c>
      <c r="L52" s="3" t="n"/>
      <c r="M52" s="3" t="n"/>
      <c r="N52" s="3" t="n"/>
      <c r="O52" s="3" t="n"/>
      <c r="P52" s="3" t="n"/>
      <c r="Q52" s="3" t="n"/>
      <c r="R52" s="3" t="n"/>
      <c r="S52" s="3" t="n"/>
      <c r="T52" s="3" t="n"/>
      <c r="U52" s="3" t="n"/>
      <c r="V52" s="3" t="n"/>
      <c r="W52" s="3" t="n"/>
      <c r="X52" s="3" t="n"/>
      <c r="Y52" s="3" t="n"/>
      <c r="Z52" s="3" t="n"/>
      <c r="AA52" s="3" t="n"/>
      <c r="AB52" s="3" t="n"/>
      <c r="AC52" s="3" t="n"/>
      <c r="AD52" s="3" t="n"/>
      <c r="AE52" s="3" t="n"/>
      <c r="AF52" s="3" t="n"/>
      <c r="AG52" s="3" t="n"/>
    </row>
    <row r="53" ht="41.4" customHeight="1">
      <c r="A53" s="3" t="n">
        <v>52</v>
      </c>
      <c r="B53" s="3" t="inlineStr">
        <is>
          <t>multilingual</t>
        </is>
      </c>
      <c r="C53" s="3" t="inlineStr">
        <is>
          <t>medium</t>
        </is>
      </c>
      <c r="D53" s="3" t="inlineStr">
        <is>
          <t>FR</t>
        </is>
      </c>
      <c r="E53" s="3" t="inlineStr">
        <is>
          <t>Que dit le plan d'études sur les cours à option ?</t>
        </is>
      </c>
      <c r="F53" s="3" t="inlineStr">
        <is>
          <t>Same factual answer as the equivalent English/German/French query; response language should match or be appropriate.</t>
        </is>
      </c>
      <c r="G53" s="3" t="inlineStr">
        <is>
          <t>Mixed</t>
        </is>
      </c>
      <c r="H53" s="3" t="inlineStr">
        <is>
          <t>API first, RAG fallback</t>
        </is>
      </c>
      <c r="I53" s="3" t="inlineStr">
        <is>
          <t>DB or PDF source</t>
        </is>
      </c>
      <c r="J53" s="3" t="inlineStr">
        <is>
          <t>elective rules</t>
        </is>
      </c>
      <c r="K53" s="3" t="inlineStr">
        <is>
          <t>Tests multilingual query understanding and response language consistency.</t>
        </is>
      </c>
      <c r="L53" s="3" t="n"/>
      <c r="M53" s="3" t="n"/>
      <c r="N53" s="3" t="n"/>
      <c r="O53" s="3" t="n"/>
      <c r="P53" s="3" t="n"/>
      <c r="Q53" s="3" t="n"/>
      <c r="R53" s="3" t="n"/>
      <c r="S53" s="3" t="n"/>
      <c r="T53" s="3" t="n"/>
      <c r="U53" s="3" t="n"/>
      <c r="V53" s="3" t="n"/>
      <c r="W53" s="3" t="n"/>
      <c r="X53" s="3" t="n"/>
      <c r="Y53" s="3" t="n"/>
      <c r="Z53" s="3" t="n"/>
      <c r="AA53" s="3" t="n"/>
      <c r="AB53" s="3" t="n"/>
      <c r="AC53" s="3" t="n"/>
      <c r="AD53" s="3" t="n"/>
      <c r="AE53" s="3" t="n"/>
      <c r="AF53" s="3" t="n"/>
      <c r="AG53" s="3" t="n"/>
    </row>
    <row r="54" ht="41.4" customHeight="1">
      <c r="A54" s="3" t="n">
        <v>53</v>
      </c>
      <c r="B54" s="3" t="inlineStr">
        <is>
          <t>multilingual</t>
        </is>
      </c>
      <c r="C54" s="3" t="inlineStr">
        <is>
          <t>medium</t>
        </is>
      </c>
      <c r="D54" s="3" t="inlineStr">
        <is>
          <t>EN</t>
        </is>
      </c>
      <c r="E54" s="3" t="inlineStr">
        <is>
          <t>What courses are Pflichtkurse in Theological Studies?</t>
        </is>
      </c>
      <c r="F54" s="3" t="inlineStr">
        <is>
          <t>Same factual answer as the equivalent English/German/French query; response language should match or be appropriate.</t>
        </is>
      </c>
      <c r="G54" s="3" t="inlineStr">
        <is>
          <t>Mixed</t>
        </is>
      </c>
      <c r="H54" s="3" t="inlineStr">
        <is>
          <t>API first, RAG fallback</t>
        </is>
      </c>
      <c r="I54" s="3" t="inlineStr">
        <is>
          <t>DB or PDF source</t>
        </is>
      </c>
      <c r="J54" s="3" t="inlineStr">
        <is>
          <t>mandatory courses</t>
        </is>
      </c>
      <c r="K54" s="3" t="inlineStr">
        <is>
          <t>Tests multilingual query understanding and response language consistency.</t>
        </is>
      </c>
      <c r="L54" s="3" t="n"/>
      <c r="M54" s="3" t="n"/>
      <c r="N54" s="3" t="n"/>
      <c r="O54" s="3" t="n"/>
      <c r="P54" s="3" t="n"/>
      <c r="Q54" s="3" t="n"/>
      <c r="R54" s="3" t="n"/>
      <c r="S54" s="3" t="n"/>
      <c r="T54" s="3" t="n"/>
      <c r="U54" s="3" t="n"/>
      <c r="V54" s="3" t="n"/>
      <c r="W54" s="3" t="n"/>
      <c r="X54" s="3" t="n"/>
      <c r="Y54" s="3" t="n"/>
      <c r="Z54" s="3" t="n"/>
      <c r="AA54" s="3" t="n"/>
      <c r="AB54" s="3" t="n"/>
      <c r="AC54" s="3" t="n"/>
      <c r="AD54" s="3" t="n"/>
      <c r="AE54" s="3" t="n"/>
      <c r="AF54" s="3" t="n"/>
      <c r="AG54" s="3" t="n"/>
    </row>
    <row r="55" ht="41.4" customHeight="1">
      <c r="A55" s="3" t="n">
        <v>54</v>
      </c>
      <c r="B55" s="3" t="inlineStr">
        <is>
          <t>multilingual</t>
        </is>
      </c>
      <c r="C55" s="3" t="inlineStr">
        <is>
          <t>medium</t>
        </is>
      </c>
      <c r="D55" s="3" t="inlineStr">
        <is>
          <t>EN</t>
        </is>
      </c>
      <c r="E55" s="3" t="inlineStr">
        <is>
          <t>Quels cours in Slavic Studies are electives?</t>
        </is>
      </c>
      <c r="F55" s="3" t="inlineStr">
        <is>
          <t>Same factual answer as the equivalent English/German/French query; response language should match or be appropriate.</t>
        </is>
      </c>
      <c r="G55" s="3" t="inlineStr">
        <is>
          <t>Mixed</t>
        </is>
      </c>
      <c r="H55" s="3" t="inlineStr">
        <is>
          <t>API first, RAG fallback</t>
        </is>
      </c>
      <c r="I55" s="3" t="inlineStr">
        <is>
          <t>DB or PDF source</t>
        </is>
      </c>
      <c r="J55" s="3" t="inlineStr">
        <is>
          <t>elective courses</t>
        </is>
      </c>
      <c r="K55" s="3" t="inlineStr">
        <is>
          <t>Tests multilingual query understanding and response language consistency.</t>
        </is>
      </c>
      <c r="L55" s="3" t="n"/>
      <c r="M55" s="3" t="n"/>
      <c r="N55" s="3" t="n"/>
      <c r="O55" s="3" t="n"/>
      <c r="P55" s="3" t="n"/>
      <c r="Q55" s="3" t="n"/>
      <c r="R55" s="3" t="n"/>
      <c r="S55" s="3" t="n"/>
      <c r="T55" s="3" t="n"/>
      <c r="U55" s="3" t="n"/>
      <c r="V55" s="3" t="n"/>
      <c r="W55" s="3" t="n"/>
      <c r="X55" s="3" t="n"/>
      <c r="Y55" s="3" t="n"/>
      <c r="Z55" s="3" t="n"/>
      <c r="AA55" s="3" t="n"/>
      <c r="AB55" s="3" t="n"/>
      <c r="AC55" s="3" t="n"/>
      <c r="AD55" s="3" t="n"/>
      <c r="AE55" s="3" t="n"/>
      <c r="AF55" s="3" t="n"/>
      <c r="AG55" s="3" t="n"/>
    </row>
    <row r="56" ht="41.4" customHeight="1">
      <c r="A56" s="3" t="n">
        <v>55</v>
      </c>
      <c r="B56" s="3" t="inlineStr">
        <is>
          <t>ambiguous</t>
        </is>
      </c>
      <c r="C56" s="3" t="inlineStr">
        <is>
          <t>medium</t>
        </is>
      </c>
      <c r="D56" s="3" t="inlineStr">
        <is>
          <t>EN</t>
        </is>
      </c>
      <c r="E56" s="3" t="inlineStr">
        <is>
          <t>Tell me about the Informatics Bachelor.</t>
        </is>
      </c>
      <c r="F56" s="3" t="inlineStr">
        <is>
          <t>Should provide cautious answer, ask for missing information when needed, and avoid unsupported recommendations.</t>
        </is>
      </c>
      <c r="G56" s="3" t="inlineStr">
        <is>
          <t>Mixed</t>
        </is>
      </c>
      <c r="H56" s="3" t="inlineStr">
        <is>
          <t>API/RAG/clarification</t>
        </is>
      </c>
      <c r="I56" s="3" t="inlineStr">
        <is>
          <t>DB or documents if used</t>
        </is>
      </c>
      <c r="J56" s="3" t="inlineStr">
        <is>
          <t>clarification behavior, no hallucination</t>
        </is>
      </c>
      <c r="K56" s="3" t="inlineStr">
        <is>
          <t>Useful for qualitative analysis.</t>
        </is>
      </c>
      <c r="L56" s="3" t="n"/>
      <c r="M56" s="3" t="n"/>
      <c r="N56" s="3" t="n"/>
      <c r="O56" s="3" t="n"/>
      <c r="P56" s="3" t="n"/>
      <c r="Q56" s="3" t="n"/>
      <c r="R56" s="3" t="n"/>
      <c r="S56" s="3" t="n"/>
      <c r="T56" s="3" t="n"/>
      <c r="U56" s="3" t="n"/>
      <c r="V56" s="3" t="n"/>
      <c r="W56" s="3" t="n"/>
      <c r="X56" s="3" t="n"/>
      <c r="Y56" s="3" t="n"/>
      <c r="Z56" s="3" t="n"/>
      <c r="AA56" s="3" t="n"/>
      <c r="AB56" s="3" t="n"/>
      <c r="AC56" s="3" t="n"/>
      <c r="AD56" s="3" t="n"/>
      <c r="AE56" s="3" t="n"/>
      <c r="AF56" s="3" t="n"/>
      <c r="AG56" s="3" t="n"/>
    </row>
    <row r="57" ht="41.4" customHeight="1">
      <c r="A57" s="3" t="n">
        <v>56</v>
      </c>
      <c r="B57" s="3" t="inlineStr">
        <is>
          <t>ambiguous</t>
        </is>
      </c>
      <c r="C57" s="3" t="inlineStr">
        <is>
          <t>medium</t>
        </is>
      </c>
      <c r="D57" s="3" t="inlineStr">
        <is>
          <t>EN</t>
        </is>
      </c>
      <c r="E57" s="3" t="inlineStr">
        <is>
          <t>What should I take in my first semester?</t>
        </is>
      </c>
      <c r="F57" s="3" t="inlineStr">
        <is>
          <t>Should provide cautious answer, ask for missing information when needed, and avoid unsupported recommendations.</t>
        </is>
      </c>
      <c r="G57" s="3" t="inlineStr">
        <is>
          <t>Mixed</t>
        </is>
      </c>
      <c r="H57" s="3" t="inlineStr">
        <is>
          <t>API/RAG/clarification</t>
        </is>
      </c>
      <c r="I57" s="3" t="inlineStr">
        <is>
          <t>DB or documents if used</t>
        </is>
      </c>
      <c r="J57" s="3" t="inlineStr">
        <is>
          <t>clarification behavior, no hallucination</t>
        </is>
      </c>
      <c r="K57" s="3" t="inlineStr">
        <is>
          <t>Useful for qualitative analysis.</t>
        </is>
      </c>
      <c r="L57" s="3" t="n"/>
      <c r="M57" s="3" t="n"/>
      <c r="N57" s="3" t="n"/>
      <c r="O57" s="3" t="n"/>
      <c r="P57" s="3" t="n"/>
      <c r="Q57" s="3" t="n"/>
      <c r="R57" s="3" t="n"/>
      <c r="S57" s="3" t="n"/>
      <c r="T57" s="3" t="n"/>
      <c r="U57" s="3" t="n"/>
      <c r="V57" s="3" t="n"/>
      <c r="W57" s="3" t="n"/>
      <c r="X57" s="3" t="n"/>
      <c r="Y57" s="3" t="n"/>
      <c r="Z57" s="3" t="n"/>
      <c r="AA57" s="3" t="n"/>
      <c r="AB57" s="3" t="n"/>
      <c r="AC57" s="3" t="n"/>
      <c r="AD57" s="3" t="n"/>
      <c r="AE57" s="3" t="n"/>
      <c r="AF57" s="3" t="n"/>
      <c r="AG57" s="3" t="n"/>
    </row>
    <row r="58" ht="41.4" customHeight="1">
      <c r="A58" s="3" t="n">
        <v>57</v>
      </c>
      <c r="B58" s="3" t="inlineStr">
        <is>
          <t>ambiguous</t>
        </is>
      </c>
      <c r="C58" s="3" t="inlineStr">
        <is>
          <t>medium</t>
        </is>
      </c>
      <c r="D58" s="3" t="inlineStr">
        <is>
          <t>EN</t>
        </is>
      </c>
      <c r="E58" s="3" t="inlineStr">
        <is>
          <t>Which courses are interesting for AI?</t>
        </is>
      </c>
      <c r="F58" s="3" t="inlineStr">
        <is>
          <t>Should provide cautious answer, ask for missing information when needed, and avoid unsupported recommendations.</t>
        </is>
      </c>
      <c r="G58" s="3" t="inlineStr">
        <is>
          <t>Mixed</t>
        </is>
      </c>
      <c r="H58" s="3" t="inlineStr">
        <is>
          <t>API/RAG/clarification</t>
        </is>
      </c>
      <c r="I58" s="3" t="inlineStr">
        <is>
          <t>DB or documents if used</t>
        </is>
      </c>
      <c r="J58" s="3" t="inlineStr">
        <is>
          <t>clarification behavior, no hallucination</t>
        </is>
      </c>
      <c r="K58" s="3" t="inlineStr">
        <is>
          <t>Useful for qualitative analysis.</t>
        </is>
      </c>
      <c r="L58" s="3" t="n"/>
      <c r="M58" s="3" t="n"/>
      <c r="N58" s="3" t="n"/>
      <c r="O58" s="3" t="n"/>
      <c r="P58" s="3" t="n"/>
      <c r="Q58" s="3" t="n"/>
      <c r="R58" s="3" t="n"/>
      <c r="S58" s="3" t="n"/>
      <c r="T58" s="3" t="n"/>
      <c r="U58" s="3" t="n"/>
      <c r="V58" s="3" t="n"/>
      <c r="W58" s="3" t="n"/>
      <c r="X58" s="3" t="n"/>
      <c r="Y58" s="3" t="n"/>
      <c r="Z58" s="3" t="n"/>
      <c r="AA58" s="3" t="n"/>
      <c r="AB58" s="3" t="n"/>
      <c r="AC58" s="3" t="n"/>
      <c r="AD58" s="3" t="n"/>
      <c r="AE58" s="3" t="n"/>
      <c r="AF58" s="3" t="n"/>
      <c r="AG58" s="3" t="n"/>
    </row>
    <row r="59" ht="41.4" customHeight="1">
      <c r="A59" s="3" t="n">
        <v>58</v>
      </c>
      <c r="B59" s="3" t="inlineStr">
        <is>
          <t>ambiguous</t>
        </is>
      </c>
      <c r="C59" s="3" t="inlineStr">
        <is>
          <t>medium</t>
        </is>
      </c>
      <c r="D59" s="3" t="inlineStr">
        <is>
          <t>EN</t>
        </is>
      </c>
      <c r="E59" s="3" t="inlineStr">
        <is>
          <t>I want an easy semester. What courses should I choose?</t>
        </is>
      </c>
      <c r="F59" s="3" t="inlineStr">
        <is>
          <t>Should provide cautious answer, ask for missing information when needed, and avoid unsupported recommendations.</t>
        </is>
      </c>
      <c r="G59" s="3" t="inlineStr">
        <is>
          <t>Mixed</t>
        </is>
      </c>
      <c r="H59" s="3" t="inlineStr">
        <is>
          <t>API/RAG/clarification</t>
        </is>
      </c>
      <c r="I59" s="3" t="inlineStr">
        <is>
          <t>DB or documents if used</t>
        </is>
      </c>
      <c r="J59" s="3" t="inlineStr">
        <is>
          <t>clarification behavior, no hallucination</t>
        </is>
      </c>
      <c r="K59" s="3" t="inlineStr">
        <is>
          <t>Useful for qualitative analysis.</t>
        </is>
      </c>
      <c r="L59" s="3" t="n"/>
      <c r="M59" s="3" t="n"/>
      <c r="N59" s="3" t="n"/>
      <c r="O59" s="3" t="n"/>
      <c r="P59" s="3" t="n"/>
      <c r="Q59" s="3" t="n"/>
      <c r="R59" s="3" t="n"/>
      <c r="S59" s="3" t="n"/>
      <c r="T59" s="3" t="n"/>
      <c r="U59" s="3" t="n"/>
      <c r="V59" s="3" t="n"/>
      <c r="W59" s="3" t="n"/>
      <c r="X59" s="3" t="n"/>
      <c r="Y59" s="3" t="n"/>
      <c r="Z59" s="3" t="n"/>
      <c r="AA59" s="3" t="n"/>
      <c r="AB59" s="3" t="n"/>
      <c r="AC59" s="3" t="n"/>
      <c r="AD59" s="3" t="n"/>
      <c r="AE59" s="3" t="n"/>
      <c r="AF59" s="3" t="n"/>
      <c r="AG59" s="3" t="n"/>
    </row>
    <row r="60" ht="41.4" customHeight="1">
      <c r="A60" s="3" t="n">
        <v>59</v>
      </c>
      <c r="B60" s="3" t="inlineStr">
        <is>
          <t>ambiguous</t>
        </is>
      </c>
      <c r="C60" s="3" t="inlineStr">
        <is>
          <t>medium</t>
        </is>
      </c>
      <c r="D60" s="3" t="inlineStr">
        <is>
          <t>EN</t>
        </is>
      </c>
      <c r="E60" s="3" t="inlineStr">
        <is>
          <t>Can I study economics and computer science together?</t>
        </is>
      </c>
      <c r="F60" s="3" t="inlineStr">
        <is>
          <t>Should provide cautious answer, ask for missing information when needed, and avoid unsupported recommendations.</t>
        </is>
      </c>
      <c r="G60" s="3" t="inlineStr">
        <is>
          <t>Mixed</t>
        </is>
      </c>
      <c r="H60" s="3" t="inlineStr">
        <is>
          <t>API/RAG/clarification</t>
        </is>
      </c>
      <c r="I60" s="3" t="inlineStr">
        <is>
          <t>DB or documents if used</t>
        </is>
      </c>
      <c r="J60" s="3" t="inlineStr">
        <is>
          <t>clarification behavior, no hallucination</t>
        </is>
      </c>
      <c r="K60" s="3" t="inlineStr">
        <is>
          <t>Useful for qualitative analysis.</t>
        </is>
      </c>
      <c r="L60" s="3" t="n"/>
      <c r="M60" s="3" t="n"/>
      <c r="N60" s="3" t="n"/>
      <c r="O60" s="3" t="n"/>
      <c r="P60" s="3" t="n"/>
      <c r="Q60" s="3" t="n"/>
      <c r="R60" s="3" t="n"/>
      <c r="S60" s="3" t="n"/>
      <c r="T60" s="3" t="n"/>
      <c r="U60" s="3" t="n"/>
      <c r="V60" s="3" t="n"/>
      <c r="W60" s="3" t="n"/>
      <c r="X60" s="3" t="n"/>
      <c r="Y60" s="3" t="n"/>
      <c r="Z60" s="3" t="n"/>
      <c r="AA60" s="3" t="n"/>
      <c r="AB60" s="3" t="n"/>
      <c r="AC60" s="3" t="n"/>
      <c r="AD60" s="3" t="n"/>
      <c r="AE60" s="3" t="n"/>
      <c r="AF60" s="3" t="n"/>
      <c r="AG60" s="3" t="n"/>
    </row>
    <row r="61" ht="41.4" customHeight="1">
      <c r="A61" s="3" t="n">
        <v>60</v>
      </c>
      <c r="B61" s="3" t="inlineStr">
        <is>
          <t>ambiguous</t>
        </is>
      </c>
      <c r="C61" s="3" t="inlineStr">
        <is>
          <t>medium</t>
        </is>
      </c>
      <c r="D61" s="3" t="inlineStr">
        <is>
          <t>EN</t>
        </is>
      </c>
      <c r="E61" s="3" t="inlineStr">
        <is>
          <t>Which program is best for me?</t>
        </is>
      </c>
      <c r="F61" s="3" t="inlineStr">
        <is>
          <t>Should provide cautious answer, ask for missing information when needed, and avoid unsupported recommendations.</t>
        </is>
      </c>
      <c r="G61" s="3" t="inlineStr">
        <is>
          <t>Mixed</t>
        </is>
      </c>
      <c r="H61" s="3" t="inlineStr">
        <is>
          <t>API/RAG/clarification</t>
        </is>
      </c>
      <c r="I61" s="3" t="inlineStr">
        <is>
          <t>DB or documents if used</t>
        </is>
      </c>
      <c r="J61" s="3" t="inlineStr">
        <is>
          <t>clarification behavior, no hallucination</t>
        </is>
      </c>
      <c r="K61" s="3" t="inlineStr">
        <is>
          <t>Useful for qualitative analysis.</t>
        </is>
      </c>
      <c r="L61" s="3" t="n"/>
      <c r="M61" s="3" t="n"/>
      <c r="N61" s="3" t="n"/>
      <c r="O61" s="3" t="n"/>
      <c r="P61" s="3" t="n"/>
      <c r="Q61" s="3" t="n"/>
      <c r="R61" s="3" t="n"/>
      <c r="S61" s="3" t="n"/>
      <c r="T61" s="3" t="n"/>
      <c r="U61" s="3" t="n"/>
      <c r="V61" s="3" t="n"/>
      <c r="W61" s="3" t="n"/>
      <c r="X61" s="3" t="n"/>
      <c r="Y61" s="3" t="n"/>
      <c r="Z61" s="3" t="n"/>
      <c r="AA61" s="3" t="n"/>
      <c r="AB61" s="3" t="n"/>
      <c r="AC61" s="3" t="n"/>
      <c r="AD61" s="3" t="n"/>
      <c r="AE61" s="3" t="n"/>
      <c r="AF61" s="3" t="n"/>
      <c r="AG61" s="3" t="n"/>
    </row>
    <row r="62" ht="41.4" customHeight="1">
      <c r="A62" s="3" t="n">
        <v>61</v>
      </c>
      <c r="B62" s="3" t="inlineStr">
        <is>
          <t>ambiguous</t>
        </is>
      </c>
      <c r="C62" s="3" t="inlineStr">
        <is>
          <t>medium</t>
        </is>
      </c>
      <c r="D62" s="3" t="inlineStr">
        <is>
          <t>EN</t>
        </is>
      </c>
      <c r="E62" s="3" t="inlineStr">
        <is>
          <t>Explain UE-F22.00088.</t>
        </is>
      </c>
      <c r="F62" s="3" t="inlineStr">
        <is>
          <t>Should provide cautious answer, ask for missing information when needed, and avoid unsupported recommendations.</t>
        </is>
      </c>
      <c r="G62" s="3" t="inlineStr">
        <is>
          <t>Mixed</t>
        </is>
      </c>
      <c r="H62" s="3" t="inlineStr">
        <is>
          <t>API/RAG/clarification</t>
        </is>
      </c>
      <c r="I62" s="3" t="inlineStr">
        <is>
          <t>DB or documents if used</t>
        </is>
      </c>
      <c r="J62" s="3" t="inlineStr">
        <is>
          <t>clarification behavior, no hallucination</t>
        </is>
      </c>
      <c r="K62" s="3" t="inlineStr">
        <is>
          <t>Useful for qualitative analysis.</t>
        </is>
      </c>
      <c r="L62" s="3" t="n"/>
      <c r="M62" s="3" t="n"/>
      <c r="N62" s="3" t="n"/>
      <c r="O62" s="3" t="n"/>
      <c r="P62" s="3" t="n"/>
      <c r="Q62" s="3" t="n"/>
      <c r="R62" s="3" t="n"/>
      <c r="S62" s="3" t="n"/>
      <c r="T62" s="3" t="n"/>
      <c r="U62" s="3" t="n"/>
      <c r="V62" s="3" t="n"/>
      <c r="W62" s="3" t="n"/>
      <c r="X62" s="3" t="n"/>
      <c r="Y62" s="3" t="n"/>
      <c r="Z62" s="3" t="n"/>
      <c r="AA62" s="3" t="n"/>
      <c r="AB62" s="3" t="n"/>
      <c r="AC62" s="3" t="n"/>
      <c r="AD62" s="3" t="n"/>
      <c r="AE62" s="3" t="n"/>
      <c r="AF62" s="3" t="n"/>
      <c r="AG62" s="3" t="n"/>
    </row>
    <row r="63" ht="41.4" customHeight="1">
      <c r="A63" s="3" t="n">
        <v>62</v>
      </c>
      <c r="B63" s="3" t="inlineStr">
        <is>
          <t>ambiguous</t>
        </is>
      </c>
      <c r="C63" s="3" t="inlineStr">
        <is>
          <t>medium</t>
        </is>
      </c>
      <c r="D63" s="3" t="inlineStr">
        <is>
          <t>EN</t>
        </is>
      </c>
      <c r="E63" s="3" t="inlineStr">
        <is>
          <t>What can I study at Unifr?</t>
        </is>
      </c>
      <c r="F63" s="3" t="inlineStr">
        <is>
          <t>Should provide cautious answer, ask for missing information when needed, and avoid unsupported recommendations.</t>
        </is>
      </c>
      <c r="G63" s="3" t="inlineStr">
        <is>
          <t>Mixed</t>
        </is>
      </c>
      <c r="H63" s="3" t="inlineStr">
        <is>
          <t>API/RAG/clarification</t>
        </is>
      </c>
      <c r="I63" s="3" t="inlineStr">
        <is>
          <t>DB or documents if used</t>
        </is>
      </c>
      <c r="J63" s="3" t="inlineStr">
        <is>
          <t>clarification behavior, no hallucination</t>
        </is>
      </c>
      <c r="K63" s="3" t="inlineStr">
        <is>
          <t>Useful for qualitative analysis.</t>
        </is>
      </c>
      <c r="L63" s="3" t="n"/>
      <c r="M63" s="3" t="n"/>
      <c r="N63" s="3" t="n"/>
      <c r="O63" s="3" t="n"/>
      <c r="P63" s="3" t="n"/>
      <c r="Q63" s="3" t="n"/>
      <c r="R63" s="3" t="n"/>
      <c r="S63" s="3" t="n"/>
      <c r="T63" s="3" t="n"/>
      <c r="U63" s="3" t="n"/>
      <c r="V63" s="3" t="n"/>
      <c r="W63" s="3" t="n"/>
      <c r="X63" s="3" t="n"/>
      <c r="Y63" s="3" t="n"/>
      <c r="Z63" s="3" t="n"/>
      <c r="AA63" s="3" t="n"/>
      <c r="AB63" s="3" t="n"/>
      <c r="AC63" s="3" t="n"/>
      <c r="AD63" s="3" t="n"/>
      <c r="AE63" s="3" t="n"/>
      <c r="AF63" s="3" t="n"/>
      <c r="AG63" s="3" t="n"/>
    </row>
    <row r="64" ht="27.6" customHeight="1">
      <c r="A64" s="3" t="n">
        <v>63</v>
      </c>
      <c r="B64" s="3" t="inlineStr">
        <is>
          <t>unanswerable</t>
        </is>
      </c>
      <c r="C64" s="3" t="inlineStr">
        <is>
          <t>medium</t>
        </is>
      </c>
      <c r="D64" s="3" t="inlineStr">
        <is>
          <t>EN</t>
        </is>
      </c>
      <c r="E64" s="3" t="inlineStr">
        <is>
          <t>What will the exact schedule of UE-TTH.01524 be in 2030?</t>
        </is>
      </c>
      <c r="F64" s="3" t="inlineStr">
        <is>
          <t>Should explicitly say that the information is not available/cannot be answered from provided data.</t>
        </is>
      </c>
      <c r="G64" s="3" t="inlineStr">
        <is>
          <t>None</t>
        </is>
      </c>
      <c r="H64" s="3" t="inlineStr">
        <is>
          <t>No tool or explicit fallback no-answer</t>
        </is>
      </c>
      <c r="I64" s="3" t="inlineStr">
        <is>
          <t>N/A</t>
        </is>
      </c>
      <c r="J64" s="3" t="inlineStr">
        <is>
          <t>safe refusal / no-answer behavior</t>
        </is>
      </c>
      <c r="K64" s="3" t="inlineStr">
        <is>
          <t>Critical for hallucination rate.</t>
        </is>
      </c>
      <c r="L64" s="3" t="n"/>
      <c r="M64" s="3" t="n"/>
      <c r="N64" s="3" t="n"/>
      <c r="O64" s="3" t="n"/>
      <c r="P64" s="3" t="n"/>
      <c r="Q64" s="3" t="n"/>
      <c r="R64" s="3" t="n"/>
      <c r="S64" s="3" t="n"/>
      <c r="T64" s="3" t="n"/>
      <c r="U64" s="3" t="n"/>
      <c r="V64" s="3" t="n"/>
      <c r="W64" s="3" t="n"/>
      <c r="X64" s="3" t="n"/>
      <c r="Y64" s="3" t="n"/>
      <c r="Z64" s="3" t="n"/>
      <c r="AA64" s="3" t="n"/>
      <c r="AB64" s="3" t="n"/>
      <c r="AC64" s="3" t="n"/>
      <c r="AD64" s="3" t="n"/>
      <c r="AE64" s="3" t="n"/>
      <c r="AF64" s="3" t="n"/>
      <c r="AG64" s="3" t="n"/>
    </row>
    <row r="65" ht="27.6" customHeight="1">
      <c r="A65" s="3" t="n">
        <v>64</v>
      </c>
      <c r="B65" s="3" t="inlineStr">
        <is>
          <t>unanswerable</t>
        </is>
      </c>
      <c r="C65" s="3" t="inlineStr">
        <is>
          <t>medium</t>
        </is>
      </c>
      <c r="D65" s="3" t="inlineStr">
        <is>
          <t>EN</t>
        </is>
      </c>
      <c r="E65" s="3" t="inlineStr">
        <is>
          <t>Which professor is the best teacher for UE-DDR.02408?</t>
        </is>
      </c>
      <c r="F65" s="3" t="inlineStr">
        <is>
          <t>Should explicitly say that the information is not available/cannot be answered from provided data.</t>
        </is>
      </c>
      <c r="G65" s="3" t="inlineStr">
        <is>
          <t>None</t>
        </is>
      </c>
      <c r="H65" s="3" t="inlineStr">
        <is>
          <t>No tool or explicit fallback no-answer</t>
        </is>
      </c>
      <c r="I65" s="3" t="inlineStr">
        <is>
          <t>N/A</t>
        </is>
      </c>
      <c r="J65" s="3" t="inlineStr">
        <is>
          <t>safe refusal / no-answer behavior</t>
        </is>
      </c>
      <c r="K65" s="3" t="inlineStr">
        <is>
          <t>Critical for hallucination rate.</t>
        </is>
      </c>
      <c r="L65" s="3" t="n"/>
      <c r="M65" s="3" t="n"/>
      <c r="N65" s="3" t="n"/>
      <c r="O65" s="3" t="n"/>
      <c r="P65" s="3" t="n"/>
      <c r="Q65" s="3" t="n"/>
      <c r="R65" s="3" t="n"/>
      <c r="S65" s="3" t="n"/>
      <c r="T65" s="3" t="n"/>
      <c r="U65" s="3" t="n"/>
      <c r="V65" s="3" t="n"/>
      <c r="W65" s="3" t="n"/>
      <c r="X65" s="3" t="n"/>
      <c r="Y65" s="3" t="n"/>
      <c r="Z65" s="3" t="n"/>
      <c r="AA65" s="3" t="n"/>
      <c r="AB65" s="3" t="n"/>
      <c r="AC65" s="3" t="n"/>
      <c r="AD65" s="3" t="n"/>
      <c r="AE65" s="3" t="n"/>
      <c r="AF65" s="3" t="n"/>
      <c r="AG65" s="3" t="n"/>
    </row>
    <row r="66" ht="27.6" customHeight="1">
      <c r="A66" s="3" t="n">
        <v>65</v>
      </c>
      <c r="B66" s="3" t="inlineStr">
        <is>
          <t>unanswerable</t>
        </is>
      </c>
      <c r="C66" s="3" t="inlineStr">
        <is>
          <t>medium</t>
        </is>
      </c>
      <c r="D66" s="3" t="inlineStr">
        <is>
          <t>EN</t>
        </is>
      </c>
      <c r="E66" s="3" t="inlineStr">
        <is>
          <t>What grade will I get if I take UE-L06.01393	?</t>
        </is>
      </c>
      <c r="F66" s="3" t="inlineStr">
        <is>
          <t>Should explicitly say that the information is not available/cannot be answered from provided data.</t>
        </is>
      </c>
      <c r="G66" s="3" t="inlineStr">
        <is>
          <t>None</t>
        </is>
      </c>
      <c r="H66" s="3" t="inlineStr">
        <is>
          <t>No tool or explicit fallback no-answer</t>
        </is>
      </c>
      <c r="I66" s="3" t="inlineStr">
        <is>
          <t>N/A</t>
        </is>
      </c>
      <c r="J66" s="3" t="inlineStr">
        <is>
          <t>safe refusal / no-answer behavior</t>
        </is>
      </c>
      <c r="K66" s="3" t="inlineStr">
        <is>
          <t>Critical for hallucination rate.</t>
        </is>
      </c>
      <c r="L66" s="3" t="n"/>
      <c r="M66" s="3" t="n"/>
      <c r="N66" s="3" t="n"/>
      <c r="O66" s="3" t="n"/>
      <c r="P66" s="3" t="n"/>
      <c r="Q66" s="3" t="n"/>
      <c r="R66" s="3" t="n"/>
      <c r="S66" s="3" t="n"/>
      <c r="T66" s="3" t="n"/>
      <c r="U66" s="3" t="n"/>
      <c r="V66" s="3" t="n"/>
      <c r="W66" s="3" t="n"/>
      <c r="X66" s="3" t="n"/>
      <c r="Y66" s="3" t="n"/>
      <c r="Z66" s="3" t="n"/>
      <c r="AA66" s="3" t="n"/>
      <c r="AB66" s="3" t="n"/>
      <c r="AC66" s="3" t="n"/>
      <c r="AD66" s="3" t="n"/>
      <c r="AE66" s="3" t="n"/>
      <c r="AF66" s="3" t="n"/>
      <c r="AG66" s="3" t="n"/>
    </row>
    <row r="67" ht="27.6" customHeight="1">
      <c r="A67" s="3" t="n">
        <v>66</v>
      </c>
      <c r="B67" s="3" t="inlineStr">
        <is>
          <t>unanswerable</t>
        </is>
      </c>
      <c r="C67" s="3" t="inlineStr">
        <is>
          <t>medium</t>
        </is>
      </c>
      <c r="D67" s="3" t="inlineStr">
        <is>
          <t>EN</t>
        </is>
      </c>
      <c r="E67" s="3" t="inlineStr">
        <is>
          <t>Does Greek Studies guarantee a job at Google?</t>
        </is>
      </c>
      <c r="F67" s="3" t="inlineStr">
        <is>
          <t>Should explicitly say that the information is not available/cannot be answered from provided data.</t>
        </is>
      </c>
      <c r="G67" s="3" t="inlineStr">
        <is>
          <t>None</t>
        </is>
      </c>
      <c r="H67" s="3" t="inlineStr">
        <is>
          <t>No tool or explicit fallback no-answer</t>
        </is>
      </c>
      <c r="I67" s="3" t="inlineStr">
        <is>
          <t>N/A</t>
        </is>
      </c>
      <c r="J67" s="3" t="inlineStr">
        <is>
          <t>safe refusal / no-answer behavior</t>
        </is>
      </c>
      <c r="K67" s="3" t="inlineStr">
        <is>
          <t>Critical for hallucination rate.</t>
        </is>
      </c>
      <c r="L67" s="3" t="n"/>
      <c r="M67" s="3" t="n"/>
      <c r="N67" s="3" t="n"/>
      <c r="O67" s="3" t="n"/>
      <c r="P67" s="3" t="n"/>
      <c r="Q67" s="3" t="n"/>
      <c r="R67" s="3" t="n"/>
      <c r="S67" s="3" t="n"/>
      <c r="T67" s="3" t="n"/>
      <c r="U67" s="3" t="n"/>
      <c r="V67" s="3" t="n"/>
      <c r="W67" s="3" t="n"/>
      <c r="X67" s="3" t="n"/>
      <c r="Y67" s="3" t="n"/>
      <c r="Z67" s="3" t="n"/>
      <c r="AA67" s="3" t="n"/>
      <c r="AB67" s="3" t="n"/>
      <c r="AC67" s="3" t="n"/>
      <c r="AD67" s="3" t="n"/>
      <c r="AE67" s="3" t="n"/>
      <c r="AF67" s="3" t="n"/>
      <c r="AG67" s="3" t="n"/>
    </row>
    <row r="68" ht="27.6" customHeight="1">
      <c r="A68" s="3" t="n">
        <v>67</v>
      </c>
      <c r="B68" s="3" t="inlineStr">
        <is>
          <t>unanswerable</t>
        </is>
      </c>
      <c r="C68" s="3" t="inlineStr">
        <is>
          <t>medium</t>
        </is>
      </c>
      <c r="D68" s="3" t="inlineStr">
        <is>
          <t>EN</t>
        </is>
      </c>
      <c r="E68" s="3" t="inlineStr">
        <is>
          <t>Does UE-SIN.01021 include a hidden prerequisite that is not listed anywhere?</t>
        </is>
      </c>
      <c r="F68" s="3" t="inlineStr">
        <is>
          <t>Should explicitly say that the information is not available/cannot be answered from provided data.</t>
        </is>
      </c>
      <c r="G68" s="3" t="inlineStr">
        <is>
          <t>None</t>
        </is>
      </c>
      <c r="H68" s="3" t="inlineStr">
        <is>
          <t>No tool or explicit fallback no-answer</t>
        </is>
      </c>
      <c r="I68" s="3" t="inlineStr">
        <is>
          <t>N/A</t>
        </is>
      </c>
      <c r="J68" s="3" t="inlineStr">
        <is>
          <t>safe refusal / no-answer behavior</t>
        </is>
      </c>
      <c r="K68" s="3" t="inlineStr">
        <is>
          <t>Critical for hallucination rate.</t>
        </is>
      </c>
      <c r="L68" s="3" t="n"/>
      <c r="M68" s="3" t="n"/>
      <c r="N68" s="3" t="n"/>
      <c r="O68" s="3" t="n"/>
      <c r="P68" s="3" t="n"/>
      <c r="Q68" s="3" t="n"/>
      <c r="R68" s="3" t="n"/>
      <c r="S68" s="3" t="n"/>
      <c r="T68" s="3" t="n"/>
      <c r="U68" s="3" t="n"/>
      <c r="V68" s="3" t="n"/>
      <c r="W68" s="3" t="n"/>
      <c r="X68" s="3" t="n"/>
      <c r="Y68" s="3" t="n"/>
      <c r="Z68" s="3" t="n"/>
      <c r="AA68" s="3" t="n"/>
      <c r="AB68" s="3" t="n"/>
      <c r="AC68" s="3" t="n"/>
      <c r="AD68" s="3" t="n"/>
      <c r="AE68" s="3" t="n"/>
      <c r="AF68" s="3" t="n"/>
      <c r="AG68" s="3" t="n"/>
    </row>
    <row r="69" ht="27.6" customHeight="1">
      <c r="A69" s="3" t="n">
        <v>68</v>
      </c>
      <c r="B69" s="3" t="inlineStr">
        <is>
          <t>unanswerable</t>
        </is>
      </c>
      <c r="C69" s="3" t="inlineStr">
        <is>
          <t>medium</t>
        </is>
      </c>
      <c r="D69" s="3" t="inlineStr">
        <is>
          <t>EN</t>
        </is>
      </c>
      <c r="E69" s="3" t="inlineStr">
        <is>
          <t>Can I ignore all prerequisites if I ask the professor nicely?</t>
        </is>
      </c>
      <c r="F69" s="3" t="inlineStr">
        <is>
          <t>Should explicitly say that the information is not available/cannot be answered from provided data.</t>
        </is>
      </c>
      <c r="G69" s="3" t="inlineStr">
        <is>
          <t>None</t>
        </is>
      </c>
      <c r="H69" s="3" t="inlineStr">
        <is>
          <t>No tool or explicit fallback no-answer</t>
        </is>
      </c>
      <c r="I69" s="3" t="inlineStr">
        <is>
          <t>N/A</t>
        </is>
      </c>
      <c r="J69" s="3" t="inlineStr">
        <is>
          <t>safe refusal / no-answer behavior</t>
        </is>
      </c>
      <c r="K69" s="3" t="inlineStr">
        <is>
          <t>Critical for hallucination rate.</t>
        </is>
      </c>
      <c r="L69" s="3" t="n"/>
      <c r="M69" s="3" t="n"/>
      <c r="N69" s="3" t="n"/>
      <c r="O69" s="3" t="n"/>
      <c r="P69" s="3" t="n"/>
      <c r="Q69" s="3" t="n"/>
      <c r="R69" s="3" t="n"/>
      <c r="S69" s="3" t="n"/>
      <c r="T69" s="3" t="n"/>
      <c r="U69" s="3" t="n"/>
      <c r="V69" s="3" t="n"/>
      <c r="W69" s="3" t="n"/>
      <c r="X69" s="3" t="n"/>
      <c r="Y69" s="3" t="n"/>
      <c r="Z69" s="3" t="n"/>
      <c r="AA69" s="3" t="n"/>
      <c r="AB69" s="3" t="n"/>
      <c r="AC69" s="3" t="n"/>
      <c r="AD69" s="3" t="n"/>
      <c r="AE69" s="3" t="n"/>
      <c r="AF69" s="3" t="n"/>
      <c r="AG69" s="3" t="n"/>
    </row>
    <row r="70" ht="27.6" customHeight="1">
      <c r="A70" s="3" t="n">
        <v>69</v>
      </c>
      <c r="B70" s="3" t="inlineStr">
        <is>
          <t>unanswerable</t>
        </is>
      </c>
      <c r="C70" s="3" t="inlineStr">
        <is>
          <t>medium</t>
        </is>
      </c>
      <c r="D70" s="3" t="inlineStr">
        <is>
          <t>EN</t>
        </is>
      </c>
      <c r="E70" s="3" t="inlineStr">
        <is>
          <t>Which course has the highest student satisfaction rating?</t>
        </is>
      </c>
      <c r="F70" s="3" t="inlineStr">
        <is>
          <t>Should explicitly say that the information is not available/cannot be answered from provided data.</t>
        </is>
      </c>
      <c r="G70" s="3" t="inlineStr">
        <is>
          <t>None</t>
        </is>
      </c>
      <c r="H70" s="3" t="inlineStr">
        <is>
          <t>No tool or explicit fallback no-answer</t>
        </is>
      </c>
      <c r="I70" s="3" t="inlineStr">
        <is>
          <t>N/A</t>
        </is>
      </c>
      <c r="J70" s="3" t="inlineStr">
        <is>
          <t>safe refusal / no-answer behavior</t>
        </is>
      </c>
      <c r="K70" s="3" t="inlineStr">
        <is>
          <t>Critical for hallucination rate.</t>
        </is>
      </c>
      <c r="L70" s="3" t="n"/>
      <c r="M70" s="3" t="n"/>
      <c r="N70" s="3" t="n"/>
      <c r="O70" s="3" t="n"/>
      <c r="P70" s="3" t="n"/>
      <c r="Q70" s="3" t="n"/>
      <c r="R70" s="3" t="n"/>
      <c r="S70" s="3" t="n"/>
      <c r="T70" s="3" t="n"/>
      <c r="U70" s="3" t="n"/>
      <c r="V70" s="3" t="n"/>
      <c r="W70" s="3" t="n"/>
      <c r="X70" s="3" t="n"/>
      <c r="Y70" s="3" t="n"/>
      <c r="Z70" s="3" t="n"/>
      <c r="AA70" s="3" t="n"/>
      <c r="AB70" s="3" t="n"/>
      <c r="AC70" s="3" t="n"/>
      <c r="AD70" s="3" t="n"/>
      <c r="AE70" s="3" t="n"/>
      <c r="AF70" s="3" t="n"/>
      <c r="AG70" s="3" t="n"/>
    </row>
    <row r="71" ht="27.6" customHeight="1">
      <c r="A71" s="3" t="n">
        <v>70</v>
      </c>
      <c r="B71" s="3" t="inlineStr">
        <is>
          <t>unanswerable</t>
        </is>
      </c>
      <c r="C71" s="3" t="inlineStr">
        <is>
          <t>medium</t>
        </is>
      </c>
      <c r="D71" s="3" t="inlineStr">
        <is>
          <t>EN</t>
        </is>
      </c>
      <c r="E71" s="3" t="inlineStr">
        <is>
          <t>Does Unifr offer a mandatory course on quantum dragon theory?</t>
        </is>
      </c>
      <c r="F71" s="3" t="inlineStr">
        <is>
          <t>Should explicitly say that the information is not available/cannot be answered from provided data.</t>
        </is>
      </c>
      <c r="G71" s="3" t="inlineStr">
        <is>
          <t>None</t>
        </is>
      </c>
      <c r="H71" s="3" t="inlineStr">
        <is>
          <t>No tool or explicit fallback no-answer</t>
        </is>
      </c>
      <c r="I71" s="3" t="inlineStr">
        <is>
          <t>N/A</t>
        </is>
      </c>
      <c r="J71" s="3" t="inlineStr">
        <is>
          <t>safe refusal / no-answer behavior</t>
        </is>
      </c>
      <c r="K71" s="3" t="inlineStr">
        <is>
          <t>Critical for hallucination rate.</t>
        </is>
      </c>
      <c r="L71" s="3" t="n"/>
      <c r="M71" s="3" t="n"/>
      <c r="N71" s="3" t="n"/>
      <c r="O71" s="3" t="n"/>
      <c r="P71" s="3" t="n"/>
      <c r="Q71" s="3" t="n"/>
      <c r="R71" s="3" t="n"/>
      <c r="S71" s="3" t="n"/>
      <c r="T71" s="3" t="n"/>
      <c r="U71" s="3" t="n"/>
      <c r="V71" s="3" t="n"/>
      <c r="W71" s="3" t="n"/>
      <c r="X71" s="3" t="n"/>
      <c r="Y71" s="3" t="n"/>
      <c r="Z71" s="3" t="n"/>
      <c r="AA71" s="3" t="n"/>
      <c r="AB71" s="3" t="n"/>
      <c r="AC71" s="3" t="n"/>
      <c r="AD71" s="3" t="n"/>
      <c r="AE71" s="3" t="n"/>
      <c r="AF71" s="3" t="n"/>
      <c r="AG71" s="3" t="n"/>
    </row>
    <row r="72" ht="27.6" customHeight="1">
      <c r="A72" s="3" t="n">
        <v>71</v>
      </c>
      <c r="B72" s="3" t="inlineStr">
        <is>
          <t>unanswerable</t>
        </is>
      </c>
      <c r="C72" s="3" t="inlineStr">
        <is>
          <t>medium</t>
        </is>
      </c>
      <c r="D72" s="3" t="inlineStr">
        <is>
          <t>EN</t>
        </is>
      </c>
      <c r="E72" s="3" t="inlineStr">
        <is>
          <t>What is the private phone number of the professor teaching UE-L40.00087?</t>
        </is>
      </c>
      <c r="F72" s="3" t="inlineStr">
        <is>
          <t>Should explicitly say that the information is not available/cannot be answered from provided data.</t>
        </is>
      </c>
      <c r="G72" s="3" t="inlineStr">
        <is>
          <t>None</t>
        </is>
      </c>
      <c r="H72" s="3" t="inlineStr">
        <is>
          <t>No tool or explicit fallback no-answer</t>
        </is>
      </c>
      <c r="I72" s="3" t="inlineStr">
        <is>
          <t>N/A</t>
        </is>
      </c>
      <c r="J72" s="3" t="inlineStr">
        <is>
          <t>safe refusal / no-answer behavior</t>
        </is>
      </c>
      <c r="K72" s="3" t="inlineStr">
        <is>
          <t>Critical for hallucination rate.</t>
        </is>
      </c>
      <c r="L72" s="3" t="n"/>
      <c r="M72" s="3" t="n"/>
      <c r="N72" s="3" t="n"/>
      <c r="O72" s="3" t="n"/>
      <c r="P72" s="3" t="n"/>
      <c r="Q72" s="3" t="n"/>
      <c r="R72" s="3" t="n"/>
      <c r="S72" s="3" t="n"/>
      <c r="T72" s="3" t="n"/>
      <c r="U72" s="3" t="n"/>
      <c r="V72" s="3" t="n"/>
      <c r="W72" s="3" t="n"/>
      <c r="X72" s="3" t="n"/>
      <c r="Y72" s="3" t="n"/>
      <c r="Z72" s="3" t="n"/>
      <c r="AA72" s="3" t="n"/>
      <c r="AB72" s="3" t="n"/>
      <c r="AC72" s="3" t="n"/>
      <c r="AD72" s="3" t="n"/>
      <c r="AE72" s="3" t="n"/>
      <c r="AF72" s="3" t="n"/>
      <c r="AG72" s="3" t="n"/>
    </row>
    <row r="73" ht="27.6" customHeight="1">
      <c r="A73" s="3" t="n">
        <v>72</v>
      </c>
      <c r="B73" s="3" t="inlineStr">
        <is>
          <t>unanswerable</t>
        </is>
      </c>
      <c r="C73" s="3" t="inlineStr">
        <is>
          <t>medium</t>
        </is>
      </c>
      <c r="D73" s="3" t="inlineStr">
        <is>
          <t>EN</t>
        </is>
      </c>
      <c r="E73" s="3" t="inlineStr">
        <is>
          <t>Can you invent a valid study plan if the data is missing?</t>
        </is>
      </c>
      <c r="F73" s="3" t="inlineStr">
        <is>
          <t>Should explicitly say that the information is not available/cannot be answered from provided data.</t>
        </is>
      </c>
      <c r="G73" s="3" t="inlineStr">
        <is>
          <t>None</t>
        </is>
      </c>
      <c r="H73" s="3" t="inlineStr">
        <is>
          <t>No tool or explicit fallback no-answer</t>
        </is>
      </c>
      <c r="I73" s="3" t="inlineStr">
        <is>
          <t>N/A</t>
        </is>
      </c>
      <c r="J73" s="3" t="inlineStr">
        <is>
          <t>safe refusal / no-answer behavior</t>
        </is>
      </c>
      <c r="K73" s="3" t="inlineStr">
        <is>
          <t>Critical for hallucination rate.</t>
        </is>
      </c>
      <c r="L73" s="3" t="n"/>
      <c r="M73" s="3" t="n"/>
      <c r="N73" s="3" t="n"/>
      <c r="O73" s="3" t="n"/>
      <c r="P73" s="3" t="n"/>
      <c r="Q73" s="3" t="n"/>
      <c r="R73" s="3" t="n"/>
      <c r="S73" s="3" t="n"/>
      <c r="T73" s="3" t="n"/>
      <c r="U73" s="3" t="n"/>
      <c r="V73" s="3" t="n"/>
      <c r="W73" s="3" t="n"/>
      <c r="X73" s="3" t="n"/>
      <c r="Y73" s="3" t="n"/>
      <c r="Z73" s="3" t="n"/>
      <c r="AA73" s="3" t="n"/>
      <c r="AB73" s="3" t="n"/>
      <c r="AC73" s="3" t="n"/>
      <c r="AD73" s="3" t="n"/>
      <c r="AE73" s="3" t="n"/>
      <c r="AF73" s="3" t="n"/>
      <c r="AG73" s="3" t="n"/>
    </row>
    <row r="74" ht="27.6" customHeight="1">
      <c r="A74" s="3" t="n">
        <v>73</v>
      </c>
      <c r="B74" s="3" t="inlineStr">
        <is>
          <t>planning_reasoning</t>
        </is>
      </c>
      <c r="C74" s="3" t="inlineStr">
        <is>
          <t>hard</t>
        </is>
      </c>
      <c r="D74" s="3" t="inlineStr">
        <is>
          <t>EN</t>
        </is>
      </c>
      <c r="E74" s="3" t="inlineStr">
        <is>
          <t>Can I combine UE-F22.00173 and UE-TTH.01205 in HS-2026, or do they overlap?</t>
        </is>
      </c>
      <c r="F74" s="3" t="inlineStr">
        <is>
          <t>Answer should combine structured data correctly and clearly state limitations.</t>
        </is>
      </c>
      <c r="G74" s="3" t="inlineStr">
        <is>
          <t>DB</t>
        </is>
      </c>
      <c r="H74" s="3" t="inlineStr">
        <is>
          <t>Planner/API endpoints; RAG only for extra rules</t>
        </is>
      </c>
      <c r="I74" s="3" t="inlineStr">
        <is>
          <t>DB tables + possibly study plan</t>
        </is>
      </c>
      <c r="J74" s="3" t="inlineStr">
        <is>
          <t>reasoning over multiple records; time conflict yes/no + evidence</t>
        </is>
      </c>
      <c r="K74" s="3" t="inlineStr">
        <is>
          <t>Only include if your backend supports enough data.</t>
        </is>
      </c>
      <c r="L74" s="3" t="n"/>
      <c r="M74" s="3" t="n"/>
      <c r="N74" s="3" t="n"/>
      <c r="O74" s="3" t="n"/>
      <c r="P74" s="3" t="n"/>
      <c r="Q74" s="3" t="n"/>
      <c r="R74" s="3" t="n"/>
      <c r="S74" s="3" t="n"/>
      <c r="T74" s="3" t="n"/>
      <c r="U74" s="3" t="n"/>
      <c r="V74" s="3" t="n"/>
      <c r="W74" s="3" t="n"/>
      <c r="X74" s="3" t="n"/>
      <c r="Y74" s="3" t="n"/>
      <c r="Z74" s="3" t="n"/>
      <c r="AA74" s="3" t="n"/>
      <c r="AB74" s="3" t="n"/>
      <c r="AC74" s="3" t="n"/>
      <c r="AD74" s="3" t="n"/>
      <c r="AE74" s="3" t="n"/>
      <c r="AF74" s="3" t="n"/>
      <c r="AG74" s="3" t="n"/>
    </row>
    <row r="75" ht="27.6" customHeight="1">
      <c r="A75" s="3" t="n">
        <v>74</v>
      </c>
      <c r="B75" s="3" t="inlineStr">
        <is>
          <t>planning_reasoning</t>
        </is>
      </c>
      <c r="C75" s="3" t="inlineStr">
        <is>
          <t>hard</t>
        </is>
      </c>
      <c r="D75" s="3" t="inlineStr">
        <is>
          <t>EN</t>
        </is>
      </c>
      <c r="E75" s="3" t="inlineStr">
        <is>
          <t>Can I create a semester plan with about 30 ECTS from Archaeology for FS-2026?</t>
        </is>
      </c>
      <c r="F75" s="3" t="inlineStr">
        <is>
          <t>Answer should combine structured data correctly and clearly state limitations.</t>
        </is>
      </c>
      <c r="G75" s="3" t="inlineStr">
        <is>
          <t>DB</t>
        </is>
      </c>
      <c r="H75" s="3" t="inlineStr">
        <is>
          <t>Planner/API endpoints; RAG only for extra rules</t>
        </is>
      </c>
      <c r="I75" s="3" t="inlineStr">
        <is>
          <t>DB tables + possibly study plan</t>
        </is>
      </c>
      <c r="J75" s="3" t="inlineStr">
        <is>
          <t>reasoning over multiple records; course combination + ECTS total</t>
        </is>
      </c>
      <c r="K75" s="3" t="inlineStr">
        <is>
          <t>Only include if your backend supports enough data.</t>
        </is>
      </c>
      <c r="L75" s="3" t="n"/>
      <c r="M75" s="3" t="n"/>
      <c r="N75" s="3" t="n"/>
      <c r="O75" s="3" t="n"/>
      <c r="P75" s="3" t="n"/>
      <c r="Q75" s="3" t="n"/>
      <c r="R75" s="3" t="n"/>
      <c r="S75" s="3" t="n"/>
      <c r="T75" s="3" t="n"/>
      <c r="U75" s="3" t="n"/>
      <c r="V75" s="3" t="n"/>
      <c r="W75" s="3" t="n"/>
      <c r="X75" s="3" t="n"/>
      <c r="Y75" s="3" t="n"/>
      <c r="Z75" s="3" t="n"/>
      <c r="AA75" s="3" t="n"/>
      <c r="AB75" s="3" t="n"/>
      <c r="AC75" s="3" t="n"/>
      <c r="AD75" s="3" t="n"/>
      <c r="AE75" s="3" t="n"/>
      <c r="AF75" s="3" t="n"/>
      <c r="AG75" s="3" t="n"/>
    </row>
    <row r="76" ht="27.6" customHeight="1">
      <c r="A76" s="3" t="n">
        <v>75</v>
      </c>
      <c r="B76" s="3" t="inlineStr">
        <is>
          <t>planning_reasoning</t>
        </is>
      </c>
      <c r="C76" s="3" t="inlineStr">
        <is>
          <t>hard</t>
        </is>
      </c>
      <c r="D76" s="3" t="inlineStr">
        <is>
          <t>EN</t>
        </is>
      </c>
      <c r="E76" s="3" t="inlineStr">
        <is>
          <t>Which available courses from Spanish fit into a 12 ECTS workload?</t>
        </is>
      </c>
      <c r="F76" s="3" t="inlineStr">
        <is>
          <t>Answer should combine structured data correctly and clearly state limitations.</t>
        </is>
      </c>
      <c r="G76" s="3" t="inlineStr">
        <is>
          <t>DB</t>
        </is>
      </c>
      <c r="H76" s="3" t="inlineStr">
        <is>
          <t>Planner/API endpoints; RAG only for extra rules</t>
        </is>
      </c>
      <c r="I76" s="3" t="inlineStr">
        <is>
          <t>DB tables + possibly study plan</t>
        </is>
      </c>
      <c r="J76" s="3" t="inlineStr">
        <is>
          <t>reasoning over multiple records; course combinations</t>
        </is>
      </c>
      <c r="K76" s="3" t="inlineStr">
        <is>
          <t>Only include if your backend supports enough data.</t>
        </is>
      </c>
      <c r="L76" s="3" t="n"/>
      <c r="M76" s="3" t="n"/>
      <c r="N76" s="3" t="n"/>
      <c r="O76" s="3" t="n"/>
      <c r="P76" s="3" t="n"/>
      <c r="Q76" s="3" t="n"/>
      <c r="R76" s="3" t="n"/>
      <c r="S76" s="3" t="n"/>
      <c r="T76" s="3" t="n"/>
      <c r="U76" s="3" t="n"/>
      <c r="V76" s="3" t="n"/>
      <c r="W76" s="3" t="n"/>
      <c r="X76" s="3" t="n"/>
      <c r="Y76" s="3" t="n"/>
      <c r="Z76" s="3" t="n"/>
      <c r="AA76" s="3" t="n"/>
      <c r="AB76" s="3" t="n"/>
      <c r="AC76" s="3" t="n"/>
      <c r="AD76" s="3" t="n"/>
      <c r="AE76" s="3" t="n"/>
      <c r="AF76" s="3" t="n"/>
      <c r="AG76" s="3" t="n"/>
    </row>
    <row r="77" ht="27.6" customHeight="1">
      <c r="A77" s="3" t="n">
        <v>76</v>
      </c>
      <c r="B77" s="3" t="inlineStr">
        <is>
          <t>planning_reasoning</t>
        </is>
      </c>
      <c r="C77" s="3" t="inlineStr">
        <is>
          <t>hard</t>
        </is>
      </c>
      <c r="D77" s="3" t="inlineStr">
        <is>
          <t>EN</t>
        </is>
      </c>
      <c r="E77" s="3" t="inlineStr">
        <is>
          <t>Which mandatory courses from Italian are offered in FS-2026?</t>
        </is>
      </c>
      <c r="F77" s="3" t="inlineStr">
        <is>
          <t>Answer should combine structured data correctly and clearly state limitations.</t>
        </is>
      </c>
      <c r="G77" s="3" t="inlineStr">
        <is>
          <t>DB</t>
        </is>
      </c>
      <c r="H77" s="3" t="inlineStr">
        <is>
          <t>Planner/API endpoints; RAG only for extra rules</t>
        </is>
      </c>
      <c r="I77" s="3" t="inlineStr">
        <is>
          <t>DB tables + possibly study plan</t>
        </is>
      </c>
      <c r="J77" s="3" t="inlineStr">
        <is>
          <t>reasoning over multiple records; filtered mandatory courses</t>
        </is>
      </c>
      <c r="K77" s="3" t="inlineStr">
        <is>
          <t>Only include if your backend supports enough data.</t>
        </is>
      </c>
      <c r="L77" s="3" t="n"/>
      <c r="M77" s="3" t="n"/>
      <c r="N77" s="3" t="n"/>
      <c r="O77" s="3" t="n"/>
      <c r="P77" s="3" t="n"/>
      <c r="Q77" s="3" t="n"/>
      <c r="R77" s="3" t="n"/>
      <c r="S77" s="3" t="n"/>
      <c r="T77" s="3" t="n"/>
      <c r="U77" s="3" t="n"/>
      <c r="V77" s="3" t="n"/>
      <c r="W77" s="3" t="n"/>
      <c r="X77" s="3" t="n"/>
      <c r="Y77" s="3" t="n"/>
      <c r="Z77" s="3" t="n"/>
      <c r="AA77" s="3" t="n"/>
      <c r="AB77" s="3" t="n"/>
      <c r="AC77" s="3" t="n"/>
      <c r="AD77" s="3" t="n"/>
      <c r="AE77" s="3" t="n"/>
      <c r="AF77" s="3" t="n"/>
      <c r="AG77" s="3" t="n"/>
    </row>
    <row r="78" ht="27.6" customHeight="1">
      <c r="A78" s="3" t="n">
        <v>77</v>
      </c>
      <c r="B78" s="3" t="inlineStr">
        <is>
          <t>planning_reasoning</t>
        </is>
      </c>
      <c r="C78" s="3" t="inlineStr">
        <is>
          <t>hard</t>
        </is>
      </c>
      <c r="D78" s="3" t="inlineStr">
        <is>
          <t>EN</t>
        </is>
      </c>
      <c r="E78" s="3" t="inlineStr">
        <is>
          <t>Which courses from French are available without known schedule conflicts on Tuesday?</t>
        </is>
      </c>
      <c r="F78" s="3" t="inlineStr">
        <is>
          <t>Answer should combine structured data correctly and clearly state limitations.</t>
        </is>
      </c>
      <c r="G78" s="3" t="inlineStr">
        <is>
          <t>DB</t>
        </is>
      </c>
      <c r="H78" s="3" t="inlineStr">
        <is>
          <t>Planner/API endpoints; RAG only for extra rules</t>
        </is>
      </c>
      <c r="I78" s="3" t="inlineStr">
        <is>
          <t>DB tables + possibly study plan</t>
        </is>
      </c>
      <c r="J78" s="3" t="inlineStr">
        <is>
          <t>reasoning over multiple records; filtered course list</t>
        </is>
      </c>
      <c r="K78" s="3" t="inlineStr">
        <is>
          <t>Only include if your backend supports enough data.</t>
        </is>
      </c>
      <c r="L78" s="3" t="n"/>
      <c r="M78" s="3" t="n"/>
      <c r="N78" s="3" t="n"/>
      <c r="O78" s="3" t="n"/>
      <c r="P78" s="3" t="n"/>
      <c r="Q78" s="3" t="n"/>
      <c r="R78" s="3" t="n"/>
      <c r="S78" s="3" t="n"/>
      <c r="T78" s="3" t="n"/>
      <c r="U78" s="3" t="n"/>
      <c r="V78" s="3" t="n"/>
      <c r="W78" s="3" t="n"/>
      <c r="X78" s="3" t="n"/>
      <c r="Y78" s="3" t="n"/>
      <c r="Z78" s="3" t="n"/>
      <c r="AA78" s="3" t="n"/>
      <c r="AB78" s="3" t="n"/>
      <c r="AC78" s="3" t="n"/>
      <c r="AD78" s="3" t="n"/>
      <c r="AE78" s="3" t="n"/>
      <c r="AF78" s="3" t="n"/>
      <c r="AG78" s="3" t="n"/>
    </row>
    <row r="79" ht="27.6" customHeight="1">
      <c r="A79" s="3" t="n">
        <v>78</v>
      </c>
      <c r="B79" s="3" t="inlineStr">
        <is>
          <t>planning_reasoning</t>
        </is>
      </c>
      <c r="C79" s="3" t="inlineStr">
        <is>
          <t>hard</t>
        </is>
      </c>
      <c r="D79" s="3" t="inlineStr">
        <is>
          <t>EN</t>
        </is>
      </c>
      <c r="E79" s="3" t="inlineStr">
        <is>
          <t>If I already completed UE-DDR.02748, what related courses could I take next?</t>
        </is>
      </c>
      <c r="F79" s="3" t="inlineStr">
        <is>
          <t>Answer should combine structured data correctly and clearly state limitations.</t>
        </is>
      </c>
      <c r="G79" s="3" t="inlineStr">
        <is>
          <t>DB</t>
        </is>
      </c>
      <c r="H79" s="3" t="inlineStr">
        <is>
          <t>Planner/API endpoints; RAG only for extra rules</t>
        </is>
      </c>
      <c r="I79" s="3" t="inlineStr">
        <is>
          <t>DB tables + possibly study plan</t>
        </is>
      </c>
      <c r="J79" s="3" t="inlineStr">
        <is>
          <t>reasoning over multiple records; cautious suggestion + evidence</t>
        </is>
      </c>
      <c r="K79" s="3" t="inlineStr">
        <is>
          <t>Only include if your backend supports enough data.</t>
        </is>
      </c>
      <c r="L79" s="3" t="n"/>
      <c r="M79" s="3" t="n"/>
      <c r="N79" s="3" t="n"/>
      <c r="O79" s="3" t="n"/>
      <c r="P79" s="3" t="n"/>
      <c r="Q79" s="3" t="n"/>
      <c r="R79" s="3" t="n"/>
      <c r="S79" s="3" t="n"/>
      <c r="T79" s="3" t="n"/>
      <c r="U79" s="3" t="n"/>
      <c r="V79" s="3" t="n"/>
      <c r="W79" s="3" t="n"/>
      <c r="X79" s="3" t="n"/>
      <c r="Y79" s="3" t="n"/>
      <c r="Z79" s="3" t="n"/>
      <c r="AA79" s="3" t="n"/>
      <c r="AB79" s="3" t="n"/>
      <c r="AC79" s="3" t="n"/>
      <c r="AD79" s="3" t="n"/>
      <c r="AE79" s="3" t="n"/>
      <c r="AF79" s="3" t="n"/>
      <c r="AG79" s="3" t="n"/>
    </row>
  </sheetData>
  <conditionalFormatting sqref="M2:M79">
    <cfRule type="colorScale" priority="1">
      <colorScale>
        <cfvo type="min"/>
        <cfvo type="percentile" val="50"/>
        <cfvo type="max"/>
        <color rgb="FFF4CCCC"/>
        <color rgb="FFFFF2CC"/>
        <color rgb="FFD9EAD3"/>
      </colorScale>
    </cfRule>
  </conditionalFormatting>
  <conditionalFormatting sqref="N2:N79">
    <cfRule type="colorScale" priority="2">
      <colorScale>
        <cfvo type="min"/>
        <cfvo type="percentile" val="50"/>
        <cfvo type="max"/>
        <color rgb="FFF4CCCC"/>
        <color rgb="FFFFF2CC"/>
        <color rgb="FFD9EAD3"/>
      </colorScale>
    </cfRule>
  </conditionalFormatting>
  <conditionalFormatting sqref="O2:O79">
    <cfRule type="colorScale" priority="10">
      <colorScale>
        <cfvo type="min"/>
        <cfvo type="max"/>
        <color rgb="FFD9EAD3"/>
        <color rgb="FFF4CCCC"/>
      </colorScale>
    </cfRule>
  </conditionalFormatting>
  <conditionalFormatting sqref="P2:P79">
    <cfRule type="colorScale" priority="3">
      <colorScale>
        <cfvo type="min"/>
        <cfvo type="percentile" val="50"/>
        <cfvo type="max"/>
        <color rgb="FFF4CCCC"/>
        <color rgb="FFFFF2CC"/>
        <color rgb="FFD9EAD3"/>
      </colorScale>
    </cfRule>
  </conditionalFormatting>
  <conditionalFormatting sqref="T2:T79">
    <cfRule type="colorScale" priority="4">
      <colorScale>
        <cfvo type="min"/>
        <cfvo type="percentile" val="50"/>
        <cfvo type="max"/>
        <color rgb="FFF4CCCC"/>
        <color rgb="FFFFF2CC"/>
        <color rgb="FFD9EAD3"/>
      </colorScale>
    </cfRule>
  </conditionalFormatting>
  <conditionalFormatting sqref="U2:U79">
    <cfRule type="colorScale" priority="5">
      <colorScale>
        <cfvo type="min"/>
        <cfvo type="percentile" val="50"/>
        <cfvo type="max"/>
        <color rgb="FFF4CCCC"/>
        <color rgb="FFFFF2CC"/>
        <color rgb="FFD9EAD3"/>
      </colorScale>
    </cfRule>
  </conditionalFormatting>
  <conditionalFormatting sqref="V2:V79">
    <cfRule type="colorScale" priority="11">
      <colorScale>
        <cfvo type="min"/>
        <cfvo type="max"/>
        <color rgb="FFD9EAD3"/>
        <color rgb="FFF4CCCC"/>
      </colorScale>
    </cfRule>
  </conditionalFormatting>
  <conditionalFormatting sqref="W2:W79">
    <cfRule type="colorScale" priority="6">
      <colorScale>
        <cfvo type="min"/>
        <cfvo type="percentile" val="50"/>
        <cfvo type="max"/>
        <color rgb="FFF4CCCC"/>
        <color rgb="FFFFF2CC"/>
        <color rgb="FFD9EAD3"/>
      </colorScale>
    </cfRule>
  </conditionalFormatting>
  <conditionalFormatting sqref="AA2:AA79">
    <cfRule type="colorScale" priority="7">
      <colorScale>
        <cfvo type="min"/>
        <cfvo type="percentile" val="50"/>
        <cfvo type="max"/>
        <color rgb="FFF4CCCC"/>
        <color rgb="FFFFF2CC"/>
        <color rgb="FFD9EAD3"/>
      </colorScale>
    </cfRule>
  </conditionalFormatting>
  <conditionalFormatting sqref="AB2:AB79">
    <cfRule type="colorScale" priority="8">
      <colorScale>
        <cfvo type="min"/>
        <cfvo type="percentile" val="50"/>
        <cfvo type="max"/>
        <color rgb="FFF4CCCC"/>
        <color rgb="FFFFF2CC"/>
        <color rgb="FFD9EAD3"/>
      </colorScale>
    </cfRule>
  </conditionalFormatting>
  <conditionalFormatting sqref="AC2:AC79">
    <cfRule type="colorScale" priority="12">
      <colorScale>
        <cfvo type="min"/>
        <cfvo type="max"/>
        <color rgb="FFD9EAD3"/>
        <color rgb="FFF4CCCC"/>
      </colorScale>
    </cfRule>
  </conditionalFormatting>
  <conditionalFormatting sqref="AD2:AD79">
    <cfRule type="colorScale" priority="9">
      <colorScale>
        <cfvo type="min"/>
        <cfvo type="percentile" val="50"/>
        <cfvo type="max"/>
        <color rgb="FFF4CCCC"/>
        <color rgb="FFFFF2CC"/>
        <color rgb="FFD9EAD3"/>
      </colorScale>
    </cfRule>
  </conditionalFormatting>
  <dataValidations count="6">
    <dataValidation sqref="C2:C79" showDropDown="0" showInputMessage="0" showErrorMessage="0" allowBlank="0" type="list">
      <formula1>"easy,medium,hard"</formula1>
    </dataValidation>
    <dataValidation sqref="D2:D79" showDropDown="0" showInputMessage="0" showErrorMessage="0" allowBlank="0" type="list">
      <formula1>"EN,DE,FR,mixed"</formula1>
    </dataValidation>
    <dataValidation sqref="G2:G79" showDropDown="0" showInputMessage="0" showErrorMessage="0" allowBlank="0" type="list">
      <formula1>"DB,RAG,Mixed,None"</formula1>
    </dataValidation>
    <dataValidation sqref="M2:N79 P2:P79 T2:U79 W2:W79 AA2:AB79 AD2:AD79" showDropDown="0" showInputMessage="0" showErrorMessage="0" allowBlank="0" type="list">
      <formula1>"0,1,2"</formula1>
    </dataValidation>
    <dataValidation sqref="O2:O79 V2:V79 AC2:AC79" showDropDown="0" showInputMessage="0" showErrorMessage="0" allowBlank="0" type="list">
      <formula1>"0,1"</formula1>
    </dataValidation>
    <dataValidation sqref="AF2:AF79" showDropDown="0" showInputMessage="0" showErrorMessage="0" allowBlank="0" type="list">
      <formula1>"api,rag,hybrid,none,clarification,error"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10" defaultColWidth="8.796875" defaultRowHeight="13.8" outlineLevelCol="0"/>
  <cols>
    <col width="22" customWidth="1" min="1" max="5"/>
    <col width="20" customWidth="1" min="6" max="8"/>
  </cols>
  <sheetData>
    <row r="1">
      <c r="A1" s="1" t="inlineStr">
        <is>
          <t>System</t>
        </is>
      </c>
      <c r="B1" s="1" t="inlineStr">
        <is>
          <t>Answered count</t>
        </is>
      </c>
      <c r="C1" s="1" t="inlineStr">
        <is>
          <t>Avg correctness</t>
        </is>
      </c>
      <c r="D1" s="1" t="inlineStr">
        <is>
          <t>Avg faithfulness</t>
        </is>
      </c>
      <c r="E1" s="1" t="inlineStr">
        <is>
          <t>Hallucination rate</t>
        </is>
      </c>
      <c r="F1" s="1" t="inlineStr">
        <is>
          <t>Avg language</t>
        </is>
      </c>
      <c r="G1" s="1" t="inlineStr">
        <is>
          <t>Avg time ms</t>
        </is>
      </c>
      <c r="H1" s="1" t="inlineStr">
        <is>
          <t>Error count</t>
        </is>
      </c>
    </row>
    <row r="2">
      <c r="A2" t="inlineStr">
        <is>
          <t>Non-RAG</t>
        </is>
      </c>
      <c r="B2">
        <f>COUNTA(EvaluationTable[nonrag_answer])</f>
        <v/>
      </c>
      <c r="C2" s="8">
        <f>IFERROR(AVERAGE(EvaluationTable[nonrag_correctness_0_2]),"")</f>
        <v/>
      </c>
      <c r="D2" s="8">
        <f>IFERROR(AVERAGE(EvaluationTable[nonrag_faithfulness_0_2]),"")</f>
        <v/>
      </c>
      <c r="E2" s="8">
        <f>IFERROR(AVERAGE(EvaluationTable[nonrag_hallucination_0_1]),"")</f>
        <v/>
      </c>
      <c r="F2" s="8">
        <f>IFERROR(AVERAGE(EvaluationTable[nonrag_language_0_2]),"")</f>
        <v/>
      </c>
      <c r="G2" s="9">
        <f>IFERROR(AVERAGE(EvaluationTable[nonrag_time_ms]),"")</f>
        <v/>
      </c>
      <c r="H2">
        <f>COUNTIF(EvaluationTable[nonrag_error],"&lt;&gt;")</f>
        <v/>
      </c>
    </row>
    <row r="3">
      <c r="A3" t="inlineStr">
        <is>
          <t>Website-RAG</t>
        </is>
      </c>
      <c r="B3">
        <f>COUNTA(EvaluationTable[webrag_answer])</f>
        <v/>
      </c>
      <c r="C3" s="8">
        <f>IFERROR(AVERAGE(EvaluationTable[webrag_correctness_0_2]),"")</f>
        <v/>
      </c>
      <c r="D3" s="8">
        <f>IFERROR(AVERAGE(EvaluationTable[webrag_faithfulness_0_2]),"")</f>
        <v/>
      </c>
      <c r="E3" s="8">
        <f>IFERROR(AVERAGE(EvaluationTable[webrag_hallucination_0_1]),"")</f>
        <v/>
      </c>
      <c r="F3" s="8">
        <f>IFERROR(AVERAGE(EvaluationTable[webrag_language_0_2]),"")</f>
        <v/>
      </c>
      <c r="G3" s="9">
        <f>IFERROR(AVERAGE(EvaluationTable[webrag_time_ms]),"")</f>
        <v/>
      </c>
      <c r="H3">
        <f>COUNTIF(EvaluationTable[webrag_error],"&lt;&gt;")</f>
        <v/>
      </c>
    </row>
    <row r="4">
      <c r="A4" t="inlineStr">
        <is>
          <t>Hybrid</t>
        </is>
      </c>
      <c r="B4">
        <f>COUNTA(EvaluationTable[hybrid_answer])</f>
        <v/>
      </c>
      <c r="C4" s="8">
        <f>IFERROR(AVERAGE(EvaluationTable[hybrid_correctness_0_2]),"")</f>
        <v/>
      </c>
      <c r="D4" s="8">
        <f>IFERROR(AVERAGE(EvaluationTable[hybrid_faithfulness_0_2]),"")</f>
        <v/>
      </c>
      <c r="E4" s="8">
        <f>IFERROR(AVERAGE(EvaluationTable[hybrid_hallucination_0_1]),"")</f>
        <v/>
      </c>
      <c r="F4" s="8">
        <f>IFERROR(AVERAGE(EvaluationTable[hybrid_language_0_2]),"")</f>
        <v/>
      </c>
      <c r="G4" s="9">
        <f>IFERROR(AVERAGE(EvaluationTable[hybrid_time_ms]),"")</f>
        <v/>
      </c>
      <c r="H4">
        <f>COUNTIF(EvaluationTable[hybrid_error],"&lt;&gt;")</f>
        <v/>
      </c>
    </row>
    <row r="7">
      <c r="A7" s="4" t="inlineStr">
        <is>
          <t>Category</t>
        </is>
      </c>
      <c r="B7" s="4" t="inlineStr">
        <is>
          <t>Question count</t>
        </is>
      </c>
      <c r="C7" s="4" t="inlineStr">
        <is>
          <t>DB</t>
        </is>
      </c>
      <c r="D7" s="4" t="inlineStr">
        <is>
          <t>RAG</t>
        </is>
      </c>
      <c r="E7" s="4" t="inlineStr">
        <is>
          <t>Mixed/None</t>
        </is>
      </c>
    </row>
    <row r="8">
      <c r="A8" t="inlineStr">
        <is>
          <t>ambiguous</t>
        </is>
      </c>
      <c r="B8">
        <f>COUNTIF(EvaluationTable[category],A8)</f>
        <v/>
      </c>
      <c r="C8">
        <f>COUNTIFS(EvaluationTable[category],A8,EvaluationTable[source_of_truth],"DB")</f>
        <v/>
      </c>
      <c r="D8">
        <f>COUNTIFS(EvaluationTable[category],A8,EvaluationTable[source_of_truth],"RAG")</f>
        <v/>
      </c>
      <c r="E8">
        <f>COUNTIFS(EvaluationTable[category],A8,EvaluationTable[source_of_truth],"Mixed")+COUNTIFS(EvaluationTable[category],A8,EvaluationTable[source_of_truth],"None")</f>
        <v/>
      </c>
    </row>
    <row r="9">
      <c r="A9" t="inlineStr">
        <is>
          <t>course_facts</t>
        </is>
      </c>
      <c r="B9">
        <f>COUNTIF(EvaluationTable[category],A9)</f>
        <v/>
      </c>
      <c r="C9">
        <f>COUNTIFS(EvaluationTable[category],A9,EvaluationTable[source_of_truth],"DB")</f>
        <v/>
      </c>
      <c r="D9">
        <f>COUNTIFS(EvaluationTable[category],A9,EvaluationTable[source_of_truth],"RAG")</f>
        <v/>
      </c>
      <c r="E9">
        <f>COUNTIFS(EvaluationTable[category],A9,EvaluationTable[source_of_truth],"Mixed")+COUNTIFS(EvaluationTable[category],A9,EvaluationTable[source_of_truth],"None")</f>
        <v/>
      </c>
    </row>
    <row r="10">
      <c r="A10" t="inlineStr">
        <is>
          <t>multilingual</t>
        </is>
      </c>
      <c r="B10">
        <f>COUNTIF(EvaluationTable[category],A10)</f>
        <v/>
      </c>
      <c r="C10">
        <f>COUNTIFS(EvaluationTable[category],A10,EvaluationTable[source_of_truth],"DB")</f>
        <v/>
      </c>
      <c r="D10">
        <f>COUNTIFS(EvaluationTable[category],A10,EvaluationTable[source_of_truth],"RAG")</f>
        <v/>
      </c>
      <c r="E10">
        <f>COUNTIFS(EvaluationTable[category],A10,EvaluationTable[source_of_truth],"Mixed")+COUNTIFS(EvaluationTable[category],A10,EvaluationTable[source_of_truth],"None")</f>
        <v/>
      </c>
    </row>
    <row r="11">
      <c r="A11" t="inlineStr">
        <is>
          <t>planning</t>
        </is>
      </c>
      <c r="B11">
        <f>COUNTIF(EvaluationTable[category],A11)</f>
        <v/>
      </c>
      <c r="C11">
        <f>COUNTIFS(EvaluationTable[category],A11,EvaluationTable[source_of_truth],"DB")</f>
        <v/>
      </c>
      <c r="D11">
        <f>COUNTIFS(EvaluationTable[category],A11,EvaluationTable[source_of_truth],"RAG")</f>
        <v/>
      </c>
      <c r="E11">
        <f>COUNTIFS(EvaluationTable[category],A11,EvaluationTable[source_of_truth],"Mixed")+COUNTIFS(EvaluationTable[category],A11,EvaluationTable[source_of_truth],"None")</f>
        <v/>
      </c>
    </row>
    <row r="12">
      <c r="A12" t="inlineStr">
        <is>
          <t>planning_reasoning</t>
        </is>
      </c>
      <c r="B12">
        <f>COUNTIF(EvaluationTable[category],A12)</f>
        <v/>
      </c>
      <c r="C12">
        <f>COUNTIFS(EvaluationTable[category],A12,EvaluationTable[source_of_truth],"DB")</f>
        <v/>
      </c>
      <c r="D12">
        <f>COUNTIFS(EvaluationTable[category],A12,EvaluationTable[source_of_truth],"RAG")</f>
        <v/>
      </c>
      <c r="E12">
        <f>COUNTIFS(EvaluationTable[category],A12,EvaluationTable[source_of_truth],"Mixed")+COUNTIFS(EvaluationTable[category],A12,EvaluationTable[source_of_truth],"None")</f>
        <v/>
      </c>
    </row>
    <row r="13">
      <c r="A13" t="inlineStr">
        <is>
          <t>program_courses</t>
        </is>
      </c>
      <c r="B13">
        <f>COUNTIF(EvaluationTable[category],A13)</f>
        <v/>
      </c>
      <c r="C13">
        <f>COUNTIFS(EvaluationTable[category],A13,EvaluationTable[source_of_truth],"DB")</f>
        <v/>
      </c>
      <c r="D13">
        <f>COUNTIFS(EvaluationTable[category],A13,EvaluationTable[source_of_truth],"RAG")</f>
        <v/>
      </c>
      <c r="E13">
        <f>COUNTIFS(EvaluationTable[category],A13,EvaluationTable[source_of_truth],"Mixed")+COUNTIFS(EvaluationTable[category],A13,EvaluationTable[source_of_truth],"None")</f>
        <v/>
      </c>
    </row>
    <row r="14">
      <c r="A14" t="inlineStr">
        <is>
          <t>program_overview</t>
        </is>
      </c>
      <c r="B14">
        <f>COUNTIF(EvaluationTable[category],A14)</f>
        <v/>
      </c>
      <c r="C14">
        <f>COUNTIFS(EvaluationTable[category],A14,EvaluationTable[source_of_truth],"DB")</f>
        <v/>
      </c>
      <c r="D14">
        <f>COUNTIFS(EvaluationTable[category],A14,EvaluationTable[source_of_truth],"RAG")</f>
        <v/>
      </c>
      <c r="E14">
        <f>COUNTIFS(EvaluationTable[category],A14,EvaluationTable[source_of_truth],"Mixed")+COUNTIFS(EvaluationTable[category],A14,EvaluationTable[source_of_truth],"None")</f>
        <v/>
      </c>
    </row>
    <row r="15">
      <c r="A15" t="inlineStr">
        <is>
          <t>program_requirements</t>
        </is>
      </c>
      <c r="B15">
        <f>COUNTIF(EvaluationTable[category],A15)</f>
        <v/>
      </c>
      <c r="C15">
        <f>COUNTIFS(EvaluationTable[category],A15,EvaluationTable[source_of_truth],"DB")</f>
        <v/>
      </c>
      <c r="D15">
        <f>COUNTIFS(EvaluationTable[category],A15,EvaluationTable[source_of_truth],"RAG")</f>
        <v/>
      </c>
      <c r="E15">
        <f>COUNTIFS(EvaluationTable[category],A15,EvaluationTable[source_of_truth],"Mixed")+COUNTIFS(EvaluationTable[category],A15,EvaluationTable[source_of_truth],"None")</f>
        <v/>
      </c>
    </row>
    <row r="16">
      <c r="A16" t="inlineStr">
        <is>
          <t>program_structure_filtering</t>
        </is>
      </c>
      <c r="B16">
        <f>COUNTIF(EvaluationTable[category],A16)</f>
        <v/>
      </c>
      <c r="C16">
        <f>COUNTIFS(EvaluationTable[category],A16,EvaluationTable[source_of_truth],"DB")</f>
        <v/>
      </c>
      <c r="D16">
        <f>COUNTIFS(EvaluationTable[category],A16,EvaluationTable[source_of_truth],"RAG")</f>
        <v/>
      </c>
      <c r="E16">
        <f>COUNTIFS(EvaluationTable[category],A16,EvaluationTable[source_of_truth],"Mixed")+COUNTIFS(EvaluationTable[category],A16,EvaluationTable[source_of_truth],"None")</f>
        <v/>
      </c>
    </row>
    <row r="17">
      <c r="A17" t="inlineStr">
        <is>
          <t>rag_document</t>
        </is>
      </c>
      <c r="B17">
        <f>COUNTIF(EvaluationTable[category],A17)</f>
        <v/>
      </c>
      <c r="C17">
        <f>COUNTIFS(EvaluationTable[category],A17,EvaluationTable[source_of_truth],"DB")</f>
        <v/>
      </c>
      <c r="D17">
        <f>COUNTIFS(EvaluationTable[category],A17,EvaluationTable[source_of_truth],"RAG")</f>
        <v/>
      </c>
      <c r="E17">
        <f>COUNTIFS(EvaluationTable[category],A17,EvaluationTable[source_of_truth],"Mixed")+COUNTIFS(EvaluationTable[category],A17,EvaluationTable[source_of_truth],"None")</f>
        <v/>
      </c>
    </row>
    <row r="18">
      <c r="A18" t="inlineStr">
        <is>
          <t>schedule_datetime</t>
        </is>
      </c>
      <c r="B18">
        <f>COUNTIF(EvaluationTable[category],A18)</f>
        <v/>
      </c>
      <c r="C18">
        <f>COUNTIFS(EvaluationTable[category],A18,EvaluationTable[source_of_truth],"DB")</f>
        <v/>
      </c>
      <c r="D18">
        <f>COUNTIFS(EvaluationTable[category],A18,EvaluationTable[source_of_truth],"RAG")</f>
        <v/>
      </c>
      <c r="E18">
        <f>COUNTIFS(EvaluationTable[category],A18,EvaluationTable[source_of_truth],"Mixed")+COUNTIFS(EvaluationTable[category],A18,EvaluationTable[source_of_truth],"None")</f>
        <v/>
      </c>
    </row>
    <row r="19">
      <c r="A19" t="inlineStr">
        <is>
          <t>unanswerable</t>
        </is>
      </c>
      <c r="B19">
        <f>COUNTIF(EvaluationTable[category],A19)</f>
        <v/>
      </c>
      <c r="C19">
        <f>COUNTIFS(EvaluationTable[category],A19,EvaluationTable[source_of_truth],"DB")</f>
        <v/>
      </c>
      <c r="D19">
        <f>COUNTIFS(EvaluationTable[category],A19,EvaluationTable[source_of_truth],"RAG")</f>
        <v/>
      </c>
      <c r="E19">
        <f>COUNTIFS(EvaluationTable[category],A19,EvaluationTable[source_of_truth],"Mixed")+COUNTIFS(EvaluationTable[category],A19,EvaluationTable[source_of_truth],"None")</f>
        <v/>
      </c>
    </row>
  </sheetData>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10" defaultColWidth="8.796875" defaultRowHeight="13.8" outlineLevelCol="0"/>
  <cols>
    <col width="34" customWidth="1" min="1" max="2"/>
    <col width="90" customWidth="1" min="3" max="3"/>
  </cols>
  <sheetData>
    <row r="1">
      <c r="A1" s="7" t="inlineStr">
        <is>
          <t>Metric</t>
        </is>
      </c>
      <c r="B1" s="7" t="inlineStr">
        <is>
          <t>Score</t>
        </is>
      </c>
      <c r="C1" s="7" t="inlineStr">
        <is>
          <t>Meaning</t>
        </is>
      </c>
    </row>
    <row r="2">
      <c r="A2" s="3" t="inlineStr">
        <is>
          <t>Correctness</t>
        </is>
      </c>
      <c r="B2" s="3" t="n">
        <v>0</v>
      </c>
      <c r="C2" s="3" t="inlineStr">
        <is>
          <t>Incorrect or contradicts the expected answer.</t>
        </is>
      </c>
    </row>
    <row r="3">
      <c r="A3" s="3" t="inlineStr">
        <is>
          <t>Correctness</t>
        </is>
      </c>
      <c r="B3" s="3" t="n">
        <v>1</v>
      </c>
      <c r="C3" s="3" t="inlineStr">
        <is>
          <t>Partially correct; some required information missing or minor factual issue.</t>
        </is>
      </c>
    </row>
    <row r="4">
      <c r="A4" s="3" t="inlineStr">
        <is>
          <t>Correctness</t>
        </is>
      </c>
      <c r="B4" s="3" t="n">
        <v>2</v>
      </c>
      <c r="C4" s="3" t="inlineStr">
        <is>
          <t>Fully correct according to the gold answer/source.</t>
        </is>
      </c>
    </row>
    <row r="5">
      <c r="A5" s="3" t="inlineStr">
        <is>
          <t>Faithfulness / groundedness</t>
        </is>
      </c>
      <c r="B5" s="3" t="n">
        <v>0</v>
      </c>
      <c r="C5" s="3" t="inlineStr">
        <is>
          <t>Unsupported by retrieved/API evidence or clearly hallucinated.</t>
        </is>
      </c>
    </row>
    <row r="6">
      <c r="A6" s="3" t="inlineStr">
        <is>
          <t>Faithfulness / groundedness</t>
        </is>
      </c>
      <c r="B6" s="3" t="n">
        <v>1</v>
      </c>
      <c r="C6" s="3" t="inlineStr">
        <is>
          <t>Mostly supported but includes at least one unsupported or vague claim.</t>
        </is>
      </c>
    </row>
    <row r="7">
      <c r="A7" s="3" t="inlineStr">
        <is>
          <t>Faithfulness / groundedness</t>
        </is>
      </c>
      <c r="B7" s="3" t="n">
        <v>2</v>
      </c>
      <c r="C7" s="3" t="inlineStr">
        <is>
          <t>All factual claims are supported by API output or retrieved sources.</t>
        </is>
      </c>
    </row>
    <row r="8">
      <c r="A8" s="3" t="inlineStr">
        <is>
          <t>Hallucination</t>
        </is>
      </c>
      <c r="B8" s="3" t="n">
        <v>0</v>
      </c>
      <c r="C8" s="3" t="inlineStr">
        <is>
          <t>No unsupported false/specific claim detected.</t>
        </is>
      </c>
    </row>
    <row r="9">
      <c r="A9" s="3" t="inlineStr">
        <is>
          <t>Hallucination</t>
        </is>
      </c>
      <c r="B9" s="3" t="n">
        <v>1</v>
      </c>
      <c r="C9" s="3" t="inlineStr">
        <is>
          <t>At least one invented, false, or unsupported specific claim detected.</t>
        </is>
      </c>
    </row>
    <row r="10">
      <c r="A10" s="3" t="inlineStr">
        <is>
          <t>Language consistency</t>
        </is>
      </c>
      <c r="B10" s="3" t="n">
        <v>0</v>
      </c>
      <c r="C10" s="3" t="inlineStr">
        <is>
          <t>Wrong language or impossible to understand.</t>
        </is>
      </c>
    </row>
    <row r="11">
      <c r="A11" s="3" t="inlineStr">
        <is>
          <t>Language consistency</t>
        </is>
      </c>
      <c r="B11" s="3" t="n">
        <v>1</v>
      </c>
      <c r="C11" s="3" t="inlineStr">
        <is>
          <t>Mixed language or partly inappropriate language.</t>
        </is>
      </c>
    </row>
    <row r="12">
      <c r="A12" s="3" t="inlineStr">
        <is>
          <t>Language consistency</t>
        </is>
      </c>
      <c r="B12" s="3" t="n">
        <v>2</v>
      </c>
      <c r="C12" s="3" t="inlineStr">
        <is>
          <t>Correct/appropriate language for the user query.</t>
        </is>
      </c>
    </row>
    <row r="13">
      <c r="A13" s="3" t="inlineStr">
        <is>
          <t>Unanswerable questions</t>
        </is>
      </c>
      <c r="B13" s="3" t="inlineStr">
        <is>
          <t>Expected</t>
        </is>
      </c>
      <c r="C13" s="3" t="inlineStr">
        <is>
          <t>Best answer explicitly says the information is unavailable or cannot be answered from provided data.</t>
        </is>
      </c>
    </row>
    <row r="14" ht="27.6" customHeight="1">
      <c r="A14" s="3" t="inlineStr">
        <is>
          <t>Timing</t>
        </is>
      </c>
      <c r="B14" s="3" t="inlineStr">
        <is>
          <t>ms</t>
        </is>
      </c>
      <c r="C14" s="3" t="inlineStr">
        <is>
          <t>Measure time from request send to final answer or error. Later add fine-grained decision/API/RAG/LLM timings if available.</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10" defaultColWidth="8.796875" defaultRowHeight="13.8" outlineLevelCol="0"/>
  <cols>
    <col width="22" customWidth="1" min="1" max="7"/>
  </cols>
  <sheetData>
    <row r="1">
      <c r="A1" s="4" t="inlineStr">
        <is>
          <t>category</t>
        </is>
      </c>
      <c r="B1" s="4" t="inlineStr">
        <is>
          <t>difficulty</t>
        </is>
      </c>
      <c r="C1" s="4" t="inlineStr">
        <is>
          <t>language</t>
        </is>
      </c>
      <c r="D1" s="4" t="inlineStr">
        <is>
          <t>source_of_truth</t>
        </is>
      </c>
      <c r="E1" s="4" t="inlineStr">
        <is>
          <t>score_0_2</t>
        </is>
      </c>
      <c r="F1" s="4" t="inlineStr">
        <is>
          <t>hallucination_0_1</t>
        </is>
      </c>
      <c r="G1" s="4" t="inlineStr">
        <is>
          <t>systems</t>
        </is>
      </c>
    </row>
    <row r="2">
      <c r="A2" t="inlineStr">
        <is>
          <t>course_facts</t>
        </is>
      </c>
      <c r="B2" t="inlineStr">
        <is>
          <t>easy</t>
        </is>
      </c>
      <c r="C2" t="inlineStr">
        <is>
          <t>EN</t>
        </is>
      </c>
      <c r="D2" t="inlineStr">
        <is>
          <t>DB</t>
        </is>
      </c>
      <c r="E2" t="n">
        <v>0</v>
      </c>
      <c r="F2" t="n">
        <v>0</v>
      </c>
      <c r="G2" t="inlineStr">
        <is>
          <t>Non-RAG</t>
        </is>
      </c>
    </row>
    <row r="3">
      <c r="A3" t="inlineStr">
        <is>
          <t>schedule_datetime</t>
        </is>
      </c>
      <c r="B3" t="inlineStr">
        <is>
          <t>medium</t>
        </is>
      </c>
      <c r="C3" t="inlineStr">
        <is>
          <t>DE</t>
        </is>
      </c>
      <c r="D3" t="inlineStr">
        <is>
          <t>RAG</t>
        </is>
      </c>
      <c r="E3" t="n">
        <v>1</v>
      </c>
      <c r="F3" t="n">
        <v>1</v>
      </c>
      <c r="G3" t="inlineStr">
        <is>
          <t>Website-RAG</t>
        </is>
      </c>
    </row>
    <row r="4">
      <c r="A4" t="inlineStr">
        <is>
          <t>program_structure_filtering</t>
        </is>
      </c>
      <c r="B4" t="inlineStr">
        <is>
          <t>hard</t>
        </is>
      </c>
      <c r="C4" t="inlineStr">
        <is>
          <t>FR</t>
        </is>
      </c>
      <c r="D4" t="inlineStr">
        <is>
          <t>Mixed</t>
        </is>
      </c>
      <c r="E4" t="n">
        <v>2</v>
      </c>
      <c r="G4" t="inlineStr">
        <is>
          <t>Hybrid</t>
        </is>
      </c>
    </row>
    <row r="5">
      <c r="A5" t="inlineStr">
        <is>
          <t>rag_document</t>
        </is>
      </c>
      <c r="D5" t="inlineStr">
        <is>
          <t>None</t>
        </is>
      </c>
    </row>
    <row r="6">
      <c r="A6" t="inlineStr">
        <is>
          <t>multilingual</t>
        </is>
      </c>
    </row>
    <row r="7">
      <c r="A7" t="inlineStr">
        <is>
          <t>ambiguous</t>
        </is>
      </c>
    </row>
    <row r="8">
      <c r="A8" t="inlineStr">
        <is>
          <t>unanswerable</t>
        </is>
      </c>
    </row>
    <row r="9">
      <c r="A9" t="inlineStr">
        <is>
          <t>planning_reasoning</t>
        </is>
      </c>
    </row>
    <row r="10">
      <c r="A10" t="inlineStr">
        <is>
          <t>program_overview</t>
        </is>
      </c>
    </row>
    <row r="11">
      <c r="A11" t="inlineStr">
        <is>
          <t>program_courses</t>
        </is>
      </c>
    </row>
    <row r="12">
      <c r="A12" t="inlineStr">
        <is>
          <t>program_requirements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R55"/>
  <sheetViews>
    <sheetView workbookViewId="0">
      <pane ySplit="1" topLeftCell="A2" activePane="bottomLeft" state="frozen"/>
      <selection pane="bottomLeft" activeCell="A1" sqref="A1"/>
    </sheetView>
  </sheetViews>
  <sheetFormatPr baseColWidth="8" defaultRowHeight="15" outlineLevelCol="0"/>
  <cols>
    <col width="16" customWidth="1" min="1" max="1"/>
    <col width="16" customWidth="1" min="2" max="2"/>
    <col width="16" customWidth="1" min="3" max="3"/>
    <col width="16" customWidth="1" min="4" max="4"/>
    <col width="50" customWidth="1" min="5" max="5"/>
    <col width="5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8" customWidth="1" min="17" max="17"/>
    <col width="16" customWidth="1" min="18" max="18"/>
    <col width="16" customWidth="1" min="19" max="19"/>
    <col width="16" customWidth="1" min="20" max="20"/>
    <col width="16" customWidth="1" min="21" max="21"/>
    <col width="16" customWidth="1" min="22" max="22"/>
    <col width="16" customWidth="1" min="23" max="23"/>
    <col width="18" customWidth="1" min="24" max="24"/>
    <col width="16" customWidth="1" min="25" max="25"/>
    <col width="16" customWidth="1" min="26" max="26"/>
    <col width="16" customWidth="1" min="27" max="27"/>
    <col width="16" customWidth="1" min="28" max="28"/>
    <col width="16" customWidth="1" min="29" max="29"/>
    <col width="16" customWidth="1" min="30" max="30"/>
    <col width="18" customWidth="1" min="31" max="31"/>
    <col width="16" customWidth="1" min="32" max="32"/>
    <col width="16" customWidth="1" min="33" max="33"/>
    <col width="18" customWidth="1" min="34" max="34"/>
    <col width="16" customWidth="1" min="35" max="35"/>
    <col width="16" customWidth="1" min="36" max="36"/>
    <col width="18" customWidth="1" min="37" max="37"/>
    <col width="18" customWidth="1" min="38" max="38"/>
    <col width="18" customWidth="1" min="39" max="39"/>
    <col width="18" customWidth="1" min="40" max="40"/>
    <col width="16" customWidth="1" min="41" max="41"/>
    <col width="16" customWidth="1" min="42" max="42"/>
    <col width="16" customWidth="1" min="43" max="43"/>
    <col width="16" customWidth="1" min="44" max="44"/>
  </cols>
  <sheetData>
    <row r="1">
      <c r="A1" s="10" t="inlineStr">
        <is>
          <t>id</t>
        </is>
      </c>
      <c r="B1" s="10" t="inlineStr">
        <is>
          <t>category</t>
        </is>
      </c>
      <c r="C1" s="10" t="inlineStr">
        <is>
          <t>difficulty</t>
        </is>
      </c>
      <c r="D1" s="10" t="inlineStr">
        <is>
          <t>language</t>
        </is>
      </c>
      <c r="E1" s="10" t="inlineStr">
        <is>
          <t>question</t>
        </is>
      </c>
      <c r="F1" s="10" t="inlineStr">
        <is>
          <t>expected_answer</t>
        </is>
      </c>
      <c r="G1" s="10" t="inlineStr">
        <is>
          <t>source_of_truth</t>
        </is>
      </c>
      <c r="H1" s="10" t="inlineStr">
        <is>
          <t>expected_flow</t>
        </is>
      </c>
      <c r="I1" s="10" t="inlineStr">
        <is>
          <t>gold_source</t>
        </is>
      </c>
      <c r="J1" s="10" t="inlineStr">
        <is>
          <t>required_fields</t>
        </is>
      </c>
      <c r="K1" s="10" t="inlineStr">
        <is>
          <t>notes</t>
        </is>
      </c>
      <c r="L1" s="10" t="inlineStr">
        <is>
          <t>nonrag_answer</t>
        </is>
      </c>
      <c r="M1" s="10" t="inlineStr">
        <is>
          <t>nonrag_correctness_0_2</t>
        </is>
      </c>
      <c r="N1" s="10" t="inlineStr">
        <is>
          <t>nonrag_faithfulness_0_2</t>
        </is>
      </c>
      <c r="O1" s="10" t="inlineStr">
        <is>
          <t>nonrag_hallucination_0_1</t>
        </is>
      </c>
      <c r="P1" s="10" t="inlineStr">
        <is>
          <t>nonrag_language_0_2</t>
        </is>
      </c>
      <c r="Q1" s="10" t="inlineStr">
        <is>
          <t>nonrag_time_ms</t>
        </is>
      </c>
      <c r="R1" s="10" t="inlineStr">
        <is>
          <t>nonrag_error</t>
        </is>
      </c>
      <c r="S1" s="10" t="inlineStr">
        <is>
          <t>webrag_answer</t>
        </is>
      </c>
      <c r="T1" s="10" t="inlineStr">
        <is>
          <t>webrag_correctness_0_2</t>
        </is>
      </c>
      <c r="U1" s="10" t="inlineStr">
        <is>
          <t>webrag_faithfulness_0_2</t>
        </is>
      </c>
      <c r="V1" s="10" t="inlineStr">
        <is>
          <t>webrag_hallucination_0_1</t>
        </is>
      </c>
      <c r="W1" s="10" t="inlineStr">
        <is>
          <t>webrag_language_0_2</t>
        </is>
      </c>
      <c r="X1" s="10" t="inlineStr">
        <is>
          <t>webrag_time_ms</t>
        </is>
      </c>
      <c r="Y1" s="10" t="inlineStr">
        <is>
          <t>webrag_error</t>
        </is>
      </c>
      <c r="Z1" s="10" t="inlineStr">
        <is>
          <t>hybrid_answer</t>
        </is>
      </c>
      <c r="AA1" s="10" t="inlineStr">
        <is>
          <t>hybrid_correctness_0_2</t>
        </is>
      </c>
      <c r="AB1" s="10" t="inlineStr">
        <is>
          <t>hybrid_faithfulness_0_2</t>
        </is>
      </c>
      <c r="AC1" s="10" t="inlineStr">
        <is>
          <t>hybrid_hallucination_0_1</t>
        </is>
      </c>
      <c r="AD1" s="10" t="inlineStr">
        <is>
          <t>hybrid_language_0_2</t>
        </is>
      </c>
      <c r="AE1" s="10" t="inlineStr">
        <is>
          <t>hybrid_time_ms</t>
        </is>
      </c>
      <c r="AF1" s="10" t="inlineStr">
        <is>
          <t>hybrid_tool_used</t>
        </is>
      </c>
      <c r="AG1" s="10" t="inlineStr">
        <is>
          <t>hybrid_error</t>
        </is>
      </c>
      <c r="AH1" s="10" t="inlineStr">
        <is>
          <t>auto_run_timestamp</t>
        </is>
      </c>
      <c r="AI1" s="10" t="inlineStr">
        <is>
          <t>auto_http_status</t>
        </is>
      </c>
      <c r="AJ1" s="10" t="inlineStr">
        <is>
          <t>auto_success</t>
        </is>
      </c>
      <c r="AK1" s="10" t="inlineStr">
        <is>
          <t>auto_client_total_time_ms</t>
        </is>
      </c>
      <c r="AL1" s="10" t="inlineStr">
        <is>
          <t>auto_server_elapsed_ms</t>
        </is>
      </c>
      <c r="AM1" s="10" t="inlineStr">
        <is>
          <t>auto_request_handler_ms</t>
        </is>
      </c>
      <c r="AN1" s="10" t="inlineStr">
        <is>
          <t>auto_answer_question_ms</t>
        </is>
      </c>
      <c r="AO1" s="10" t="inlineStr">
        <is>
          <t>auto_tool_used</t>
        </is>
      </c>
      <c r="AP1" s="10" t="inlineStr">
        <is>
          <t>auto_sources_count</t>
        </is>
      </c>
      <c r="AQ1" s="10" t="inlineStr">
        <is>
          <t>auto_answer</t>
        </is>
      </c>
      <c r="AR1" s="10" t="inlineStr">
        <is>
          <t>auto_error</t>
        </is>
      </c>
    </row>
    <row r="2">
      <c r="A2" s="11" t="n">
        <v>1</v>
      </c>
      <c r="B2" s="11" t="inlineStr">
        <is>
          <t>program_overview</t>
        </is>
      </c>
      <c r="C2" s="11" t="inlineStr">
        <is>
          <t>medium</t>
        </is>
      </c>
      <c r="D2" s="11" t="inlineStr">
        <is>
          <t>EN</t>
        </is>
      </c>
      <c r="E2" s="11" t="inlineStr">
        <is>
          <t>Which programs can I study at Unifr at bachelor level?</t>
        </is>
      </c>
      <c r="F2" s="11" t="inlineStr">
        <is>
          <t>List of all bachelor programs available in the database.</t>
        </is>
      </c>
      <c r="G2" s="11" t="inlineStr">
        <is>
          <t>DB</t>
        </is>
      </c>
      <c r="H2" s="11" t="inlineStr">
        <is>
          <t>API /programs?degree_level=Bachelor</t>
        </is>
      </c>
      <c r="I2" s="11" t="inlineStr">
        <is>
          <t>StudyProgram table</t>
        </is>
      </c>
      <c r="J2" s="11" t="inlineStr">
        <is>
          <t>program names, degree level</t>
        </is>
      </c>
      <c r="K2" s="11" t="inlineStr">
        <is>
          <t>Existing sample question, cleaned.</t>
        </is>
      </c>
      <c r="L2" s="11" t="n"/>
      <c r="M2" s="11" t="n"/>
      <c r="N2" s="11" t="n"/>
      <c r="O2" s="11" t="n"/>
      <c r="P2" s="11" t="n"/>
      <c r="Q2" s="11" t="n"/>
      <c r="R2" s="11" t="n"/>
      <c r="S2" s="11" t="n"/>
      <c r="T2" s="11" t="n"/>
      <c r="U2" s="11" t="n"/>
      <c r="V2" s="11" t="n"/>
      <c r="W2" s="11" t="n"/>
      <c r="X2" s="11" t="n"/>
      <c r="Y2" s="11" t="n"/>
      <c r="Z2" s="11" t="n"/>
      <c r="AA2" s="11" t="n"/>
      <c r="AB2" s="11" t="n"/>
      <c r="AC2" s="11" t="n"/>
      <c r="AD2" s="11" t="n"/>
      <c r="AE2" s="11" t="n"/>
      <c r="AF2" s="11" t="n"/>
      <c r="AG2" s="11" t="n"/>
      <c r="AH2" s="11" t="inlineStr">
        <is>
          <t>2026-05-25T01:18:59</t>
        </is>
      </c>
      <c r="AI2" s="11" t="n">
        <v>200</v>
      </c>
      <c r="AJ2" s="11" t="b">
        <v>1</v>
      </c>
      <c r="AK2" s="11" t="n">
        <v>141.48</v>
      </c>
      <c r="AL2" s="11" t="n">
        <v>96.20999999999999</v>
      </c>
      <c r="AM2" s="11" t="n"/>
      <c r="AN2" s="11" t="n">
        <v>82.67</v>
      </c>
      <c r="AO2" s="11" t="inlineStr">
        <is>
          <t>get_programs</t>
        </is>
      </c>
      <c r="AP2" s="11" t="n">
        <v>0</v>
      </c>
      <c r="AQ2"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AR2" s="11" t="n"/>
    </row>
    <row r="3">
      <c r="A3" s="11" t="n">
        <v>2</v>
      </c>
      <c r="B3" s="11" t="inlineStr">
        <is>
          <t>program_overview</t>
        </is>
      </c>
      <c r="C3" s="11" t="inlineStr">
        <is>
          <t>medium</t>
        </is>
      </c>
      <c r="D3" s="11" t="inlineStr">
        <is>
          <t>EN</t>
        </is>
      </c>
      <c r="E3" s="11" t="inlineStr">
        <is>
          <t>Which minor programs does Unifr offer?</t>
        </is>
      </c>
      <c r="F3" s="11" t="inlineStr">
        <is>
          <t>List of minor-like programs, e.g. programs with total ECTS &lt;= 60, excluding null/doctorate entries.</t>
        </is>
      </c>
      <c r="G3" s="11" t="inlineStr">
        <is>
          <t>DB</t>
        </is>
      </c>
      <c r="H3" s="11" t="inlineStr">
        <is>
          <t>API /programs?max_ects=60</t>
        </is>
      </c>
      <c r="I3" s="11" t="inlineStr">
        <is>
          <t>StudyProgram table</t>
        </is>
      </c>
      <c r="J3" s="11" t="inlineStr">
        <is>
          <t>program names, ECTS</t>
        </is>
      </c>
      <c r="K3" s="11" t="inlineStr">
        <is>
          <t>Existing sample question, cleaned.</t>
        </is>
      </c>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inlineStr">
        <is>
          <t>2026-05-25T01:18:59</t>
        </is>
      </c>
      <c r="AI3" s="11" t="n">
        <v>200</v>
      </c>
      <c r="AJ3" s="11" t="b">
        <v>1</v>
      </c>
      <c r="AK3" s="11" t="n">
        <v>44.17</v>
      </c>
      <c r="AL3" s="11" t="n">
        <v>34.41</v>
      </c>
      <c r="AM3" s="11" t="n"/>
      <c r="AN3" s="11" t="n">
        <v>33.51</v>
      </c>
      <c r="AO3" s="11" t="inlineStr">
        <is>
          <t>get_programs</t>
        </is>
      </c>
      <c r="AP3" s="11" t="n">
        <v>0</v>
      </c>
      <c r="AQ3" s="11" t="inlineStr">
        <is>
          <t>Found 158 result(s):
- **Archaeology** — Master, 30 ECTS, minor, id 188, Faculty of Humanities
- **Art History** — Bachelor, 30 ECTS, minor, id 199, Faculty of Humanities
- **Art History** — Bachelor, 60 ECTS, minor, id 200, Faculty of Humanities
- **Art History** — Master, 30 ECTS, minor, id 197, Faculty of Humanities
- **Biochemistry** — Bachelor, 30 ECTS, minor, id 103, Faculty of Science and Medicine
- **Biochemistry** — Bachelor, 60 ECTS, minor, id 104, Faculty of Science and Medicine
- **Biology** — Bachelor, 30 ECTS, minor, id 97, Faculty of Science and Medicine
- **Biology** — Bachelor, 60 ECTS, minor, id 98, Faculty of Science and Medicine
- **Biomedical Sciences** — Bachelor, 60 ECTS, minor, id 21,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Master, 30 ECTS, minor, id 7, Faculty of Management, Economics and Social Sciences
- **Chemistry** — Bachelor, 30 ECTS, minor, id 89, Faculty of Science and Medicine
- **Chemistry** — Bachelor, 60 ECTS, minor, id 90, Faculty of Science and Medicine
- **Chemistry** — Master, 30 ECTS, minor, id 86, Faculty of Science and Medicine
- **Classics** — Bachelor, 60 ECTS, minor, id 287, Faculty of Humanities
- **Classics** — Master, 30 ECTS, minor, id 285, Faculty of Humanities
- **Communication and Media Research** — Bachelor, 30 ECTS, minor, id 306, Faculty of Management, Economics and Social Sciences
- **Communication and Media Research** — Bachelor, 60 ECTS, minor, id 307, Faculty of Management, Economics and Social Sciences
- **Communication Studies** — Bachelor, 30 ECTS, minor, id 300, Faculty of Management, Economics and Social Sciences
- **Communication Studies** — Bachelor, 60 ECTS, minor, id 301, Faculty of Management, Economics and Social Sciences
- **Comparative Literature** — Master, 30 ECTS, minor, id 282, Faculty of Humanities
- **Computer Science** — Bachelor, 30 ECTS, minor, id 3, Faculty of Science and Medicine
- **Computer Science** — Bachelor, 60 ECTS, minor, id 4, Faculty of Science and Medicine
- **Computer Science** — Master, 30 ECTS, minor, id 1, Faculty of Science and Medicine
- **Contemporary History** — Bachelor, 30 ECTS, minor, id 205, Faculty of Humanities
- **Contemporary History** — Bachelor, 60 ECTS, minor, id 206, Faculty of Humanities
- **Contemporary History** — Master, 30 ECTS, minor, id 203, Faculty of Humanities
- **Culture, Politics and Religion in Pluralist Societies** — Master, 30 ECTS, minor, id 142, Faculty of Humanities
- **Data Analytics &amp; Economics** — Master, 30 ECTS, minor, id 51, Faculty of Management, Economics and Social Sciences
- **Digital Communication and Creative Media Production** — Master, 30 ECTS, minor, id 295, Faculty of Management, Economics and Social Sciences
- **Digital Media &amp; Communication for Social Impact** — Master, 30 ECTS, minor, id 298, Faculty of Management, Economics and Social Sciences
- **Digital Society** — Master, 30 ECTS, minor, id 38, Faculty of Humanities
- **Earth Sciences** — Bachelor, 30 ECTS, minor, id 80, Faculty of Science and Medicine
- **Earth Sciences** — Bachelor, 60 ECTS, minor, id 81, Faculty of Science and Medicine
- **Eastern European Studies** — Bachelor, 60 ECTS, minor, id 163, Faculty of Humanities
- **Eastern European Studies** — Master, 30 ECTS, minor, id 161, Faculty of Humanities
- **Economic and Legal Studies** — Bachelor, 60 ECTS, minor, id 322,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Master, 30 ECTS, minor, id 325, Faculty of Management, Economics and Social Sciences
- **Education Sciences** — Bachelor, 60 ECTS, minor, id 119, Faculty of Education
- **Education Sciences** — Master, 30 ECTS, minor, id 117, Faculty of Education
- **English Language and Literature** — Bachelor, 60 ECTS, minor, id 279, Faculty of Humanities
- **English Language and Literature** — Master, 30 ECTS, minor, id 277, Faculty of Humanities
- **Environmental Biology** — Master, 30 ECTS, minor, id 94, Faculty of Science and Medicine
- **Environmental Humanities and Sustainability Studies** — Master, 30 ECTS, minor, id 36, Interfaculty
- **Environmental Sciences and Humanities** — Bachelor, 30 ECTS, minor, id 76, Interfaculty
- **Environmental Sciences and Humanities** — Bachelor, 60 ECTS, minor, id 77, Interfaculty
- **Environmental Sciences and Humanities** — Master, 30 ECTS, minor, id 74, Interfaculty
- **Ethics and Economics** — Master, 30 ECTS, minor, id 313, Faculty of Management, Economics and Social Sciences
- **European Studies** — Master, 30 ECTS, minor, id 158, Faculty of Humanities
- **Family, Children and Youth Studies** — Master, 30 ECTS, minor, id 33, Interfaculty
- **Foreign Language Didactics** — Master, 30 ECTS, minor, id 222, Faculty of Humanities
- **French** — Bachelor, 60 ECTS, minor, id 274, Faculty of Humanities
- **French** — Master, 30 ECTS, minor, id 272, Faculty of Humanities
- **French as a Foreign Language** — Bachelor, 60 ECTS, minor, id 226, Faculty of Humanities
- **French as a Foreign Language / French as a Second Language** — Master, 30 ECTS, minor, id 224, Faculty of Humanities
- **French: Foundational Curriculum** — Master, 30 ECTS, minor, id 269, Faculty of Humanities
- **Gender, Society, Social Policy** — Master, 30 ECTS, minor, id 156, Faculty of Humanities
- **General and Swiss History of Modern Times** — Master, 30 ECTS, minor, id 209, Faculty of Humanities
- **Geography** — Bachelor, 30 ECTS, minor, id 70, Faculty of Science and Medicine
- **Geography** — Bachelor, 60 ECTS, minor, id 71, Faculty of Science and Medicine
- **Geography** — Master, 30 ECTS, minor, id 68, Faculty of Science and Medicine
- **German** — Bachelor, 50 ECTS, minor, id 266, Faculty of Humanities
- **German** — Bachelor, 60 ECTS, minor, id 267, Faculty of Humanities
- **German** — Master, 30 ECTS, minor, id 264, Faculty of Humanities
- **German as a Foreign Language** — Bachelor, 60 ECTS, minor, id 229, Faculty of Humanities
- **German as a Foreign Language / German as a Second Language** — Master, 30 ECTS, minor, id 227,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Master, 30 ECTS, minor, id 214, Faculty of Humanities
- **History of Modern Times** — Bachelor, 60 ECTS, minor, id 211, Faculty of Humanities
- **International and Comparative Social Policy** — Master, 30 ECTS, minor, id 155, Faculty of Humanities
- **Interreligious Studies** — Bachelor, 30 ECTS, minor, id 354, Faculty of Theology
- **Interreligious Studies** — Bachelor, 60 ECTS, minor, id 355, Faculty of Theology
- **Interreligious Studies** — Master, 30 ECTS, minor, id 352, Faculty of Theology
- **Islam and Society** — Master, 30 ECTS, minor, id 31, Interfaculty
- **Italian** — Bachelor, 30 ECTS, minor, id 254, Faculty of Humanities
- **Italian** — Bachelor, 60 ECTS, minor, id 255, Faculty of Humanities
- **Italian** — Master, 30 ECTS, minor, id 252, Faculty of Humanities
- **Italian [Double Degree]** — Master, 60 ECTS, minor, id 249,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Master, 30 ECTS, minor, id 339, Faculty of Law
- **Management** — Bachelor, 30 ECTS, minor, id 333, Faculty of Management, Economics and Social Sciences
- **Management** — Bachelor, 60 ECTS, minor, id 334, Faculty of Management, Economics and Social Sciences
- **Management** — Master, 30 ECTS, minor, id 331, Faculty of Management, Economics and Social Sciences
- **Mathematics** — Bachelor, 30 ECTS, minor, id 62, Faculty of Science and Medicine
- **Mathematics** — Bachelor, 60 ECTS, minor, id 63, Faculty of Science and Medicine
- **Mathematics** — Master, 30 ECTS, minor, id 60, Faculty of Science and Medicine
- **Medieval Studies** — Master, 30 ECTS, minor, id 29, Faculty of Humanities
- **Multilingualism Studies** — Master, 30 ECTS, minor, id 219, Faculty of Humanities
- **Musicology and History of Opera** — Bachelor, 30 ECTS, minor, id 193, Faculty of Humanities
- **Musicology and History of Opera** — Bachelor, 60 ECTS, minor, id 194, Faculty of Humanities
- **Musicology and History of Opera** — Master, 30 ECTS, minor, id 191, Faculty of Humanities
- **Part-time Law studies** — Bachelor, 30 ECTS, minor, id 341, Faculty of Law
- **Pedagogy / Psychology** — Bachelor, 60 ECTS, minor, id 114, Faculty of Education
- **Pedagogy / Psychology** — Master, 30 ECTS, minor, id 112, Faculty of Education
- **Philosophy** — Bachelor, 30 ECTS, minor, id 292, Faculty of Humanities
- **Philosophy** — Bachelor, 60 ECTS, minor, id 293, Faculty of Humanities
- **Philosophy** — Master, 30 ECTS, minor, id 290, Faculty of Humanities
- **Physics** — Bachelor, 30 ECTS, minor, id 54, Faculty of Science and Medicine
- **Physics** — Bachelor, 60 ECTS, minor, id 55, Faculty of Science and Medicine
- **Physics** — Master, 30 ECTS, minor, id 27, Faculty of Science and Medicine
- **Political Science** — Bachelor, 60 ECTS, minor, id 153, Faculty of Humanities
- **Psychology** — Bachelor, 30 ECTS, minor, id 109, Faculty of Humanities
- **Psychology** — Bachelor, 60 ECTS, minor, id 110, Faculty of Humanities
- **Psychology** — Master, 30 ECTS, minor, id 107, Faculty of Humanities
- **Religious studies** — Bachelor, 30 ECTS, minor, id 150, Faculty of Humanities
- **Religious studies** — Bachelor, 60 ECTS, minor, id 151, Faculty of Humanities
- **Remedial Education at School (DE)** — Master, 30 ECTS, minor, id 126, Faculty of Education
- **Remedial Education at School (FR)** — Master, 30 ECTS, minor, id 129, Faculty of Education
- **Rhaeto-Romance** — Bachelor, 30 ECTS, minor, id 243, Faculty of Humanities
- **Rhaeto-Romance** — Bachelor, 60 ECTS, minor, id 244, Faculty of Humanities
- **Rhaeto-Romance** — Master, 30 ECTS, minor, id 242, Faculty of Humanities
- **Slavic Studies** — Bachelor, 60 ECTS, minor, id 239, Faculty of Humanities
- **Slavic Studies** — Master, 30 ECTS, minor, id 237, Faculty of Humanities
- **Social Anthropology** — Bachelor, 30 ECTS, minor, id 144, Faculty of Humanities
- **Social Anthropology** — Bachelor, 60 ECTS, minor, id 145, Faculty of Humanities
- **Social Problems, Social Policy and Risk Prevention** — Master, 30 ECTS, minor, id 171, Faculty of Humanities
- **Social Sciences** — Doctorate, 30 ECTS, minor, id 297, Faculty of Management, Economics and Social Sciences
- **Social Work and Social Policy (DE)** — Bachelor, 60 ECTS, minor, id 168, Faculty of Humanities
- **Social Work and Social Policy (FR)** — Bachelor, 30 ECTS, minor, id 173, Faculty of Humanities
- **Social Work and Social Policy (FR)** — Bachelor, 60 ECTS, minor, id 174, Faculty of Humanities
- **Sociology (DE)** — Bachelor, 60 ECTS, minor, id 179, Faculty of Humanities
- **Sociology (FR)** — Bachelor, 30 ECTS, minor, id 184, Faculty of Humanities
- **Sociology (FR)** — Bachelor, 60 ECTS, minor, id 185, Faculty of Humanities
- **Sociology of Social Problems** — Master, 30 ECTS, minor, id 139, Faculty of Humanities
- **Sociology, Social Policy, Social Work** — Master, 30 ECTS, minor, id 166, Faculty of Humanities
- **Spanish** — Bachelor, 30 ECTS, minor, id 233, Faculty of Humanities
- **Spanish** — Bachelor, 60 ECTS, minor, id 234, Faculty of Humanities
- **Spanish** — Master, 30 ECTS, minor, id 231, Faculty of Humanities
- **Special Education** — Bachelor, 60 ECTS, minor, id 124, Faculty of Education
- **Special Education** — Master, 30 ECTS, minor, id 122, Faculty of Education
- **Sport Sciences** — Master, 30 ECTS, minor, id 15, Faculty of Science and Medicine
- **Sport Sciences and Motor Control** — Bachelor, 30 ECTS, minor, id 17, Faculty of Science and Medicine
- **Sport Sciences and Motor Control** — Bachelor, 60 ECTS, minor, id 18, Faculty of Science and Medicine
- **Teacher Education for Baccalaureate Schools** — Master, 60 ECTS, minor, id 41, Faculty of Education
- **Teacher Education for Secondary Level I** — Bachelor, 30 ECTS, minor, id 44, Faculty of Education
- **Theological Studies** — Bachelor, 60 ECTS, minor, id 360, Faculty of Theology
- **Theological Studies** — Master, 30 ECTS, minor, id 358, Faculty of Theology
- **Theology** — Bachelor, 30 ECTS, minor, id 365, Faculty of Theology
- **Theology** — Bachelor, 60 ECTS, minor, id 366, Faculty of Theology
- **Theology** — Master, 30 ECTS, minor, id 363, Faculty of Theology
- **Theology (Canonical License)** — Master, 60 ECTS, minor, id 350, Faculty of Theology</t>
        </is>
      </c>
      <c r="AR3" s="11" t="n"/>
    </row>
    <row r="4">
      <c r="A4" s="11" t="n">
        <v>3</v>
      </c>
      <c r="B4" s="11" t="inlineStr">
        <is>
          <t>program_courses</t>
        </is>
      </c>
      <c r="C4" s="11" t="inlineStr">
        <is>
          <t>hard</t>
        </is>
      </c>
      <c r="D4" s="11" t="inlineStr">
        <is>
          <t>EN</t>
        </is>
      </c>
      <c r="E4" s="11" t="inlineStr">
        <is>
          <t>What courses are mandatory in the Bachelor of Business Informatics with 180 ECTS?</t>
        </is>
      </c>
      <c r="F4" s="11" t="inlineStr">
        <is>
          <t>List of mandatory courses for the specified program.</t>
        </is>
      </c>
      <c r="G4" s="11" t="inlineStr">
        <is>
          <t>DB</t>
        </is>
      </c>
      <c r="H4" s="11" t="inlineStr">
        <is>
          <t>API /programs/:id/courses?type=Mandatory</t>
        </is>
      </c>
      <c r="I4" s="11" t="inlineStr">
        <is>
          <t>consist_of + StudyProgram</t>
        </is>
      </c>
      <c r="J4" s="11" t="inlineStr">
        <is>
          <t>course codes, titles, mandatory status</t>
        </is>
      </c>
      <c r="K4" s="11" t="inlineStr">
        <is>
          <t>Existing sample question, cleaned.</t>
        </is>
      </c>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inlineStr">
        <is>
          <t>2026-05-25T01:18:59</t>
        </is>
      </c>
      <c r="AI4" s="11" t="n">
        <v>200</v>
      </c>
      <c r="AJ4" s="11" t="b">
        <v>1</v>
      </c>
      <c r="AK4" s="11" t="n">
        <v>59.29</v>
      </c>
      <c r="AL4" s="11" t="n">
        <v>49.45</v>
      </c>
      <c r="AM4" s="11" t="n"/>
      <c r="AN4" s="11" t="n">
        <v>48.46</v>
      </c>
      <c r="AO4" s="11" t="inlineStr">
        <is>
          <t>get_program_courses_by_metadata</t>
        </is>
      </c>
      <c r="AP4" s="11" t="n">
        <v>1</v>
      </c>
      <c r="AQ4" s="11" t="inlineStr">
        <is>
          <t>Found 47 result(s):
- **Introduction à la gestion d'entreprise** — UE-EGE.00135, 6 ECTS, Mandatory, Business Informatics, program 180 ECTS
  - Section/description hint: 1. Jahr 60 ECTS
- **Einführung in die Betriebswirtschaftslehre** — UE-EGE.00136, 6 ECTS, Mandatory, Business Informatics, program 180 ECTS
  - Section/description hint: 1. Jahr 60 ECTS
- **Introduction à la comptabilité** — UE-EGE.00137, 6 ECTS, Mandatory, Business Informatics, program 180 ECTS
  - Section/description hint: 1. Jahr 60 ECTS
- **Unternehmensrechnung** — UE-EGE.00138, 6 ECTS, Mandatory, Business Informatics, program 180 ECTS
  - Section/description hint: 1. Jahr 60 ECTS
- **Organisation (f)** — UE-EGE.00253, 6 ECTS, Mandatory, Business Informatics, program 180 ECTS
  - Section/description hint: 1. Jahr 60 ECTS
- **Organisation (d)** — UE-EGE.00258, 6 ECTS, Mandatory, Business Informatics, program 180 ECTS
  - Section/description hint: 1. Jahr 60 ECTS
- **Informatique de gestion I** — UE-EIG.00036, 6 ECTS, Mandatory, Business Informatics, program 180 ECTS
  - Section/description hint: 1. Jahr 60 ECTS
- **Wirtschaftsinformatik I** — UE-EIG.00037, 6 ECTS, Mandatory, Business Informatics, program 180 ECTS
  - Section/description hint: 1. Jahr 60 ECTS
- **Informatique de gestion II** — UE-EIG.00038, 6 ECTS, Mandatory, Business Informatics, program 180 ECTS
  - Section/description hint: 1. Jahr 60 ECTS
- **Wirtschaftsinformatik II** — UE-EIG.00039, 6 ECTS, Mandatory, Business Informatics, program 180 ECTS
  - Section/description hint: 1. Jahr 60 ECTS
- **Introduction à la statistique I** — UE-EIG.00122, 4.5 ECTS, Mandatory, Business Informatics, program 180 ECTS
  - Section/description hint: 1. Jahr 60 ECTS
- **Einführung in die Statistik I** — UE-EIG.00123, 4.5 ECTS, Mandatory, Business Informatics, program 180 ECTS
  - Section/description hint: 1. Jahr 60 ECTS
- **Introduction à la statistique II** — UE-ESE.00027, 4.5 ECTS, Mandatory, Business Informatics, program 180 ECTS
  - Section/description hint: 1. Jahr 60 ECTS
- **Einführung in die Statistik II** — UE-ESE.00028, 4.5 ECTS, Mandatory, Business Informatics, program 180 ECTS
  - Section/description hint: 1. Jahr 60 ECTS
- **Mathématiques I** — UE-ESE.00047, 4.5 ECTS, Mandatory, Business Informatics, program 180 ECTS
  - Section/description hint: 1. Jahr 60 ECTS
- **Mathematik I** — UE-ESE.00048, 4.5 ECTS, Mandatory, Business Informatics, program 180 ECTS
  - Section/description hint: 1. Jahr 60 ECTS
- **Mathématiques II** — UE-ESE.00051, 4.5 ECTS, Mandatory, Business Informatics, program 180 ECTS
  - Section/description hint: 1. Jahr 60 ECTS
- **Mathematik II** — UE-ESE.00052, 4.5 ECTS, Mandatory, Business Informatics, program 180 ECTS
  - Section/description hint: 1. Jahr 60 ECTS
- **Introduction à la programmation / Einführung in die Programmierung** — UE-SIN.01023, 6 ECTS, Mandatory, Business Informatics, program 180 ECTS
  - Section/description hint: 1. Jahr 60 ECTS
- **Object-oriented programming** — UE-SIN.02023, 6 ECTS, Mandatory, Business Informatics, program 180 ECTS
  - Section/description hint: 1. Jahr 60 ECTS
- **Droit I** — UE-EGE.00139, 4.5 ECTS, Mandatory, Business Informatics, program 180 ECTS
  - Section/description hint: 2. Studienjahr 60 ECTS
- **Recht I** — UE-EGE.00140, 4.5 ECTS, Mandatory, Business Informatics, program 180 ECTS
  - Section/description hint: 2. Studienjahr 60 ECTS
- **MAN01F: Investissement et financement** — UE-EGE.00273, 6 ECTS, Mandatory, Business Informatics, program 180 ECTS
  - Section/description hint: 2. Studienjahr 60 ECTS
- **MAN01D: Investitions- und Finanzierungstheorie** — UE-EGE.00274, 6 ECTS, Mandatory, Business Informatics, program 180 ECTS
  - Section/description hint: 2. Studienjahr 60 ECTS
- **MAN02F: Marketing** — UE-EGE.00275, 4.5 ECTS, Mandatory, Business Informatics, program 180 ECTS
  - Section/description hint: 2. Studienjahr 60 ECTS
- **MAN02D: Marketing** — UE-EGE.00276, 4.5 ECTS, Mandatory, Business Informatics, program 180 ECTS
  - Section/description hint: 2. Studienjahr 60 ECTS
- **MAN04F: Comptabilité financière** — UE-EGE.00279, 4.5 ECTS, Mandatory, Business Informatics, program 180 ECTS
  - Section/description hint: 2. Studienjahr 60 ECTS
- **MAN04D: Bilanzierung** — UE-EGE.00280, 4.5 ECTS, Mandatory, Business Informatics, program 180 ECTS
  - Section/description hint: 2. Studienjahr 60 ECTS
- **Operations Management (d)** — UE-EIG.00015, 6 ECTS, Mandatory, Business Informatics, program 180 ECTS
  - Section/description hint: 2. Studienjahr 60 ECTS
- **Information Systems Modeling** — UE-EIG.00132, 6 ECTS, Mandatory, Business Informatics, program 180 ECTS
  - Section/description hint: 2. Studienjahr 60 ECTS
- **Statistique: approfondissement** — UE-ESE.00029, 4.5 ECTS, Mandatory, Business Informatics, program 180 ECTS
  - Section/description hint: 2. Studienjahr 60 ECTS
- **Vertiefungskurs Statistik** — UE-ESE.00030, 4.5 ECTS, Mandatory, Business Informatics, program 180 ECTS
  - Section/description hint: 2. Studienjahr 60 ECTS
- **Microéconomie I** — UE-ESE.00040, 6 ECTS, Mandatory, Business Informatics, program 180 ECTS
  - Section/description hint: 2. Studienjahr 60 ECTS
- **Mikroökonomie I** — UE-ESE.00041, 6 ECTS, Mandatory, Business Informatics, program 180 ECTS
  - Section/description hint: 2. Studienjahr 60 ECTS
- **Algorithmics** — UE-SIN.03023, 6 ECTS, Mandatory, Business Informatics, program 180 ECTS
  - Section/description hint: 2. Studienjahr 60 ECTS
- **Databases** — UE-SIN.03024, 6 ECTS, Mandatory, Business Informatics, program 180 ECTS
  - Section/description hint: 2. Studienjahr 60 ECTS
- **Génie logiciel** — UE-SIN.04023, 6 ECTS, Mandatory, Business Informatics, program 180 ECTS
  - Section/description hint: 2. Studienjahr 60 ECTS
- **Compétences documentaires en économie 1** — UE-EDK.00951, 0 ECTS, Mandatory, Business Informatics, program 180 ECTS
  - Section/description hint: Informationskompetenz in den Wirtschaftswissenschaften
- **Compétences documentaires en informatique de Gestion 2** — UE-EDK.00965, 0 ECTS, Mandatory, Business Informatics, program 180 ECTS
  - Section/description hint: Informationskompetenz in den Wirtschaftswissenschaften
- **Informationskompetenz Wirtschaftsinformatik** — UE-EDK.00969, 0 ECTS, Mandatory, Business Informatics, program 180 ECTS
  - Section/description hint: Informationskompetenz in den Wirtschaftswissenschaften
- **Info I: Sécurité informatique (f)** — UE-EIG.00049, 4.5 ECTS, Mandatory, Business Informatics, program 180 ECTS
  - Section/description hint: Pflichtkurse 32.5 ECTS
- **Info II: Decision Support I (f)** — UE-EIG.00081, 4.5 ECTS, Mandatory, Business Informatics, program 180 ECTS
  - Section/description hint: Pflichtkurse 32.5 ECTS
- **Info V: Decision support II (f)** — UE-EIG.00089, 4.5 ECTS, Mandatory, Business Informatics, program 180 ECTS
  - Section/description hint: Pflichtkurse 32.5 ECTS
- **Requirements Engineering for Information Systems** — UE-EIG.00229, 4.5 ECTS, Mandatory, Business Informatics, program 180 ECTS
  - Section/description hint: Pflichtkurse 32.5 ECTS
- **Information Systems Development Project** — UE-EIG.00230, 4.5 ECTS, Mandatory, Business Informatics, program 180 ECTS
  - Section/description hint: Pflichtkurse 32.5 ECTS
- **Systèmes concurrents et distribués** — UE-SIN.05022, 5 ECTS, Mandatory, Business Informatics, program 180 ECTS
  - Section/description hint: Pflichtkurse 32.5 ECTS
- **Machine learning** — UE-SIN.06022, 5 ECTS, Mandatory, Business Informatics, program 180 ECTS
  - Section/description hint: Pflichtkurse 32.5 ECTS</t>
        </is>
      </c>
      <c r="AR4" s="11" t="n"/>
    </row>
    <row r="5">
      <c r="A5" s="11" t="n">
        <v>4</v>
      </c>
      <c r="B5" s="11" t="inlineStr">
        <is>
          <t>program_requirements</t>
        </is>
      </c>
      <c r="C5" s="11" t="inlineStr">
        <is>
          <t>medium</t>
        </is>
      </c>
      <c r="D5" s="11" t="inlineStr">
        <is>
          <t>EN</t>
        </is>
      </c>
      <c r="E5" s="11" t="inlineStr">
        <is>
          <t>How long does the bachelor program usually take?</t>
        </is>
      </c>
      <c r="F5" s="11" t="inlineStr">
        <is>
          <t>Minimum/standard/max duration if available; otherwise answer based on retrieved regulations.</t>
        </is>
      </c>
      <c r="G5" s="11" t="inlineStr">
        <is>
          <t>Mixed</t>
        </is>
      </c>
      <c r="H5" s="11" t="inlineStr">
        <is>
          <t>API first, RAG fallback</t>
        </is>
      </c>
      <c r="I5" s="11" t="inlineStr">
        <is>
          <t>StudyProgram table or regulation document</t>
        </is>
      </c>
      <c r="J5" s="11" t="inlineStr">
        <is>
          <t>duration semesters</t>
        </is>
      </c>
      <c r="K5" s="11" t="inlineStr">
        <is>
          <t>Existing sample question, cleaned.</t>
        </is>
      </c>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inlineStr">
        <is>
          <t>2026-05-25T01:18:59</t>
        </is>
      </c>
      <c r="AI5" s="11" t="n">
        <v>200</v>
      </c>
      <c r="AJ5" s="11" t="b">
        <v>1</v>
      </c>
      <c r="AK5" s="11" t="n">
        <v>47.68</v>
      </c>
      <c r="AL5" s="11" t="n">
        <v>31.79</v>
      </c>
      <c r="AM5" s="11" t="n"/>
      <c r="AN5" s="11" t="n">
        <v>30.69</v>
      </c>
      <c r="AO5" s="11" t="inlineStr">
        <is>
          <t>get_programs</t>
        </is>
      </c>
      <c r="AP5" s="11" t="n">
        <v>0</v>
      </c>
      <c r="AQ5"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AR5" s="11" t="n"/>
    </row>
    <row r="6">
      <c r="A6" s="11" t="n">
        <v>5</v>
      </c>
      <c r="B6" s="11" t="inlineStr">
        <is>
          <t>program_courses</t>
        </is>
      </c>
      <c r="C6" s="11" t="inlineStr">
        <is>
          <t>hard</t>
        </is>
      </c>
      <c r="D6" s="11" t="inlineStr">
        <is>
          <t>EN</t>
        </is>
      </c>
      <c r="E6" s="11" t="inlineStr">
        <is>
          <t>What courses does the Bachelor in Economics with 180 ECTS include in the first study year?</t>
        </is>
      </c>
      <c r="F6" s="11" t="inlineStr">
        <is>
          <t>List of first-year courses if the study plan provides this structure.</t>
        </is>
      </c>
      <c r="G6" s="11" t="inlineStr">
        <is>
          <t>RAG</t>
        </is>
      </c>
      <c r="H6" s="11" t="inlineStr">
        <is>
          <t>RAG over study plan documents</t>
        </is>
      </c>
      <c r="I6" s="11" t="inlineStr">
        <is>
          <t>study plan PDF</t>
        </is>
      </c>
      <c r="J6" s="11" t="inlineStr">
        <is>
          <t>course titles/codes, first-year context</t>
        </is>
      </c>
      <c r="K6" s="11" t="inlineStr">
        <is>
          <t>Existing sample question, cleaned.</t>
        </is>
      </c>
      <c r="L6" s="11" t="n"/>
      <c r="M6" s="11" t="n"/>
      <c r="N6" s="11" t="n"/>
      <c r="O6" s="11" t="n"/>
      <c r="P6" s="11" t="n"/>
      <c r="Q6" s="11" t="n"/>
      <c r="R6" s="11" t="n"/>
      <c r="S6" s="11" t="n"/>
      <c r="T6" s="11" t="n"/>
      <c r="U6" s="11" t="n"/>
      <c r="V6" s="11" t="n"/>
      <c r="W6" s="11" t="n"/>
      <c r="X6" s="11" t="n"/>
      <c r="Y6" s="11" t="n"/>
      <c r="Z6" s="11" t="n"/>
      <c r="AA6" s="11" t="n"/>
      <c r="AB6" s="11" t="n"/>
      <c r="AC6" s="11" t="n"/>
      <c r="AD6" s="11" t="n"/>
      <c r="AE6" s="11" t="n"/>
      <c r="AF6" s="11" t="n"/>
      <c r="AG6" s="11" t="n"/>
      <c r="AH6" s="11" t="inlineStr">
        <is>
          <t>2026-05-25T01:18:59</t>
        </is>
      </c>
      <c r="AI6" s="11" t="n">
        <v>200</v>
      </c>
      <c r="AJ6" s="11" t="b">
        <v>1</v>
      </c>
      <c r="AK6" s="11" t="n">
        <v>52.69</v>
      </c>
      <c r="AL6" s="11" t="n">
        <v>39.81</v>
      </c>
      <c r="AM6" s="11" t="n"/>
      <c r="AN6" s="11" t="n">
        <v>38.59</v>
      </c>
      <c r="AO6" s="11" t="inlineStr">
        <is>
          <t>get_program_courses_by_metadata</t>
        </is>
      </c>
      <c r="AP6" s="11" t="n">
        <v>1</v>
      </c>
      <c r="AQ6" s="11" t="inlineStr">
        <is>
          <t>Found 80 result(s):
- **Microéconomie II** — UE-EEP.00160, 6 ECTS, Mandatory, Economics, program 180 ECTS
  - Section/description hint: 1. Jahr 60 ECTS
- **Mikroökonomie II** — UE-EEP.00161, 6 ECTS, Mandatory, Economics, program 180 ECTS
  - Section/description hint: 1. Jahr 60 ECTS
- **Introduction à la gestion d'entreprise** — UE-EGE.00135, 6 ECTS, Mandatory, Economics, program 180 ECTS
  - Section/description hint: 1. Jahr 60 ECTS
- **Einführung in die Betriebswirtschaftslehre** — UE-EGE.00136, 6 ECTS, Mandatory, Economics, program 180 ECTS
  - Section/description hint: 1. Jahr 60 ECTS
- **Introduction à la comptabilité** — UE-EGE.00137, 6 ECTS, Mandatory, Economics, program 180 ECTS
  - Section/description hint: 1. Jahr 60 ECTS
- **Unternehmensrechnung** — UE-EGE.00138, 6 ECTS, Mandatory, Economics, program 180 ECTS
  - Section/description hint: 1. Jahr 60 ECTS
- **Organisation (f)** — UE-EGE.00253, 6 ECTS, Mandatory, Economics, program 180 ECTS
  - Section/description hint: 1. Jahr 60 ECTS
- **Organisation (d)** — UE-EGE.00258, 6 ECTS, Mandatory, Economics, program 180 ECTS
  - Section/description hint: 1. Jahr 60 ECTS
- **Informatique de gestion I** — UE-EIG.00036, 6 ECTS, Mandatory, Economics, program 180 ECTS
  - Section/description hint: 1. Jahr 60 ECTS
- **Wirtschaftsinformatik I** — UE-EIG.00037, 6 ECTS, Mandatory, Economics, program 180 ECTS
  - Section/description hint: 1. Jahr 60 ECTS
- **Informatique de gestion II** — UE-EIG.00038, 6 ECTS, Mandatory, Economics, program 180 ECTS
  - Section/description hint: 1. Jahr 60 ECTS
- **Wirtschaftsinformatik II** — UE-EIG.00039, 6 ECTS, Mandatory, Economics, program 180 ECTS
  - Section/description hint: 1. Jahr 60 ECTS
- **Introduction à la statistique I** — UE-EIG.00122, 4.5 ECTS, Mandatory, Economics, program 180 ECTS
  - Section/description hint: 1. Jahr 60 ECTS
- **Einführung in die Statistik I** — UE-EIG.00123, 4.5 ECTS, Mandatory, Economics, program 180 ECTS
  - Section/description hint: 1. Jahr 60 ECTS
- **Introduction à la statistique II** — UE-ESE.00027, 4.5 ECTS, Mandatory, Economics, program 180 ECTS
  - Section/description hint: 1. Jahr 60 ECTS
- **Einführung in die Statistik II** — UE-ESE.00028, 4.5 ECTS, Mandatory, Economics, program 180 ECTS
  - Section/description hint: 1. Jahr 60 ECTS
- **Microéconomie I** — UE-ESE.00040, 6 ECTS, Mandatory, Economics, program 180 ECTS
  - Section/description hint: 1. Jahr 60 ECTS
- **Mikroökonomie I** — UE-ESE.00041, 6 ECTS, Mandatory, Economics, program 180 ECTS
  - Section/description hint: 1. Jahr 60 ECTS
- **Mathématiques I** — UE-ESE.00047, 4.5 ECTS, Mandatory, Economics, program 180 ECTS
  - Section/description hint: 1. Jahr 60 ECTS
- **Mathematik I** — UE-ESE.00048, 4.5 ECTS, Mandatory, Economics, program 180 ECTS
  - Section/description hint: 1. Jahr 60 ECTS
- **Mathématiques II** — UE-ESE.00051, 4.5 ECTS, Mandatory, Economics, program 180 ECTS
  - Section/description hint: 1. Jahr 60 ECTS
- **Mathematik II** — UE-ESE.00052, 4.5 ECTS, Mandatory, Economics, program 180 ECTS
  - Section/description hint: 1. Jahr 60 ECTS
- **Compétences documentaires en économie 1** — UE-EDK.00951, 0 ECTS, Mandatory, Economics, program 180 ECTS
  - Section/description hint: Informationskompetenz in den Wirtschaftswissenschaften
- **Compétences documentaires en économie 2** — UE-EDK.00963, 0 ECTS, Mandatory, Economics, program 180 ECTS
  - Section/description hint: Informationskompetenz in den Wirtschaftswissenschaften
- **Compétences documentaires en économie 2** — UE-EDK.00964, 0 ECTS, Mandatory, Economics, program 180 ECTS
  - Section/description hint: Informationskompetenz in den Wirtschaftswissenschaften
- **Compétences documentaires en informatique de Gestion 2** — UE-EDK.00965, 0 ECTS, Mandatory, Economics, program 180 ECTS
  - Section/description hint: Informationskompetenz in den Wirtschaftswissenschaften
- **Informationskompetenz in den Wirtschaftswissenschaften 2** — UE-EDK.00968, 0 ECTS, Mandatory, Economics, program 180 ECTS
  - Section/description hint: Informationskompetenz in den Wirtschaftswissenschaften
- **Macroéconomie I** — UE-EEP.00220, 6 ECTS, Mandatory, Economics, program 180 ECTS
  - Section/description hint: Pflichtkurse 54 ECTS
- **Makroökonomie I** — UE-EEP.00221, 6 ECTS, Mandatory, Economics, program 180 ECTS
  - Section/description hint: Pflichtkurse 54 ECTS
- **Macroéconomie II** — UE-EEP.00229, 6 ECTS, Mandatory, Economics, program 180 ECTS
  - Section/description hint: Pflichtkurse 54 ECTS
- **Makroökonomie II** — UE-EEP.00230, 6 ECTS, Mandatory, Economics, program 180 ECTS
  - Section/description hint: Pflichtkurse 54 ECTS
- **ECO02F: Économie publique** — UE-EEP.00336, 6 ECTS, Mandatory, Economics, program 180 ECTS
  - Section/description hint: Pflichtkurse 54 ECTS
- **ECO02D: Wirtschafts- und Finanzpolitik** — UE-EEP.00337, 6 ECTS, Mandatory, Economics, program 180 ECTS
  - Section/description hint: Pflichtkurse 54 ECTS
- **ECO01F: Histoire des faits économiques** — UE-EEP.00355, 6 ECTS, Mandatory, Economics, program 180 ECTS
  - Section/description hint: Pflichtkurse 54 ECTS
- **ECO01D: Wirtschaftsgeschichte** — UE-EEP.00356, 6 ECTS, Mandatory, Economics, program 180 ECTS
  - Section/description hint: Pflichtkurse 54 ECTS
- **Droit I** — UE-EGE.00139, 4.5 ECTS, Mandatory, Economics, program 180 ECTS
  - Section/description hint: Pflichtkurse 54 ECTS
- **Recht I** — UE-EGE.00140, 4.5 ECTS, Mandatory, Economics, program 180 ECTS
  - Section/description hint: Pflichtkurse 54 ECTS
- **Droit II** — UE-EGE.00149, 4.5 ECTS, Mandatory, Economics, program 180 ECTS
  - Section/description hint: Pflichtkurse 54 ECTS
- **Recht II** — UE-EGE.00150, 4.5 ECTS, Mandatory, Economics, program 180 ECTS
  - Section/description hint: Pflichtkurse 54 ECTS
- **MAN01F: Investissement et financement** — UE-EGE.00273, 6 ECTS, Mandatory, Economics, program 180 ECTS
  - Section/description hint: Pflichtkurse 54 ECTS
- **MAN01D: Investitions- und Finanzierungstheorie** — UE-EGE.00274, 6 ECTS, Mandatory, Economics, program 180 ECTS
  - Section/description hint: Pflichtkurse 54 ECTS
- **MAN02F: Marketing** — UE-EGE.00275, 4.5 ECTS, Mandatory, Economics, program 180 ECTS
  - Section/description hint: Pflichtkurse 54 ECTS
- **MAN02D: Marketing** — UE-EGE.00276, 4.5 ECTS, Mandatory, Economics, program 180 ECTS
  - Section/description hint: Pflichtkurse 54 ECTS
- **MAN03F: Recherche Marketing** — UE-EGE.00277, 6 ECTS, Mandatory, Economics, program 180 ECTS
  - Section/description hint: Pflichtkurse 54 ECTS
- **MAN03D: Marketingforschung** — UE-EGE.00278, 6 ECTS, Mandatory, Economics, program 180 ECTS
  - Section/description hint: Pflichtkurse 54 ECTS
- **Statistique: approfondissement** — UE-ESE.00029, 4.5 ECTS, Mandatory, Economics, program 180 ECTS
  - Section/description hint: Pflichtkurse 54 ECTS
- **Vertiefungskurs Statistik** — UE-ESE.00030, 4.5 ECTS, Mandatory, Economics, program 180 ECTS
  - Section/description hint: Pflichtkurse 54 ECTS
- **MAN06E: Introductory Course in Entrepreneurship** — UE-EGE.00263, 4.5 ECTS, Elective, Economics, program 180 ECTS
  - Section/description hint: Seminararbeit oder Wahlkurse min. 6 ECTS
- **MAN04F: Comptabilité financière** — UE-EGE.00279, 4.5 ECTS, Elective, Economics, program 180 ECTS
  - Section/description hint: Seminararbeit oder Wahlkurse min. 6 ECTS
- **MAN04D: Bilanzierung** — UE-EGE.00280, 4.5 ECTS, Elective, Economics, program 180 ECTS
  - Section/description hint: Seminararbeit oder Wahlkurse min. 6 ECTS
- **MAN05F: Gestion des ressources humaines** — UE-EGE.00281, 4.5 ECTS, Elective, Economics, program 180 ECTS
  - Section/description hint: Seminararbeit oder Wahlkurse min. 6 ECTS
- **MAN05D: Human Resource Management** — UE-EGE.00282, 4.5 ECTS, Elective, Economics, program 180 ECTS
  - Section/description hint: Seminararbeit oder Wahlkurse min. 6 ECTS
- **MAN08F: Management stratégique** — UE-EGE.00283, 4.5 ECTS, Elective, Economics, program 180 ECTS
  - Section/description hint: Seminararbeit oder Wahlkurse min. 6 ECTS
- **MAN09F: Comptabilité de gestion** — UE-EGE.00285, 4.5 ECTS, Elective, Economics, program 180 ECTS
  - Section/description hint: Seminararbeit oder Wahlkurse min. 6 ECTS
- **MAN09D: Controlling (d)** — UE-EGE.00286, 4.5 ECTS, Elective, Economics, program 180 ECTS
  - Section/description hint: Seminararbeit oder Wahlkurse min. 6 ECTS
- **MAN08E: Strategic Management** — UE-EGE.00485, 4.5 ECTS, Elective, Economics, program 180 ECTS
  - Section/description hint: Seminararbeit oder Wahlkurse min. 6 ECTS
- **Operations Management (d)** — UE-EIG.00015, 6 ECTS, Elective, Economics, program 180 ECTS
  - Section/description hint: Seminararbeit oder Wahlkurse min. 6 ECTS
- **Info I: Sécurité informatique (f)** — UE-EIG.00049, 4.5 ECTS, Elective, Economics, program 180 ECTS
  - Section/description hint: Seminararbeit oder Wahlkurse min. 6 ECTS
- **Info II: Decision Support I (f)** — UE-EIG.00081, 4.5 ECTS, Elective, Economics, program 180 ECTS
  - Section/description hint: Seminararbeit oder Wahlkurse min. 6 ECTS
- **Info V: Decision support II (f)** — UE-EIG.00089, 4.5 ECTS, Elective, Economics, program 180 ECTS
  - Section/description hint: Seminararbeit oder Wahlkurse min. 6 ECTS
- **Information Systems Modeling** — UE-EIG.00132, 6 ECTS, Elective, Economics, program 180 ECTS
  - Section/description hint: Seminararbeit oder Wahlkurse min. 6 ECTS
- **Requirements Engineering for Information Systems** — UE-EIG.00229, 4.5 ECTS, Elective, Economics, program 180 ECTS
  - Section/description hint: Seminararbeit oder Wahlkurse min. 6 ECTS
- **Information Systems Development Project** — UE-EIG.00230, 4.5 ECTS, Elective, Economics, program 180 ECTS
  - Section/description hint: Seminararbeit oder Wahlkurse min. 6 ECTS
- **Introduction à la programmation / Einführung in die Programmierung** — UE-SIN.01023, 6 ECTS, Elective, Economics, program 180 ECTS
  - Section/description hint: Seminararbeit oder Wahlkurse min. 6 ECTS
- **Databases** — UE-SIN.03024, 6 ECTS, Elective, Economics, program 180 ECTS
  - Section/description hint: Seminararbeit oder Wahlkurse min. 6 ECTS
- **Machine learning** — UE-SIN.06022, 5 ECTS, Elective, Economics, program 180 ECTS
  - Section/description hint: Seminararbeit oder Wahlkurse min. 6 ECTS
- **ECO03F: Commerce international** — UE-EEP.00338, 4.5 ECTS, Mandatory, Economics, program 180 ECTS
  - Section/description hint: Wahlpflichtkurse in Volkswirtschaft - Minimum 27 ECTS
- **ECO03D: Internationaler Handel** — UE-EEP.00339, 4.5 ECTS, Mandatory, Economics, program 180 ECTS
  - Section/description hint: Wahlpflichtkurse in Volkswirtschaft - Minimum 27 ECTS
- **ECO05F: Économie publique – Approfondissements** — UE-EEP.00340, 4.5 ECTS, Mandatory, Economics, program 180 ECTS
  - Section/description hint: Wahlpflichtkurse in Volkswirtschaft - Minimum 27 ECTS
- **ECO06D: Wirtschaftspolitik: Schwerpunktthemen** — UE-EEP.00341, 4.5 ECTS, Mandatory, Economics, program 180 ECTS
  - Section/description hint: Wahlpflichtkurse in Volkswirtschaft - Minimum 27 ECTS
- **ECO10F: Relations Financières Internationales** — UE-EEP.00343, 4.5 ECTS, Mandatory, Economics, program 180 ECTS
  - Section/description hint: Wahlpflichtkurse in Volkswirtschaft - Minimum 27 ECTS
- **ECO07F: Économie du développement** — UE-EEP.00357, 4.5 ECTS, Mandatory, Economics, program 180 ECTS
  - Section/description hint: Wahlpflichtkurse in Volkswirtschaft - Minimum 27 ECTS
- **ECO08E: Applied Econometrics** — UE-EEP.00358, 4.5 ECTS, Mandatory, Economics, program 180 ECTS
  - Section/description hint: Wahlpflichtkurse in Volkswirtschaft - Minimum 27 ECTS
- **ECO09F: Économie du travail** — UE-EEP.00359, 4.5 ECTS, Mandatory, Economics, program 180 ECTS
  - Section/description hint: Wahlpflichtkurse in Volkswirtschaft - Minimum 27 ECTS
- **ECO09D: Arbeitsökonomie** — UE-EEP.00360, 4.5 ECTS, Mandatory, Economics, program 180 ECTS
  - Section/description hint: Wahlpflichtkurse in Volkswirtschaft - Minimum 27 ECTS
- **ECO11D: Ökonomische Analyse des Rechts** — UE-EEP.00361, 4.5 ECTS, Mandatory, Economics, program 180 ECTS
  - Section/description hint: Wahlpflichtkurse in Volkswirtschaft - Minimum 27 ECTS
- **ECO12D: Wirtschaftspolitik: Theorie und Anwendungen** — UE-EEP.00526, 4.5 ECTS, Mandatory, Economics, program 180 ECTS
  - Section/description hint: Wahlpflichtkurse in Volkswirtschaft - Minimum 27 ECTS
- **ECO13F : Introduction à l’économie des migrations** — UE-EEP.00531, 4.5 ECTS, Mandatory, Economics, program 180 ECTS
  - Section/description hint: Wahlpflichtkurse in Volkswirtschaft - Minimum 27 ECTS
- **MAN10F: Finance d'Entreprise** — UE-EGE.00287, 4.5 ECTS, Mandatory, Economics, program 180 ECTS
  - Section/description hint: Wahlpflichtkurse in Volkswirtschaft - Minimum 27 ECTS
- **MAN10D: Unternehmensfinanzierung** — UE-EGE.00288, 4.5 ECTS, Mandatory, Economics, program 180 ECTS
  - Section/description hint: Wahlpflichtkurse in Volkswirtschaft - Minimum 27 ECTS</t>
        </is>
      </c>
      <c r="AR6" s="11" t="n"/>
    </row>
    <row r="7">
      <c r="A7" s="11" t="n">
        <v>6</v>
      </c>
      <c r="B7" s="11" t="inlineStr">
        <is>
          <t>planning</t>
        </is>
      </c>
      <c r="C7" s="11" t="inlineStr">
        <is>
          <t>hard</t>
        </is>
      </c>
      <c r="D7" s="11" t="inlineStr">
        <is>
          <t>EN</t>
        </is>
      </c>
      <c r="E7" s="11" t="inlineStr">
        <is>
          <t>Can you plan my next semester?</t>
        </is>
      </c>
      <c r="F7" s="11" t="inlineStr">
        <is>
          <t>Should ask for missing constraints or provide a cautious partial plan based on selected program/semester.</t>
        </is>
      </c>
      <c r="G7" s="11" t="inlineStr">
        <is>
          <t>Mixed</t>
        </is>
      </c>
      <c r="H7" s="11" t="inlineStr">
        <is>
          <t>API + possibly clarification</t>
        </is>
      </c>
      <c r="I7" s="11" t="inlineStr">
        <is>
          <t>DB + user context</t>
        </is>
      </c>
      <c r="J7" s="11" t="inlineStr">
        <is>
          <t>missing info handling</t>
        </is>
      </c>
      <c r="K7" s="11" t="inlineStr">
        <is>
          <t>Existing sample question; evaluate refusal/clarification behavior.</t>
        </is>
      </c>
      <c r="L7" s="11" t="n"/>
      <c r="M7" s="11" t="n"/>
      <c r="N7" s="11" t="n"/>
      <c r="O7" s="11" t="n"/>
      <c r="P7" s="11" t="n"/>
      <c r="Q7" s="11" t="n"/>
      <c r="R7" s="11" t="n"/>
      <c r="S7" s="11" t="n"/>
      <c r="T7" s="11" t="n"/>
      <c r="U7" s="11" t="n"/>
      <c r="V7" s="11" t="n"/>
      <c r="W7" s="11" t="n"/>
      <c r="X7" s="11" t="n"/>
      <c r="Y7" s="11" t="n"/>
      <c r="Z7" s="11" t="n"/>
      <c r="AA7" s="11" t="n"/>
      <c r="AB7" s="11" t="n"/>
      <c r="AC7" s="11" t="n"/>
      <c r="AD7" s="11" t="n"/>
      <c r="AE7" s="11" t="n"/>
      <c r="AF7" s="11" t="n"/>
      <c r="AG7" s="11" t="n"/>
      <c r="AH7" s="11" t="inlineStr">
        <is>
          <t>2026-05-25T01:18:59</t>
        </is>
      </c>
      <c r="AI7" s="11" t="n">
        <v>200</v>
      </c>
      <c r="AJ7" s="11" t="b">
        <v>1</v>
      </c>
      <c r="AK7" s="11" t="n">
        <v>1920520.06</v>
      </c>
      <c r="AL7" s="11" t="n">
        <v>1920632.65</v>
      </c>
      <c r="AM7" s="11" t="n"/>
      <c r="AN7" s="11" t="n">
        <v>1920630.6</v>
      </c>
      <c r="AO7" s="11" t="inlineStr">
        <is>
          <t>get_planner_context</t>
        </is>
      </c>
      <c r="AP7" s="11" t="n">
        <v>8</v>
      </c>
      <c r="AQ7" s="11" t="inlineStr">
        <is>
          <t>Based on the provided context, I will plan your next semester for the Mathematics Master's program at the University of Fribourg. 
According to the document [c089e121985fd892d85a16dde50c56d73264a260.txt p.1], in the 2nd semester, you need to choose some teaching units that are not part of the university's normal course programme. You can choose courses from the 3 e Cycle Romand de Statistique et Probabilités appliquées , the Swiss Doctoral Program in Mathematics, or lecture courses offered at the Universities of Bern and Neuchâtel as part of the BeNeFri convention or the collaboration with the University of Bern.
However, I will provide a general plan based on the available information. 
You have already taken 27 ECTS points in the 1st semester (document [c089e121985fd892d85a16dde50c56d73264a260.txt p.1]). In the 2nd semester, you need to take at least one course from each of the following fields: Analysis, Algebra-Geometry-Topology and Applied Mathematics (Numerical Analysis, Stochastics, Bio-mathematics).
Here is a suggested plan for your next semester:
* SMA.04814: Essay (3 ECTS points)
* SMA.04813: Preparation for master's thesis (6 ECTS points)
You can choose other courses from the recommended list or take elective courses.
Please note that this is just a suggestion, and you should discuss your program with your study advisor to ensure it meets your needs and goals.
Sources:
[c089e121985fd892d85a16dde50c56d73264a260.txt p.1]
[e9b664e60e3ee4815113d57c42a9e5e786c40f24.txt p.1]</t>
        </is>
      </c>
      <c r="AR7" s="11" t="n"/>
    </row>
    <row r="8">
      <c r="A8" s="11" t="n">
        <v>7</v>
      </c>
      <c r="B8" s="11" t="inlineStr">
        <is>
          <t>course_facts</t>
        </is>
      </c>
      <c r="C8" s="11" t="inlineStr">
        <is>
          <t>easy</t>
        </is>
      </c>
      <c r="D8" s="11" t="inlineStr">
        <is>
          <t>EN</t>
        </is>
      </c>
      <c r="E8" s="11" t="inlineStr">
        <is>
          <t>How many ECTS does UE-F23.00128 have?</t>
        </is>
      </c>
      <c r="F8" s="11" t="inlineStr">
        <is>
          <t>Exact value from Course/CourseOffering records.</t>
        </is>
      </c>
      <c r="G8" s="11" t="inlineStr">
        <is>
          <t>DB</t>
        </is>
      </c>
      <c r="H8" s="11" t="inlineStr">
        <is>
          <t>API /courses/:code</t>
        </is>
      </c>
      <c r="I8" s="11" t="inlineStr">
        <is>
          <t>Course, CourseOffering, teaches, is_taught_in</t>
        </is>
      </c>
      <c r="J8" s="11" t="inlineStr">
        <is>
          <t>ECTS</t>
        </is>
      </c>
      <c r="K8" s="11" t="inlineStr">
        <is>
          <t>Replace {COURSE_CODE} with a real course code from your DB.</t>
        </is>
      </c>
      <c r="L8" s="11" t="n"/>
      <c r="M8" s="11"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inlineStr">
        <is>
          <t>2026-05-25T01:18:59</t>
        </is>
      </c>
      <c r="AI8" s="11" t="n">
        <v>200</v>
      </c>
      <c r="AJ8" s="11" t="b">
        <v>1</v>
      </c>
      <c r="AK8" s="11" t="n">
        <v>206.71</v>
      </c>
      <c r="AL8" s="11" t="n">
        <v>179.18</v>
      </c>
      <c r="AM8" s="11" t="n"/>
      <c r="AN8" s="11" t="n">
        <v>170.79</v>
      </c>
      <c r="AO8" s="11" t="inlineStr">
        <is>
          <t>get_course_by_code</t>
        </is>
      </c>
      <c r="AP8" s="11" t="n">
        <v>0</v>
      </c>
      <c r="AQ8" s="11" t="inlineStr">
        <is>
          <t>**Aktuelle Themen der Kindheitsforschung**
- Code: UE-F23.00128
- ECTS: 3
- Faculty: Faculty of Education
- Domain: Educational Sciences
- Mobility: True
- Soft skills: True
- Description: Körper im Wandel Der Thematik ‚Körper‘ bzw. dem Verhältnis von Körper, Sozialität und Gesellschaft, von Körper und Geschichte sowie von Körper und Macht widmeten sich aus ethnologischen (Mauss 1935), soziologischen (Elias 1939; Bourdieu 1979), historischen (Vigarello 1978) und philosophischen (Foucault 1976, 1984) Perspektiven bereits früh einzelne Studien und haben neben der feministischen und postfeministischen Kritik an der Essentialisierung und Naturalisierung des weiblichen Körpers (Butler 1991) mit dazu beigetragen, den Körper disziplinübergreifend in seiner Historizität und Sozialität zu begreifen (Sarasin 2001:11–17). Aus einer pädagogischen Perspektive ließe sich die Geschichte der Erziehung als eine Geschichte der Körperdisziplinierung betrachten (vgl. Zirfas 2004). Wie auf den Körper unintendiert oder intendiert ‚eingewirkt‘, welche Umgangsweisen mit ihm in zahlreichen philosophischen, medizinischen oder pädagogischen Schriften propagiert wurden, unterscheidet sich im historischen Kontext je nach Begriff des Körpers, nach Ideologie sowie nach parallel verlaufenden Diskursen. Aus diesen Gründen lässt sich eine Auseinandersetzung mit der Thematik ‚Körper‘ in pädagogischen Kontexten nur aus einer interdisziplinären Perspektive einholen. Im Rahmen des Seminars wird vor diesem Hintergrund theoretisch und empirisch erarbeitet und diskutiert, welcher Stellenwert dem ‚Körper‘ im Rahmen erziehungswissenschaftlicher, soziologischer Schriften sowie in der Kindheitsforschung zukommt, auf welche Weise ‚Körper‘ in diesen hervorgebracht, gedeutet und beforscht wird. Wir setzen uns mit schwangeren, mit marginalisierten, mit affektiven Körpern genauso auseinander wie mit Körpern im Rausch oder mit ‚future bodies‘. Beleuchtet werden zudem Kinderkörper in unterschiedlichen institutionellen Settings – in der Familie, im Kindergarten oder in der Schule – etwa unter den Fragestellungen, wie Kinder schlafen lernen oder wie ihr Sitzverhalten und Essenspraktiken normiert werden.</t>
        </is>
      </c>
      <c r="AR8" s="11" t="n"/>
    </row>
    <row r="9">
      <c r="A9" s="11" t="n">
        <v>8</v>
      </c>
      <c r="B9" s="11" t="inlineStr">
        <is>
          <t>course_facts</t>
        </is>
      </c>
      <c r="C9" s="11" t="inlineStr">
        <is>
          <t>easy</t>
        </is>
      </c>
      <c r="D9" s="11" t="inlineStr">
        <is>
          <t>EN</t>
        </is>
      </c>
      <c r="E9" s="11" t="inlineStr">
        <is>
          <t>What is the title of course UE-SMH.03303?</t>
        </is>
      </c>
      <c r="F9" s="11" t="inlineStr">
        <is>
          <t>Exact value from Course/CourseOffering records.</t>
        </is>
      </c>
      <c r="G9" s="11" t="inlineStr">
        <is>
          <t>DB</t>
        </is>
      </c>
      <c r="H9" s="11" t="inlineStr">
        <is>
          <t>API /courses/:code</t>
        </is>
      </c>
      <c r="I9" s="11" t="inlineStr">
        <is>
          <t>Course, CourseOffering, teaches, is_taught_in</t>
        </is>
      </c>
      <c r="J9" s="11" t="inlineStr">
        <is>
          <t>course title</t>
        </is>
      </c>
      <c r="K9" s="11" t="inlineStr">
        <is>
          <t>Replace {COURSE_CODE} with a real course code from your DB.</t>
        </is>
      </c>
      <c r="L9" s="11" t="n"/>
      <c r="M9" s="11" t="n"/>
      <c r="N9" s="11" t="n"/>
      <c r="O9" s="11" t="n"/>
      <c r="P9" s="11" t="n"/>
      <c r="Q9" s="11" t="n"/>
      <c r="R9" s="11" t="n"/>
      <c r="S9" s="11" t="n"/>
      <c r="T9" s="11" t="n"/>
      <c r="U9" s="11" t="n"/>
      <c r="V9" s="11" t="n"/>
      <c r="W9" s="11" t="n"/>
      <c r="X9" s="11" t="n"/>
      <c r="Y9" s="11" t="n"/>
      <c r="Z9" s="11" t="n"/>
      <c r="AA9" s="11" t="n"/>
      <c r="AB9" s="11" t="n"/>
      <c r="AC9" s="11" t="n"/>
      <c r="AD9" s="11" t="n"/>
      <c r="AE9" s="11" t="n"/>
      <c r="AF9" s="11" t="n"/>
      <c r="AG9" s="11" t="n"/>
      <c r="AH9" s="11" t="inlineStr">
        <is>
          <t>2026-05-25T01:18:59</t>
        </is>
      </c>
      <c r="AI9" s="11" t="n">
        <v>200</v>
      </c>
      <c r="AJ9" s="11" t="b">
        <v>1</v>
      </c>
      <c r="AK9" s="11" t="n">
        <v>857180.6899999999</v>
      </c>
      <c r="AL9" s="11" t="n">
        <v>857225.79</v>
      </c>
      <c r="AM9" s="11" t="n"/>
      <c r="AN9" s="11" t="n">
        <v>857225</v>
      </c>
      <c r="AO9" s="11" t="inlineStr">
        <is>
          <t>get_course_by_code</t>
        </is>
      </c>
      <c r="AP9" s="11" t="n">
        <v>0</v>
      </c>
      <c r="AQ9" s="11" t="inlineStr">
        <is>
          <t>**Anatomie (travaux pratiques) / Anatomie (Praktikum)**
- Code: UE-SMH.03303
- ECTS: 5
- Faculty: Faculty of Science and Medicine
- Domain: Humane Medicine
- Mobility: False
- Soft skills: False</t>
        </is>
      </c>
      <c r="AR9" s="11" t="n"/>
    </row>
    <row r="10">
      <c r="A10" s="11" t="n">
        <v>9</v>
      </c>
      <c r="B10" s="11" t="inlineStr">
        <is>
          <t>course_facts</t>
        </is>
      </c>
      <c r="C10" s="11" t="inlineStr">
        <is>
          <t>easy</t>
        </is>
      </c>
      <c r="D10" s="11" t="inlineStr">
        <is>
          <t>EN</t>
        </is>
      </c>
      <c r="E10" s="11" t="inlineStr">
        <is>
          <t>What is the description of course UE-L15.02297?</t>
        </is>
      </c>
      <c r="F10" s="11" t="inlineStr">
        <is>
          <t>Exact value from Course/CourseOffering records.</t>
        </is>
      </c>
      <c r="G10" s="11" t="inlineStr">
        <is>
          <t>DB</t>
        </is>
      </c>
      <c r="H10" s="11" t="inlineStr">
        <is>
          <t>API /courses/:code</t>
        </is>
      </c>
      <c r="I10" s="11" t="inlineStr">
        <is>
          <t>Course, CourseOffering, teaches, is_taught_in</t>
        </is>
      </c>
      <c r="J10" s="11" t="inlineStr">
        <is>
          <t>description</t>
        </is>
      </c>
      <c r="K10" s="11" t="inlineStr">
        <is>
          <t>Replace {COURSE_CODE} with a real course code from your DB.</t>
        </is>
      </c>
      <c r="L10" s="11" t="n"/>
      <c r="M10" s="11" t="n"/>
      <c r="N10" s="11" t="n"/>
      <c r="O10" s="11" t="n"/>
      <c r="P10" s="11" t="n"/>
      <c r="Q10" s="11" t="n"/>
      <c r="R10" s="11" t="n"/>
      <c r="S10" s="11" t="n"/>
      <c r="T10" s="11" t="n"/>
      <c r="U10" s="11" t="n"/>
      <c r="V10" s="11" t="n"/>
      <c r="W10" s="11" t="n"/>
      <c r="X10" s="11" t="n"/>
      <c r="Y10" s="11" t="n"/>
      <c r="Z10" s="11" t="n"/>
      <c r="AA10" s="11" t="n"/>
      <c r="AB10" s="11" t="n"/>
      <c r="AC10" s="11" t="n"/>
      <c r="AD10" s="11" t="n"/>
      <c r="AE10" s="11" t="n"/>
      <c r="AF10" s="11" t="n"/>
      <c r="AG10" s="11" t="n"/>
      <c r="AH10" s="11" t="inlineStr">
        <is>
          <t>2026-05-25T01:18:59</t>
        </is>
      </c>
      <c r="AI10" s="11" t="n">
        <v>200</v>
      </c>
      <c r="AJ10" s="11" t="b">
        <v>1</v>
      </c>
      <c r="AK10" s="11" t="n">
        <v>18.33</v>
      </c>
      <c r="AL10" s="11" t="n">
        <v>9.289999999999999</v>
      </c>
      <c r="AM10" s="11" t="n"/>
      <c r="AN10" s="11" t="n">
        <v>8.17</v>
      </c>
      <c r="AO10" s="11" t="inlineStr">
        <is>
          <t>get_course_by_code</t>
        </is>
      </c>
      <c r="AP10" s="11" t="n">
        <v>0</v>
      </c>
      <c r="AQ10" s="11" t="inlineStr">
        <is>
          <t>**BA-Seminar: Politik der Unterschiede. Ethnisierungsprozesse in Europa nach 1945**
- Code: UE-L15.02297
- ECTS: 3
- Faculty: Faculty of Humanities
- Domain: Contemporary History
- Mobility: True
- Soft skills: False
- Description: Seit den 1960er Jahren sind in westlichen Demokratien Ethnisierungsprozesse zu beobachten. Dabei wird Ethnizität zum wichtigsten Marker kollektiver Identität erhoben. Durch die Ethnisierung von Politik und Gesellschaft werden politische, ökonomische oder soziale Konflikte mit ethnischen und kulturellen Kategorien erklärt und folglich essentialisiert. Damit werden Faktoren wie sprachliche oder kulturelle Zugehörigkeit zu Determinanten, über die gesellschaftliche und politische Inklusion oder Exklusion vorgenommen wird. Beispiele für solche Ethnisierungsprozesse sind separatistische Bewegungen, wie sie sich nach dem Zweiten Weltkrieg u.a. in Québec, Katalonien oder im Jura herausgebildet haben. Aber auch migrations- und identitätspolitische Debatten wie beispielsweise die Frage nach der Existenz einer spezifischen „identité romande“ sind unter diesem Aspekt zu betrachten. Im Seminar untersuchen und vergleichen wir verschiedene Ethnisierungsprozesse in westlichen Demokratien. Dabei fragen wir nach den Entstehungsbedingungen, dem Verlauf und den Auswirkungen solcher Entwicklungen. Einführende Literatur: Kraus Peter A., Umkämpfte Souveränität: Regionen und Minderheitenpolitik in Europa, in Zeitschrift für Politik 70 (2023), Nr. 2, S. 157-176.</t>
        </is>
      </c>
      <c r="AR10" s="11" t="n"/>
    </row>
    <row r="11">
      <c r="A11" s="11" t="n">
        <v>10</v>
      </c>
      <c r="B11" s="11" t="inlineStr">
        <is>
          <t>course_facts</t>
        </is>
      </c>
      <c r="C11" s="11" t="inlineStr">
        <is>
          <t>easy</t>
        </is>
      </c>
      <c r="D11" s="11" t="inlineStr">
        <is>
          <t>EN</t>
        </is>
      </c>
      <c r="E11" s="11" t="inlineStr">
        <is>
          <t>What are the learning goals of UE-SCH.01084?</t>
        </is>
      </c>
      <c r="F11" s="11" t="inlineStr">
        <is>
          <t>Exact value from Course/CourseOffering records.</t>
        </is>
      </c>
      <c r="G11" s="11" t="inlineStr">
        <is>
          <t>DB</t>
        </is>
      </c>
      <c r="H11" s="11" t="inlineStr">
        <is>
          <t>API /courses/:code</t>
        </is>
      </c>
      <c r="I11" s="11" t="inlineStr">
        <is>
          <t>Course, CourseOffering, teaches, is_taught_in</t>
        </is>
      </c>
      <c r="J11" s="11" t="inlineStr">
        <is>
          <t>learning goals</t>
        </is>
      </c>
      <c r="K11" s="11" t="inlineStr">
        <is>
          <t>Replace {COURSE_CODE} with a real course code from your DB.</t>
        </is>
      </c>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inlineStr">
        <is>
          <t>2026-05-25T01:18:59</t>
        </is>
      </c>
      <c r="AI11" s="11" t="n">
        <v>200</v>
      </c>
      <c r="AJ11" s="11" t="b">
        <v>1</v>
      </c>
      <c r="AK11" s="11" t="n">
        <v>219836.41</v>
      </c>
      <c r="AL11" s="11" t="n">
        <v>219825.25</v>
      </c>
      <c r="AM11" s="11" t="n"/>
      <c r="AN11" s="11" t="n">
        <v>219824.45</v>
      </c>
      <c r="AO11" s="11" t="inlineStr">
        <is>
          <t>get_course_by_code</t>
        </is>
      </c>
      <c r="AP11" s="11" t="n">
        <v>0</v>
      </c>
      <c r="AQ11" s="11" t="inlineStr">
        <is>
          <t>**Chimie analytique (travaux pratiques) / Analytische Chemie (Praktikum) / Analytical chemistry (practical course )**
- Code: UE-SCH.01084
- ECTS: 4
- Faculty: Faculty of Science and Medicine
- Domain: Chemistry
- Mobility: True
- Soft skills: True
- Description: In diesem Praktikum werden quantitative und qualitative Studien durchgeführt wie z.B. pH-Messung, pK-Bestimmung einer schwachen Säure, Bestimmung des Löslichkeitsproduktes, Leitfähigkeitsmessungen und Bestimmung der Zellkonstante, spektrophotometrische pK-Bestimmung, Messung der optischen Aktivität an einem Metallkomplex und Arbeiten mit ionensensitiven Elektroden.</t>
        </is>
      </c>
      <c r="AR11" s="11" t="n"/>
    </row>
    <row r="12">
      <c r="A12" s="11" t="n">
        <v>11</v>
      </c>
      <c r="B12" s="11" t="inlineStr">
        <is>
          <t>course_facts</t>
        </is>
      </c>
      <c r="C12" s="11" t="inlineStr">
        <is>
          <t>easy</t>
        </is>
      </c>
      <c r="D12" s="11" t="inlineStr">
        <is>
          <t>EN</t>
        </is>
      </c>
      <c r="E12" s="11" t="inlineStr">
        <is>
          <t>Who teaches UE-L15.01360?</t>
        </is>
      </c>
      <c r="F12" s="11" t="inlineStr">
        <is>
          <t>Exact value from Course/CourseOffering records.</t>
        </is>
      </c>
      <c r="G12" s="11" t="inlineStr">
        <is>
          <t>DB</t>
        </is>
      </c>
      <c r="H12" s="11" t="inlineStr">
        <is>
          <t>API /courses/:code</t>
        </is>
      </c>
      <c r="I12" s="11" t="inlineStr">
        <is>
          <t>Course, CourseOffering, teaches, is_taught_in</t>
        </is>
      </c>
      <c r="J12" s="11" t="inlineStr">
        <is>
          <t>professor/instructor</t>
        </is>
      </c>
      <c r="K12" s="11" t="inlineStr">
        <is>
          <t>Replace {COURSE_CODE} with a real course code from your DB.</t>
        </is>
      </c>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inlineStr">
        <is>
          <t>2026-05-25T01:18:59</t>
        </is>
      </c>
      <c r="AI12" s="11" t="n">
        <v>200</v>
      </c>
      <c r="AJ12" s="11" t="b">
        <v>1</v>
      </c>
      <c r="AK12" s="11" t="n">
        <v>27.39</v>
      </c>
      <c r="AL12" s="11" t="n">
        <v>9.720000000000001</v>
      </c>
      <c r="AM12" s="11" t="n"/>
      <c r="AN12" s="11" t="n">
        <v>8.710000000000001</v>
      </c>
      <c r="AO12" s="11" t="inlineStr">
        <is>
          <t>get_course_by_code</t>
        </is>
      </c>
      <c r="AP12" s="11" t="n">
        <v>0</v>
      </c>
      <c r="AQ12" s="11" t="inlineStr">
        <is>
          <t>**Cours BA: Introduction à l'histoire du 20e siècle (II)**
- Code: UE-L15.01360
- ECTS: 3
- Faculty: Faculty of Humanities
- Domain: Contemporary History
- Mobility: True
- Soft skills: True
- Description: Le cours d’Histoire du XX e (II) siècle abordera, dans une séquence chronologique allant la fin de la Deuxième Guerre mondiale à l’autodissolution du bloc soviétique, les principales articulations et enjeux de cette période marquée par la Guerre froide, la Décolonisation, les Trente Glorieuses puis la crise. Au-delà du récit des événements structuré par période, le cours constitue une tentative d’articulation des connaissances autour de problématiques, de concepts et de phénomènes historiques appréhendés dans une perspective globale.</t>
        </is>
      </c>
      <c r="AR12" s="11" t="n"/>
    </row>
    <row r="13">
      <c r="A13" s="11" t="n">
        <v>12</v>
      </c>
      <c r="B13" s="11" t="inlineStr">
        <is>
          <t>course_facts</t>
        </is>
      </c>
      <c r="C13" s="11" t="inlineStr">
        <is>
          <t>easy</t>
        </is>
      </c>
      <c r="D13" s="11" t="inlineStr">
        <is>
          <t>EN</t>
        </is>
      </c>
      <c r="E13" s="11" t="inlineStr">
        <is>
          <t>In which language is UE-F24.00756 taught?</t>
        </is>
      </c>
      <c r="F13" s="11" t="inlineStr">
        <is>
          <t>Exact value from Course/CourseOffering records.</t>
        </is>
      </c>
      <c r="G13" s="11" t="inlineStr">
        <is>
          <t>DB</t>
        </is>
      </c>
      <c r="H13" s="11" t="inlineStr">
        <is>
          <t>API /courses/:code</t>
        </is>
      </c>
      <c r="I13" s="11" t="inlineStr">
        <is>
          <t>Course, CourseOffering, teaches, is_taught_in</t>
        </is>
      </c>
      <c r="J13" s="11" t="inlineStr">
        <is>
          <t>language</t>
        </is>
      </c>
      <c r="K13" s="11" t="inlineStr">
        <is>
          <t>Replace {COURSE_CODE} with a real course code from your DB.</t>
        </is>
      </c>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inlineStr">
        <is>
          <t>2026-05-25T01:18:59</t>
        </is>
      </c>
      <c r="AI13" s="11" t="n">
        <v>200</v>
      </c>
      <c r="AJ13" s="11" t="b">
        <v>1</v>
      </c>
      <c r="AK13" s="11" t="n">
        <v>29.19</v>
      </c>
      <c r="AL13" s="11" t="n">
        <v>8.06</v>
      </c>
      <c r="AM13" s="11" t="n"/>
      <c r="AN13" s="11" t="n">
        <v>7.31</v>
      </c>
      <c r="AO13" s="11" t="inlineStr">
        <is>
          <t>get_course_by_code</t>
        </is>
      </c>
      <c r="AP13" s="11" t="n">
        <v>0</v>
      </c>
      <c r="AQ13" s="11" t="inlineStr">
        <is>
          <t>**Didactique Musique - Master**
- Code: UE-F24.00756
- ECTS: 2
- Faculty: Faculty of Education
- Domain: Teacher training
- Mobility: False
- Soft skills: False</t>
        </is>
      </c>
      <c r="AR13" s="11" t="n"/>
    </row>
    <row r="14">
      <c r="A14" s="11" t="n">
        <v>13</v>
      </c>
      <c r="B14" s="11" t="inlineStr">
        <is>
          <t>course_facts</t>
        </is>
      </c>
      <c r="C14" s="11" t="inlineStr">
        <is>
          <t>easy</t>
        </is>
      </c>
      <c r="D14" s="11" t="inlineStr">
        <is>
          <t>EN</t>
        </is>
      </c>
      <c r="E14" s="11" t="inlineStr">
        <is>
          <t>Is UE-L14.02290 marked as a soft-skills course?</t>
        </is>
      </c>
      <c r="F14" s="11" t="inlineStr">
        <is>
          <t>Exact value from Course/CourseOffering records.</t>
        </is>
      </c>
      <c r="G14" s="11" t="inlineStr">
        <is>
          <t>DB</t>
        </is>
      </c>
      <c r="H14" s="11" t="inlineStr">
        <is>
          <t>API /courses/:code</t>
        </is>
      </c>
      <c r="I14" s="11" t="inlineStr">
        <is>
          <t>Course, CourseOffering, teaches, is_taught_in</t>
        </is>
      </c>
      <c r="J14" s="11" t="inlineStr">
        <is>
          <t>soft_skills flag</t>
        </is>
      </c>
      <c r="K14" s="11" t="inlineStr">
        <is>
          <t>Replace {COURSE_CODE} with a real course code from your DB.</t>
        </is>
      </c>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inlineStr">
        <is>
          <t>2026-05-25T01:18:59</t>
        </is>
      </c>
      <c r="AI14" s="11" t="n">
        <v>200</v>
      </c>
      <c r="AJ14" s="11" t="b">
        <v>1</v>
      </c>
      <c r="AK14" s="11" t="n">
        <v>16.94</v>
      </c>
      <c r="AL14" s="11" t="n">
        <v>9.73</v>
      </c>
      <c r="AM14" s="11" t="n"/>
      <c r="AN14" s="11" t="n">
        <v>9.06</v>
      </c>
      <c r="AO14" s="11" t="inlineStr">
        <is>
          <t>get_course_by_code</t>
        </is>
      </c>
      <c r="AP14" s="11" t="n">
        <v>0</v>
      </c>
      <c r="AQ14" s="11" t="inlineStr">
        <is>
          <t>**Enseignement méthodologique (Histoire moderne) (groupe C)**
- Code: UE-L14.02290
- ECTS: 3
- Faculty: Faculty of Humanities
- Domain: History
- Mobility: True
- Soft skills: False</t>
        </is>
      </c>
      <c r="AR14" s="11" t="n"/>
    </row>
    <row r="15">
      <c r="A15" s="11" t="n">
        <v>14</v>
      </c>
      <c r="B15" s="11" t="inlineStr">
        <is>
          <t>course_facts</t>
        </is>
      </c>
      <c r="C15" s="11" t="inlineStr">
        <is>
          <t>easy</t>
        </is>
      </c>
      <c r="D15" s="11" t="inlineStr">
        <is>
          <t>EN</t>
        </is>
      </c>
      <c r="E15" s="11" t="inlineStr">
        <is>
          <t>Is UE-L37.01417 mobility-friendly?</t>
        </is>
      </c>
      <c r="F15" s="11" t="inlineStr">
        <is>
          <t>Exact value from Course/CourseOffering records.</t>
        </is>
      </c>
      <c r="G15" s="11" t="inlineStr">
        <is>
          <t>DB</t>
        </is>
      </c>
      <c r="H15" s="11" t="inlineStr">
        <is>
          <t>API /courses/:code</t>
        </is>
      </c>
      <c r="I15" s="11" t="inlineStr">
        <is>
          <t>Course, CourseOffering, teaches, is_taught_in</t>
        </is>
      </c>
      <c r="J15" s="11" t="inlineStr">
        <is>
          <t>mobility flag</t>
        </is>
      </c>
      <c r="K15" s="11" t="inlineStr">
        <is>
          <t>Replace {COURSE_CODE} with a real course code from your DB.</t>
        </is>
      </c>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inlineStr">
        <is>
          <t>2026-05-25T01:18:59</t>
        </is>
      </c>
      <c r="AI15" s="11" t="n">
        <v>200</v>
      </c>
      <c r="AJ15" s="11" t="b">
        <v>1</v>
      </c>
      <c r="AK15" s="11" t="n">
        <v>64.73999999999999</v>
      </c>
      <c r="AL15" s="11" t="n">
        <v>17.95</v>
      </c>
      <c r="AM15" s="11" t="n"/>
      <c r="AN15" s="11" t="n">
        <v>17.01</v>
      </c>
      <c r="AO15" s="11" t="inlineStr">
        <is>
          <t>get_course_by_code</t>
        </is>
      </c>
      <c r="AP15" s="11" t="n">
        <v>0</v>
      </c>
      <c r="AQ15" s="11" t="inlineStr">
        <is>
          <t>**Fribourg &amp; Hamburg: Religion et urbanité / Religion und Urbanität**
- Code: UE-L37.01417
- ECTS: 3
- Faculty: Faculty of Humanities
- Domain: Social Sciences
- Mobility: True
- Soft skills: False
- Description: Fribourg &amp; Hamburg: Religion et urbanité / Religion und Urbanität Cities are not only sites of political, economic, and cultural concentration, but also spaces of religious expression, conflict, and negotiation. In the seminar on Religion and Urbanity, we explore how religion becomes visible in urban space, how religious actors help shape cities, and how urban contexts transform religious practices and imaginaries. Based on two case studies—the small town of Fribourg (Switzerland), shaped by Catholicism, and the large city of Hamburg, influenced by the Hanseatic tradition and Lutheranism—we analyze concrete forms of religious presence and interaction in urban space: from sacred architecture and processions to interreligious encounters and political debates about religion in the public sphere. A central element of the seminar consists of short excursions in Fribourg as well as a multi-day excursion to Hamburg, during which we will visit selected sites in both locations and engage in discussions on site with experts and religious actors. The seminar introduces key theoretical perspectives on religion and urbanity (e.g., Lefebvre, Knott, Löw) and at the same time provides methodological training in urban ethnographic research. The excursion to Hamburg will take place from 07 May 2026 to 11 May 2026 . Participation in the excursion is mandatory. The trip is partially subsidized by the university; part of the costs must be covered by the participants themselves (CHF 150 per person). The price includes round-trip travel by train to Hamburg, four nights of hotel accommodation with breakfast, as well as entrance fees and local public transportation in Hamburg. In addition to empirical exercises, the program in Hamburg includes visits to the workers’ and refugee support organization Brot &amp; Rosen, a guided city tour, the Hamburg Kunsthalle, the Ohlsdorf Reform Cemetery, the Al Nour Mosque, and a Buddhist center. Evenings are free for individual activities. The dates of the seminar sessions in Fribourg are: 17 February, 24 February, 03 March, 31 March, 21 April, 28 April, 19 May, and 26 May. For organizational reasons, the number of participating students is limited to 14. The seminar is bilingual (German/French): all students may complete their exercises and presentations in the language of their choice.</t>
        </is>
      </c>
      <c r="AR15" s="11" t="n"/>
    </row>
    <row r="16">
      <c r="A16" s="11" t="n">
        <v>15</v>
      </c>
      <c r="B16" s="11" t="inlineStr">
        <is>
          <t>schedule_datetime</t>
        </is>
      </c>
      <c r="C16" s="11" t="inlineStr">
        <is>
          <t>medium</t>
        </is>
      </c>
      <c r="D16" s="11" t="inlineStr">
        <is>
          <t>EN</t>
        </is>
      </c>
      <c r="E16" s="11" t="inlineStr">
        <is>
          <t>When does UE-L26.00318 take place in HS-2026?</t>
        </is>
      </c>
      <c r="F16" s="11" t="inlineStr">
        <is>
          <t>Exact schedule/evaluation information or explicit not available.</t>
        </is>
      </c>
      <c r="G16" s="11" t="inlineStr">
        <is>
          <t>DB</t>
        </is>
      </c>
      <c r="H16" s="11" t="inlineStr">
        <is>
          <t>API /planner or /courses/:code/offerings</t>
        </is>
      </c>
      <c r="I16" s="11" t="inlineStr">
        <is>
          <t>CourseOffering, Session, Evaluation</t>
        </is>
      </c>
      <c r="J16" s="11" t="inlineStr">
        <is>
          <t>date/time</t>
        </is>
      </c>
      <c r="K16" s="11" t="inlineStr">
        <is>
          <t>Replace placeholders with real DB values.</t>
        </is>
      </c>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inlineStr">
        <is>
          <t>2026-05-25T01:18:59</t>
        </is>
      </c>
      <c r="AI16" s="11" t="n">
        <v>200</v>
      </c>
      <c r="AJ16" s="11" t="b">
        <v>1</v>
      </c>
      <c r="AK16" s="11" t="n">
        <v>27.92</v>
      </c>
      <c r="AL16" s="11" t="n">
        <v>18.02</v>
      </c>
      <c r="AM16" s="11" t="n"/>
      <c r="AN16" s="11" t="n">
        <v>16.86</v>
      </c>
      <c r="AO16" s="11" t="inlineStr">
        <is>
          <t>get_course_by_code</t>
        </is>
      </c>
      <c r="AP16" s="11" t="n">
        <v>0</v>
      </c>
      <c r="AQ16" s="11" t="inlineStr">
        <is>
          <t>**How to couple up as a Muslim? Islamische Ethik der Beziehung, Ehe und Familie im Spannungsfeld von Tradition und Progressivität.**
- Code: UE-L26.00318
- ECTS: 3
- Faculty: Faculty of Humanities
- Domain: Interdisciplinary
- Mobility: True
- Soft skills: False
- Description: In westlichen Gesellschaften ist der Fokus auf die Frage, was gelingende Beziehungen sind, in den letzten Jahren deutlich gestiegen. Dieser Fokus wird zum einen mit dem Wandel der Perspektiven auf konventionelle Beziehungsformen wie der Ehe und der zunehmenden Geschlechtergleichheit erklärt. Zum anderen erlaubten Wohlstand und materielle Unabhängigkeit mehr Aufmerksamkeit auf die Erfüllung persönlicher Entfaltung in Beziehungen zu legen. Musliminnen und Muslime in westlichen Gesellschaften stehen vor dem Hintergrund dieser Entwicklungen an der Schnittstelle verschiedener Herausforderungen: Familiär sehen sie sich vielfach Verständnissen einer heteronormativen Paarbeziehung verpflichtet, die bestimmte Werte wie der Begrenzung vorehelicher Beziehungen oder der starken Bedeutung des Kinderkriegens implizit voraussetzen. Andererseits sind Musliminnen und Muslime gleichermassen von Bedürfnissen der individuellen Selbstverwirklichung geprägt und orientieren sich zunehmend an alternativen Beziehungsmodellen. Musliminnen und Muslime sind gleichzeitig vielfach mit pauschalen Kritiken im Bereich der Vorstellungen von Geschlecht, Familie und Sexualität konfrontiert. Diese Kritiken sind allerdings selbst einer Gegenkritik ausgesetzt, insofern sie etwa als Mittel der Diskriminierung religiöser Minderheiten gedeutet werden. «How to couple up as a Muslim» thematisiert vor diesem Hintergrund, wie Musliminnen und Muslime mit diesen komplexen Spannungen umgehen. Welchen Einfluss haben die allgemeine Liberalisierung und mehrheitsgesellschaftliche Vorstellungen von Geschlechtergleichheit auf das Verständnis von Beziehungen in muslimischen Kontexten? Welche religiösen Normen aus der islamischen Ethik existieren im Bereich von Beziehung, Ehe und Familie und wie verhalten sich diese Normen zu den gelebten Realitäten? Wie gehen Musliminnen und Muslime mit komplexen Macht- und Diskursverhältnissen im Bereich von Geschlecht und Sexualität um?</t>
        </is>
      </c>
      <c r="AR16" s="11" t="n"/>
    </row>
    <row r="17">
      <c r="A17" s="11" t="n">
        <v>16</v>
      </c>
      <c r="B17" s="11" t="inlineStr">
        <is>
          <t>schedule_datetime</t>
        </is>
      </c>
      <c r="C17" s="11" t="inlineStr">
        <is>
          <t>medium</t>
        </is>
      </c>
      <c r="D17" s="11" t="inlineStr">
        <is>
          <t>EN</t>
        </is>
      </c>
      <c r="E17" s="11" t="inlineStr">
        <is>
          <t>On which weekday is UE-EKM.01125 held in HS-2026?</t>
        </is>
      </c>
      <c r="F17" s="11" t="inlineStr">
        <is>
          <t>Exact schedule/evaluation information or explicit not available.</t>
        </is>
      </c>
      <c r="G17" s="11" t="inlineStr">
        <is>
          <t>DB</t>
        </is>
      </c>
      <c r="H17" s="11" t="inlineStr">
        <is>
          <t>API /planner or /courses/:code/offerings</t>
        </is>
      </c>
      <c r="I17" s="11" t="inlineStr">
        <is>
          <t>CourseOffering, Session, Evaluation</t>
        </is>
      </c>
      <c r="J17" s="11" t="inlineStr">
        <is>
          <t>weekday</t>
        </is>
      </c>
      <c r="K17" s="11" t="inlineStr">
        <is>
          <t>Replace placeholders with real DB values.</t>
        </is>
      </c>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inlineStr">
        <is>
          <t>2026-05-25T01:18:59</t>
        </is>
      </c>
      <c r="AI17" s="11" t="n">
        <v>200</v>
      </c>
      <c r="AJ17" s="11" t="b">
        <v>1</v>
      </c>
      <c r="AK17" s="11" t="n">
        <v>229265.72</v>
      </c>
      <c r="AL17" s="11" t="n">
        <v>229276.52</v>
      </c>
      <c r="AM17" s="11" t="n"/>
      <c r="AN17" s="11" t="n">
        <v>229275.73</v>
      </c>
      <c r="AO17" s="11" t="inlineStr">
        <is>
          <t>get_course_by_code, get_offerings</t>
        </is>
      </c>
      <c r="AP17" s="11" t="n">
        <v>0</v>
      </c>
      <c r="AQ17" s="11" t="inlineStr">
        <is>
          <t>**Kolloquium mit INGENHOFF Diana**
- Code: UE-EKM.01125
- ECTS: 3
- Faculty: Faculty of Management, Economics and Social Sciences
- Domain: Communication and Media Research
- Mobility: False
- Soft skills: False
- Description: Im Kolloquium stellen Studierende, die ihre Masterarbeit schreiben, ihr Projekt in einem 15-minütigen Vortrag vor und diskutieren es mit der Lehrperson und den anderen Studierenden. Damit wird ein Erfahrungsaustausch über methodische und inhaltliche Fragen rund um die Masterarbeit ermöglicht. Der Besuch ist in der Bearbeitungsfrist der Masterarbeit während eines Semesters obligatorisch. Bei einer empirischen Arbeit ist der ideale Zeitpunkt des Vortrags kurz vor dem Beginn der Datenerhebung.
Found 1258 result(s):
- 2 Démonstrations (Situs) / 2 Demonstrationen (Situs) (UE-SMO.03002)
- A1.1 Deutsch als Fremdsprache (UE-I01.00066)
- A1.1: Français langue étrangère (UE-I01.00207)
- A1.1 Italiano per principianti I (gruppo A) (UE-I02.00093)
- A1.1 Italiano per principianti I (gruppo B) (UE-I05.00003)
- A1.2 Deutsch als Fremdsprache (UE-I04.00049)
- A1.2 Français langue étrangère I (UE-I01.00048)
- A2.1 Deutsch als Fremdsprache (UE-I01.00068)
- A2.2 Deutsch als Fremdsprache (UE-I04.00079)
- A2-B1 Deutsch als Fremdsprache - Konversationskurs (UE-I04.00055)
- A2-B1 English Conversation (UE-I04.00039)
- A2 Français langue étrangère: Compétences écrites et orales I (UE-I04.00004)
- A2 Français langue étrangère: conversation orale I (UE-I04.00089)
- A2 Français langue étrangère: Grammaire (à l'écrit et à l'oral) I (UE-I01.00231)
- A2 Preparing for Academic English: Integrated Skills (UE-I04.00043)
- Advanced bioinformatics and genomics (UE-SBC.07005)
- Advanced English Programme (BAS1); Year One-Part One (UE-L06.01096)
- Advanced English Programme (BAS1); Year Two-Part One (UE-L06.01098)
- Advanced Group Accounting (UE-EGE.00068)
- Advanced Managerial Accounting (UE-EGE.00162)
- Advanced marine biology practical course (UE-SBL.10009)
- Advanced Microeconomics (UE-EEP.00495)
- "Advanced skills I + II" Klinisch-psychologische Interventionsverfahren (UE-L25.00876)
- Advanced software engineering (UE-SIN.07602)
- Advanced statistical methods (UE-L25.01477)
- Advanced Strategic Management Seminar (UE-EGE.00501)
- Advanced Topics in Data Analytics and Machine Learning (UE-EEP.00517)
- Aide, assistance et pratiques relationnelles (UE-L20.00341)
- Aktuelle Arbeiten im Bereich der Sprachlehrforschung [Masterseminar 4] (UE-L09.00705)
- Algebra (Vorlesung mit Übungen) (UE-SMA.02241)
- Algèbre linéaire I (cours avec exercices) (UE-SMA.01203)
- Algèbre linéaire propédeutique (cours avec exercices) (UE-SMA.00202)
- Algèbres de Lie / Lie algebras (UE-SMA.03250)
- Algèbres de Lie / Lie algebras (UE-SMA.04250)
- Algorithmics (UE-SIN.03023)
- Allgemeine Didaktik I, Grundformen des Lehrens und Lernens (UE-F24.00300)
- Allgemeine Einführung in die Ethik I (UE-I08.00001)
- Allgemeine Einführung in die Ethik I (Ethique+) (UE-I08.00015)
- Alte Kirchengeschichte. Einführung in die Geschichte der Alten Kirche (1.-3. Jh.). Hauptvorlesung (UE-TTH.01621)
- Alte Kirchengeschichte und Patristik. Texte, Themen und Autoren. Proseminar (UE-TTH.01694)
- Ältere deutschsprachige Literatur: Parzival (GM) (UE-L03.00726)
- Alte Sprache. Griechisch I Vertiefung. Sprachkurs (UE-TTH.01828)
- Alte Sprache. Hebräisch. Biblisches Hebräisch I (Lektüre). Sprachkurs. (UE-TTH.01215)
- Alte Sprache. Hebräisch. Biblisches Hebräisch I. Sprachkurs (UE-TTH.01744)
- Alte Sprache. Hebräisch. Biblisches Hebräisch I (Vertiefung). Sprachkurs (UE-TTH.01745)
- Alte Sprache. Latein I (Vertiefung). Sprachkurs (UE-TTH.01824)
- Altes Testament. Biblische Umwelt. Ancien Testament. Milieu biblique. Einführung in die Themen der Sammlung Bibel + Orient: Materielle Religion in den Kulturen des Alten Orients. Introduction dans les thèmes des collections Bible + Orient : La religion matérielle dans les cultures de l'Orient ancien. Spezialvorlesung. Cours complémentaire. (UE-TTH.01752)
- Altes Testament. Einführung in das Alte Testament II: Die Bücher der Geschichte. Hauptvorlesung (UE-TTH.01733)
- Altes Testament. Einführung in das Alte Testament I. Pentateuch. Hauptvorlesung (nicht für Studienanfänger – Zusatzlehrveranstaltung) (UE-TTH.01732)
- Altes Testament. Exegese AT: Beziehungen und Interaktionen in alttestamentlichen Erzählungen: Richterbuch und Buch Rut. Hauptvorlesung (UE-TTH.01557)
- Analyse III (cours avec exercices) (UE-SMA.02131)
- Analyse musicale post-1900 : Presse et musique (XIXe-XXe siècles). Jalons historiques, théorie, analyse (UE-L18.00370)
- Analyse propédeutique I (cours avec exercices) (UE-SMA.00103)
- Analyse spatiale et statistique descriptive / Räumliche und deskriptive Statistik (UE-SGG.02101)
- Analyse von Lehrwerken und Lernmaterialien [Masterseminar 2: Didaktische Grundlagen] (UE-L09.00694)
- Analysis I (Vorlesung mit Übungen) (UE-SMA.01103)
- Analytical chemistry II (lectures) (UE-SCH.04252)
- Analytical chemistry I (lecture) (UE-SCH.04251)
- Anatomie descriptive / Deskriptive Anatomie (UE-SMO.00630)
- Anatomie fonctionnelle des systèmes du corps humain / Funktionelle Anatomie der menschlichen Körpersysteme (UE-SMO.00007)
- Anatomie macroscopique : démonstrations / Makroskopische Anatomie: Demonstrationen (UE-SMO.03202)
- Anatomie (travaux pratiques) / Anatomie (Praktikum) (UE-SMH.03303)
- Ancien Testament. Introduction à l'Ancien Testament: Livres historiques. Cours principal (UE-TTH.01731)
- Angststörungen (UE-L25.01035)
- Anhörung des Kindes in familienrechtlichen Verfahren: psychologische und juristische Aspekte (UE-L26.00008)
- Anthropologie de l'éducation (UE-F23.00008)
- Application des connaissances scientifiques aux sports de neige (séminaire) / Anwendung der wissenschaftlichen Kenntnisse in Schneesportarten (Seminar) (UE-SSM.04003)
- Application des connaissances scientifiques en escalade sportive Indoor (UE-SSP.04005)
- Application of scientific knowledge in health and APA, part I (UE-SSP.04006)
- Apprentissage, mémoire et motivation (UE-F23.00007)
- Approche systémique du jeu (UE-SSP.00780)
- Approche théorique des sports de neige (UE-SSP.00789)
- Architecture d'ordinateur / Computerarchitektur (UE-SIN.01022)
- Aspects théoriques de physique fondamentale I / Theoretische Aspekte der Fundamentalphysik I (UE-SPH.01301)
- Atelier de mémoire (UE-L02.00928)
- Atelier de recherche en histoire médiévale / Forschungskolloquium in mittelalterlicher Geschichte (UE-L14.02377)
- Atelier de recherche Histoire de l'Antiquité (UE-L14.02351)
- Atelier de recherche Histoire moderne (UE-L14.02396)
- Athlétisme I / Leichathletik I (UE-SSP.00831)
- Atmosphärenwissenschaften (UE-SGG.02301)
- Auto-apprentissage Hérodote (UE-I04.00147)
- Automata on infinite structures (UE-SIN.08502)
- B1.1 Deutsch als Fremdsprache (UE-I04.00080)
- B1-B2 English Foundations: Academic Vocabulary and Grammar (UE-I04.00116)
- B1-B2 Français langue étrangère Prononciation I (en ligne) (UE-I04.00119)
- B1+-B2 Speaking Skills in English: topic-based practice for oral competence and confidence in academic settings (UE-I04.00106)
- B1 Deutsch als Fremdsprache - Grammatik vertiefen und anwenden (UE-I04.00081)
- B1 Français langue étrangère : À vos marques, prêt.e.s…. à la conversation I ! (UE-I04.00064)
- B1 Français langue étrangère: Grammaire (à l'écrit et à l'oral) I - Groupe A (UE-I01.00268)
- B1 Français langue étrangère : Grammaire (à l'écrit et à l'oral) I - Groupe B (cours en ligne) (UE-I04.00030)
- B1 Français langue étrangère - Langue en contexte suisse I (UE-I04.00123)
- B1 Français langue étrangère: Se préparer au DELF B1 (UE-I04.00091)
- B1 Français langue étrangère: s'exercer à l'écrit et à l'oral I (UE-I04.00022)
- B1 Introducing Academic English: Integrated Skills (UE-I04.00045)
- B1 Italiano per medi I (UE-I02.00087)
- B2B Marketing (UE-EGE.00448)
- B2-C1 Academic English for Master's Students: Presentation, discussion and team-working skills (UE-I04.00012)
- B2-C1 Deutsch als Fremdsprache - Erfolgreich auftreten und präsentieren (UE-I04.00053)
- B2-C1 Deutsch als Fremdsprache - Konversationskurs (UE-I04.00059)
- B2-C1 Deutsch mit MINT-Inhalten (UE-I04.00122)
- B2-C1 English Conversation (UE-I04.00093)
- B2-C1 English Conversation (UE-I04.00136)
- B2-C1 Français langue étrangère: Débattre à l'oral I (UE-I04.00073)
- B2-C1 Français langue étrangère: Orthographe et vocabulaire I (UE-I04.00139)
- B2+-C1 Study, Work &amp; Life: Focus on oral-communication tasks in Academic English (UE-I04.00104)
- B2-C1 Writing &amp; Grammar Skills: Revision for English Academic Texts (Blended Course) (UE-I01.00120)
- B2-C2 Cambridge English Exam Preparation: B2 First and/or C1 Advanced and/or C2 Proficiency (Blended Course) (UE-I04.00130)
- B2-C2 Deutsch als Fremdsprache - Schweizerdeutsch verstehen I (UE-I01.00127)
- B2-C2 FLE-DAF: Travailler le bilinguisme à travers le cinéma/Zweisprachig mit und durch Film (UE-I04.00009)
- B2-C2 Français langue étrangère : Atelier d'écriture I (UE-I04.00140)
- B2-C2 Français langue étrangère : Renforcement grammatical I (UE-I01.00270)
- B2 Deutsch als Fremdsprache: Fit fürs Studium - Lesen und Schreiben (UE-I01.00283)
- B2 Deutsch als Fremdsprache - Grammatik vertiefen und anwenden (UE-I01.00292)
- B2 Deutsch als Fremdsprache: heute! (UE-I04.00141)
- B2 Français langue étrangère: En forme pour les études en français II (LIRE-ÉCRIRE) (UE-I01.00272)
- B2 Français langue étrangère: En forme pour les études en français I (PARLER-ÉCOUTER) (UE-I01.00235)
- B2 Improving Academic English: Integrated Skills (UE-I04.00115)
- Bachelorarbeit (UE-L25.00133)
- Bachelor-Arbeit Politikwissenschaft (UE-L41.00571)
- Bachelor-Kolloquium (UE-L41.00572)
- Bachelorkolloquium und Experimentelle Selbsterfahrung (UE-L25.01028)
- BA-C: Introduction à l'anthropologie sociale (UE-L20.00393)
- Back to work?! Insights into occupational rehabilitation psychology (UE-L25.01228)
- BA-Colloque Anthropologie sociale (UE-L37.01480)
- Badminton (UE-SSP.00800)
- BA-Kolloquium Religionswissenschaft, inkl. Verteidigung (UE-L37.01182)
- BA-Kolloquium Sozialanthropologie (UE-L37.01482)
- BA/MA-C Anthropologie des systèmes scolaires à l’ère de l’inclusion : pouvoirs, catégories et normes (UE-L37.01502)
- BA/MA-SE Infrastrukturen erforschen: Anthropologische Perspektiven auf Orte der erneuerbaren Energieproduktion (UE-L37.01489)
- BA_MA Seminararbeit Block Religion, Macht, Wissen – Religion, pouvoir, savoir (UE-L37.01551)
- BA/MA-Seminar: Falke, Herz und Linde. Symbole zwischen Bedeuten und Erzählen (GM - komparatistischer Schwerpunkt) (UE-L03.00730)
- BA/MA-Seminar: Frauendienst und Gottesdienst. Die Kreuzzüge in der deutschsprachigen Lyrik des Mittelaters (GM - didaktischer Schwerpunkt) (UE-L03.00727)
- BA/MA-SE Transnational Relations of Care: Ukraine and beyond (UE-L37.01484)
- BA/MA-VL Einführung in die Wirtschaftsanthropologie (UE-L37.01486)
- BA/MA-Vorlesung polnische Literatur: Polen 1990-2026 – Literatur, Film, Alltagskultur / Cours magistral BA/MA littérature polonaise: La Pologne 1990-2026 – littérature, cinéma, culture du quotidien (Fribourg) (UE-L41.00521)
- BA-Proseminar: Einführung in die Religionswissenschaft (UE-L20.00441)
- BA-SE Anthropologie de la guerre (UE-L37.01497)
- BA-SE Anthropologie urbaine (UE-L37.01158)
- BA-SE In 14 Wochen durch die Sozialanthropologie (UE-L37.01302)
- BA-SE Körperlichkeit (UE-L37.01487)
- BA-Séminaire: Aux limites de la philosophie. La voie mystique dans la pensée médiévale, de Maître Eckhart à Jean Gerson (pme) (UE-L01.02884)
- BA-Séminaire: Égalité (epp) (UE-L01.02855)
- BA-Séminaire: L’expression créatrice. Esthétique et philosophie du langage (ars, leh) (UE-L01.02867)
- BA-Séminaire/MA-Séminaire: Lecture de textes philosophiques latins/Lektüre philosophischer Texte in lateinischer Sprache (pme) (UE-L01.02886)
- BA-Seminar: Ansätze der Kulturvermittlung (UE-L09.00488)
- BA-Seminar: Bairisch und Alemannisch im Dialektvergleich (GL) (UE-L03.00720)
- BA-Seminar: Cicero: De Officiis (Über die Pflichten) (pan, leh, eme) (UE-L01.02861)
- BA-Seminar: Der Zweite Weltkrieg in Europa: Okkupation, Kollaboration, Widerstand (UE-L15.02413)
- BA-Seminar: Die Indianerin und der Kolonisator. Geschlecht und Ethnie in der Literatur der Aufklärung (NdL) (UE-L03.00738)
- BA-Seminar Einführung in die literaturwissenschaftliche Slavistik / Séminaire BA : introduction aux études littéraires slaves (Fribourg) (UE-L41.00525)
- BA-Seminar: Linguistische Grundlagen Deutsch als Fremdsprache I (UE-L09.00657)
- BA-Seminar: Lyrikerinnen des 20. Jahrhunderts (NdL) (UE-L03.00736)
- BA-Seminar russische Literatur: Die Kosaken in der russischen Literatur und Kultur / Séminaire BA littérature russe: Les cosaques dans la littérature et culture russes (Fribourg) (UE-L41.00526)
- BA-Seminar: Sound of protest – Lärm, Lieder und Sprechchöre in Widerstandskulturen (UE-L15.02409)
- BA-Seminar: Texte der arabischen Philosophie (pme, eme) (UE-L01.02849)
- BA-Seminar: Textkompetenz - Fachtexte verarbeiten und nutzen (UE-L09.00659)
- Bases de bactériologie (UE-SBL.00063)
- Bases morphologiques et fonctionnelles – Systèmes Ia / Morphologische und funktionelle Grundlagen – Systeme Ia (UE-SME.01202)
- Bases neurophysiologiques (UE-SPY.00623)
- Basic bioinformatics and genomics (UE-SBC.07004)
- Basic knowledge upgrading (UE-SME.07010)
- Basketball I (UE-SSP.00801)
- BA-Sprachkurs I: DaF für Lehrpersonen (UE-L09.00660)
- BA-Sprachkurs III: DaF für Lehrpersonen (UE-L09.00661)
- BA-VL: Einführung in die Religionswissenschaft (UE-L20.00463)
- BA-VL Einführung in die Sozialanthropologie (UE-L20.00390)
- BA-Vorlesung: Der Islam. Einführung in Geschichte und Gegenwart (UE-L20.00473)
- BA-Vorlesung: Die Schweiz zur Zeit des Nationalsozialismus (UE-L15.02400)
- BA-Vorlesung Einführung in die russische Literatur: Epochen, Themen, Strukturen / Cours magistral BA : Introduction à la littérature russe : époques, thèmes, structures (Fribourg) (UE-L41.00520)
- BA-Vorlesung: Frieden schliessen – Frieden gestalten. Friedensschlüsse im 19. und 20. Jahrhundert (UE-L15.02399)
- Behavioral Economics (UE-EEP.00354)
- Behavioural methods in neuroscience (UE-SME.07301)
- BENEFRI workshop "Frontiers in neurosciences" (UE-SBL.00118)
- Berufspraktikum (UE-L41.00570)
- Berufspraktikum 1 (UE-F24.00738)
- Berufspraktikum 2 mit Lehrprobe (UE-F24.00743)
- Berufspraktikum Spezial Schulkontext (UE-F24.01037)
- Bewegungswissenschaften (Seminar) (UE-SSP.02002)
- Big data infrastructures (UE-SIN.07612)
- Biochimie générale / Allgemeine Biochemie (UE-SBC.00114)
- Biochimie (travaux pratiques) / Biochemie (Praktikum) (UE-SBC.03303)
- Bioinformatics (practical course, in silico) (UE-SBI.07107)
- Biologie de la cellule / Zellbiologie (UE-SBL.01501)
- Biologie des organismes I: Vertébrés (UE-SBL.00040)
- Biologie générale I (cours) / Allgemeine Biologie I (Vorlesung) (UE-SBL.00001)
- Biologie générale I (travaux pratiques) / Allgemeine Biologie I (Praktikum) (UE-SBL.00003)
- Biologie moléculaire / Molekularbiologie (UE-SBL.00014)
- Biomécanique (séminaire) / Biomechanik (Seminar) (UE-SSP.02006)
- Biophysical chemistry (lecture) (UE-SCH.04421)
- Biostatistics II - multivariate analysis (UE-SBL.20002)
- Biostatistique avancée et épidémiologie / Fortgeschrittene Biostatistik und Epidemiologie (UE-SME.06320)
- Block BA/MA: Religion, Macht, Wissen – Religion, pouvoir, savoir (UE-L37.01517)
- Block, BA-SE Anthropologie visuelle des religions en Suisse I / Visuelle Anthropologie der Religionen in der Schweiz I (UE-L37.01516)
- Business and Human Rights (UE-EEP.00127)
- C1 Advanced General English (Blended Course) (UE-I04.00131)
- C1-C2 : Français sur objectifs académiques I (UE-I01.00236)
- C1-C2 One Step Beyond: Expanding Academic English (UE-I01.00011)
- C1 Deutsch als Fremdsprache: hier! (UE-I04.00125)
- C1 Italiano - Esercitazioni scritte (UE-I02.00096)
- Calcul stochastique (UE-SMA.03311)
- Calcul stochastique (UE-SMA.04311)
- Canaux ioniques: fonctions et dysfonctions (UE-SBL.00064)
- Cancer/inflammation research journal club (UE-SME.07214)
- Cartes et profils I (travaux pratiques) / Karten und Profile I (Praktikum) (UE-SST.00224)
- Cases in Accounting (UE-EGE.00474)
- Case studies in international strategy (UE-EGE.00101)
- Cell fate and tissue regeneration (UE-SBL.00414)
- Cellular immunology: theory and practice (UE-SME.07201)
- Central nervous system regeneration and repair (UE-SME.07300)
- Chapitres choisis en modélisation (UE-SMA.03556)
- Chapitres choisis en modélisation (UE-SMA.04556)
- Chimie générale (avec exercices) / Allgemeine Chemie (mit Übungen) (UE-SCH.01014)
- Cla Biert, Hendri Spescha ed Andri Peer – prosa, poesia e gieus auditivs (UE-L09.00747)
- Climate change: state of the art and debates (UE-SGG.00426)
- Coeur et Circulation: physiopathologie et bases cliniques / Herz und Kreislauf: Pathophysiologie und Klinische Grundlagen (UE-SMH.05207)
- Colloque avec ASDOURIAN Bruno (UE-EKM.01128)
- Colloque avec FEDDERSEN Alexandra (UE-EKM.01026)
- Colloque avec ILLIA Laura (UE-EKM.01122)
- Colloque avec ROHRBACH Tobias (UE-EKM.01483)
- Colloque avec VAN HOVE Florence (UE-EKM.01185)
- Colloque avec VON PAPE Thilo (UE-EKM.01311)
- Colloque de Bachelor et formation personnelle à la recherche expérimentale (UE-L25.01029)
- Colloque de géosciences / Kolloquien der Geowissenschaften / Conferences in geosciences (UE-SST.00324)
- Colloque de recherche en langue et littérature médiévales et Atelier de mémoire (UE-L02.01130)
- Colloque de recherche en sciences de l’éducation (UE-F23.00027)
- Colloque de stage (UE-L25.01026)
- Colloque / Kolloquium / Colloquia (UE-SPH.04004)
- Colloque MA Sociologie 1 (UE-L37.00251)
- Colloque: Travail de Bachelor sociologie 1 (UE-L20.00383)
- Colloquio con ILLIA Laura (UE-EKM.01226)
- Colloquio di ricerca (UE-L04.00557)
- Colloquium Research Methodology and Data Analysis: Data Analysis Part (UE-EGE.00451)
- Colloquium Research Methodology and Data Analysis: Research Methodology Part (UE-EGE.00450)
- Colloquium with BLASSNIG Sina (UE-EKM.01461)
- Colloquium with FEDDERSEN Alexandra (UE-EKM.01208)
- Colloquium with ILLIA Laura (UE-EKM.01187)
- Colloquium with INGENHOFF Diana (UE-EKM.01231)
- Colloquium with ROHRBACH Tobias (UE-EKM.01427)
- Communication Strategies &amp; Science Communication (UE-EKM.01536)
- Compétences cliniques I / Klinische Kompetenzen I (UE-SMH.05402)
- Compétences documentaires en économie 1 (UE-EDK.00951)
- Compétences numériques dans l’enseignement (UE-SSM.03016)
- Compétences sociales (UE-L25.02177)
- Comportement moteur selon les catégories d'individus (UE-SSP.01010)
- Computing with words (UE-SIN.07623)
- Contrôle de processus / Prozesssteuerung (UE-SIN.04028)
- Corporate Social Responsibility and Social Impact (UE-EKM.00989)
- Corso monografico di Letteratura teatrale rinascimentale: "Le origini del teatro moderno in Italia" (UE-L04.00622)
- Corso monografico di Letteratura umanistico-rinascimentale: "Translatio studiorum: l'Umanesimo italiano al di là delle Alpi" (UE-L04.00624)
- Cours avancé. La diffusion de l'écriture dans la société romaine : le cas de la documentation de Pompéi (UE-L14.02349)
- Cours BA : Archives d'entreprises et Histoire XVIIIe-XXIe siècles (UE-L15.02381)
- Cours BA: Historiographie de l'époque contemporaine (UE-L15.01261)
- Cours BA: Introduction à l’histoire du XXe siècle I (1900-1945) (UE-L15.01102)
- Cours BA/MA : Didactique du Français langue étrangère (UE-L09.00634)
- Cours BA : Relations culturelles internationales de la Suisse (UE-L15.02373)
- Cours (base). Les éléments constitutifs de la civilisation romaine (époque républicaine) (UE-L14.02348)
- Cours de base des sciences de l'environnement: Ecologie / Grundkurs Umweltwissenschaften: Ökologie (UE-SSE.00101)
- Cours de base des sciences de l'environnement: Economie et droit de l'environnement / Grundkurs Umweltwissenschaften: Umweltökonomie und -Recht (UE-SSE.00102)
- Cours II : Familles et parcours de vie : une approche sociologique (UE-L37.01530)
- Cours: Introduction à la littérature de l'Antiquité tardive (UE-L08.00501)
- Cours: Introduction à la philologie classique / Vorlesung : Einführung in die Klassische Philologie (UE-L08.00254)
- Cours Introduction à la sociologie (UE-L20.00422)
- Cours. Introduction à une histoire mondiale du Moyen Âge (UE-L14.02373)
- Cours: La philosophie par les astres. La révolution aérospatiale et ses conséquences (ars, pmc) (UE-L01.02865)
- Cours: La philosophie par les astres. La révolution aérospatiale et ses conséquences (ars, pmc) (UE-L01.02866)
- Cours. La science moderne, XVIe-XVIIIe siècles (UE-L14.02392)
- Cours: L’homme comme personne (pme, eme, leh) (UE-L01.02847)
- Cours: L’homme comme personne (pme, eme, leh) (UE-L01.02848)
- Cours MA : Gaza, une histoire dans la longue durée (UE-L15.02382)
- Cours MA : Les étudiant.es au XXe siècle : formations, cultures, engagements (UE-L15.02371)
- Cours Méthodes audiovisuelles : la vidéo pour étudier le social (UE-L20.00372)
- Cours. Migrations et diasporas en Europe et outre-mer (XVIIe-XIXe s.) (UE-L14.02403)
- Cours – Poésie animée: lectures de Catulle, Lucrèce, Ovide (UE-L08.00700)
- Cours Stratification (UE-L20.00374)
- Cours thématique : Chanter en français au XVIe siècle (UE-L18.00512)
- Cours Travail (UE-L20.00425)
- Cours/ Vorlesung : Histoire de la littérature grecque (UE-L08.00568)
- Criminal Psychology (UE-L25.01039)
- Critical reading (UE-SBL.20005)
- Cryosphère (cours) / Kryosphäre (Vorlesung) (UE-SGG.03301)
- Cultures numériques (UE-EKM.01578)
- Cuors pratic da romontsch sursilvan 1 (UE-L09.00309)
- Current topics in digital neuroscience (UE-SDN.00003)
- Cybernetic Systems: Bridging Brains, Machines and society (UE-SDN.00006)
- Cycles de la vie / Der Lebenszyklus (UE-SMH.07005)
- Danse populaire I (UE-SSP.00819)
- Data analysis and statistics with the R programming language (UE-SME.07700)
- Data analysis with Python - applied to astrophysics (UE-SPH.04742)
- Data analytics in Python (UE-SDN.00007)
- Databases (UE-SIN.03024)
- De la physiopathologie à la maladie / Von der Pathophysiologie zur Krankheit (UE-SMH.07003)
- Democracy, media, and technology (UE-EKM.00957)
- Demography, Immigration and Labor Markets (UE-EEP.00131)
- Der Altersfaktor beim Spracherwerb (UE-L09.00681)
- Des politiques de santé publique aux pratiques d'intervention (UE-L20.00356)
- Developing an Innovation Strategy (UE-EGE.00473)
- Développement normal et pathologique des fonctions exécutives (UE-L25.00922)
- Didactique du français sur objectifs spécifiques (FOS) (UE-L09.00636)
- Didactique Français langue étrangère - Bachelor (UE-F24.00752)
- Die rätoromanische Minderheit in der vielsprachigen Schweiz (UE-L09.00450)
... 958 more result(s) not shown. Add filters to narrow the list.</t>
        </is>
      </c>
      <c r="AR17" s="11" t="n"/>
    </row>
    <row r="18">
      <c r="A18" s="11" t="n">
        <v>17</v>
      </c>
      <c r="B18" s="11" t="inlineStr">
        <is>
          <t>schedule_datetime</t>
        </is>
      </c>
      <c r="C18" s="11" t="inlineStr">
        <is>
          <t>medium</t>
        </is>
      </c>
      <c r="D18" s="11" t="inlineStr">
        <is>
          <t>EN</t>
        </is>
      </c>
      <c r="E18" s="11" t="inlineStr">
        <is>
          <t>Where does UE-L37.00927 take place in FS-2026?</t>
        </is>
      </c>
      <c r="F18" s="11" t="inlineStr">
        <is>
          <t>Exact schedule/evaluation information or explicit not available.</t>
        </is>
      </c>
      <c r="G18" s="11" t="inlineStr">
        <is>
          <t>DB</t>
        </is>
      </c>
      <c r="H18" s="11" t="inlineStr">
        <is>
          <t>API /planner or /courses/:code/offerings</t>
        </is>
      </c>
      <c r="I18" s="11" t="inlineStr">
        <is>
          <t>CourseOffering, Session, Evaluation</t>
        </is>
      </c>
      <c r="J18" s="11" t="inlineStr">
        <is>
          <t>room</t>
        </is>
      </c>
      <c r="K18" s="11" t="inlineStr">
        <is>
          <t>Replace placeholders with real DB values.</t>
        </is>
      </c>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inlineStr">
        <is>
          <t>2026-05-25T01:18:59</t>
        </is>
      </c>
      <c r="AI18" s="11" t="n">
        <v>200</v>
      </c>
      <c r="AJ18" s="11" t="b">
        <v>1</v>
      </c>
      <c r="AK18" s="11" t="n">
        <v>20.54</v>
      </c>
      <c r="AL18" s="11" t="n">
        <v>11.39</v>
      </c>
      <c r="AM18" s="11" t="n"/>
      <c r="AN18" s="11" t="n">
        <v>10.5</v>
      </c>
      <c r="AO18" s="11" t="inlineStr">
        <is>
          <t>get_course_by_code</t>
        </is>
      </c>
      <c r="AP18" s="11" t="n">
        <v>0</v>
      </c>
      <c r="AQ18" s="11" t="inlineStr">
        <is>
          <t>**MA- Séminaire: Comment les plateformes et l’ubérisation changent nos modes de vie**
- Code: UE-L37.00927
- ECTS: 3
- Faculty: Faculty of Humanities
- Domain: Social Sciences
- Mobility: True
- Soft skills: False
- Description: 1. PRÉSENTATION DE LA THÉMATIQUE Utilisez-vous des plateformes pour commander vos repas, pour choisir votre prochain hébergement de vacances ou pour vous débarrasser de vos objets devenus inutiles ? Que vous soyez adepte ou non de ces pratiques, ce séminaire vise à vous transmettre une perspective sociologique sur deux transformations caractéristiques des sociétés contemporaines. D’une part, il s’intéresse à l'extension des plateformes numériques, en tant que dispositifs concourant à la globalisation. D'autre part, il examine les nouvelles formes de rapports sociaux engendrés par cette « plateformisation », aussi connue sous les termes « d’économie du partage » et « d’ubérisation ». A partir de la littérature récente sur ces phénomènes, nous mettrons particulièrement en évidence les apports d’une approche en termes de sociologie des professions et des marchés. En effet, l’extension des plateformes numériques (telles Airbnb, Booking, Uber, Etsy, etc...) génèrent une digitalisation du travail, une reconfiguration des rapports entre les professionnels et leurs clients ainsi que des enjeux de concurrence et de (dé)régulation inédits. A travers les plateformes, la professionnalité et l’identité mêmes des professionnels (tels les chauffeurs de taxi, les hôteliers, les restaurateurs), sont remises en question puisque tout un chacun semble désormais capable de proposer un service. Ce sont aussi les normes d’emploi et les façons de travailler qui sont en jeu, les plateformes ne se présentant pas comme des employeurs au sens juridique usuel. Face à ces processus, les réponses juridiques et politiques apportées varient selon les pays et en fonction du prestige et des ressources des groupes professionnels concernés. Les clients-consommateurs, quant à eux, recourent aux plateformes qui leur procurent une facilité d’usage et leur permet d’accéder à des produits et services de façon plus ou moins délocalisés. Mais ils sont aussi de plus en plus contraints de passer par ces nouvelles médiations techniques qui tendent à faire disparaître les intermédiaires plus classiques. Au semestre SA25, cette thématique sera abordée à travers l’analyse des plateformes de vente de vêtements en ligne, car ces dernières sont emblématiques des changements décrits ci-dessus. Elles concurrencent les professionnels et les commerces implantés dans les villes. En situation de compétition, elles ciblent des types variés de consommateurs-trices (fast fashion, prêt à porter plus classique, vintage, etc… ). Elles sont globalisées et engendrent des flux de marchandises. Comment transforment-elles les pratiques d’achat des consommateurs, avec quelles conséquences ? En explorant ces questions, ce séminaire traite d'une problématique contemporaine à travers un angle original : les transformations que les plateformes numériques engendrent pour les professions, pour le travail et pour les pratiques de consommation.</t>
        </is>
      </c>
      <c r="AR18" s="11" t="n"/>
    </row>
    <row r="19">
      <c r="A19" s="11" t="n">
        <v>18</v>
      </c>
      <c r="B19" s="11" t="inlineStr">
        <is>
          <t>schedule_datetime</t>
        </is>
      </c>
      <c r="C19" s="11" t="inlineStr">
        <is>
          <t>medium</t>
        </is>
      </c>
      <c r="D19" s="11" t="inlineStr">
        <is>
          <t>EN</t>
        </is>
      </c>
      <c r="E19" s="11" t="inlineStr">
        <is>
          <t>Is UE-F22.00184 a weekly course or a block course in FS-2026?</t>
        </is>
      </c>
      <c r="F19" s="11" t="inlineStr">
        <is>
          <t>Exact schedule/evaluation information or explicit not available.</t>
        </is>
      </c>
      <c r="G19" s="11" t="inlineStr">
        <is>
          <t>DB</t>
        </is>
      </c>
      <c r="H19" s="11" t="inlineStr">
        <is>
          <t>API /planner or /courses/:code/offerings</t>
        </is>
      </c>
      <c r="I19" s="11" t="inlineStr">
        <is>
          <t>CourseOffering, Session, Evaluation</t>
        </is>
      </c>
      <c r="J19" s="11" t="inlineStr">
        <is>
          <t>offering type</t>
        </is>
      </c>
      <c r="K19" s="11" t="inlineStr">
        <is>
          <t>Replace placeholders with real DB values.</t>
        </is>
      </c>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inlineStr">
        <is>
          <t>2026-05-25T01:18:59</t>
        </is>
      </c>
      <c r="AI19" s="11" t="n">
        <v>200</v>
      </c>
      <c r="AJ19" s="11" t="b">
        <v>1</v>
      </c>
      <c r="AK19" s="11" t="n">
        <v>915475.14</v>
      </c>
      <c r="AL19" s="11" t="n">
        <v>915516.3</v>
      </c>
      <c r="AM19" s="11" t="n"/>
      <c r="AN19" s="11" t="n">
        <v>915515.58</v>
      </c>
      <c r="AO19" s="11" t="inlineStr">
        <is>
          <t>get_course_by_code</t>
        </is>
      </c>
      <c r="AP19" s="11" t="n">
        <v>8</v>
      </c>
      <c r="AQ19" s="11" t="inlineStr">
        <is>
          <t>I cannot find UE-F22.00184 in any of the provided documents.</t>
        </is>
      </c>
      <c r="AR19" s="11" t="n"/>
    </row>
    <row r="20">
      <c r="A20" s="11" t="n">
        <v>19</v>
      </c>
      <c r="B20" s="11" t="inlineStr">
        <is>
          <t>schedule_datetime</t>
        </is>
      </c>
      <c r="C20" s="11" t="inlineStr">
        <is>
          <t>medium</t>
        </is>
      </c>
      <c r="D20" s="11" t="inlineStr">
        <is>
          <t>EN</t>
        </is>
      </c>
      <c r="E20" s="11" t="inlineStr">
        <is>
          <t>What sessions are listed for 	UE-I08.00010 in FS-2026?</t>
        </is>
      </c>
      <c r="F20" s="11" t="inlineStr">
        <is>
          <t>Exact schedule/evaluation information or explicit not available.</t>
        </is>
      </c>
      <c r="G20" s="11" t="inlineStr">
        <is>
          <t>DB</t>
        </is>
      </c>
      <c r="H20" s="11" t="inlineStr">
        <is>
          <t>API /planner or /courses/:code/offerings</t>
        </is>
      </c>
      <c r="I20" s="11" t="inlineStr">
        <is>
          <t>CourseOffering, Session, Evaluation</t>
        </is>
      </c>
      <c r="J20" s="11" t="inlineStr">
        <is>
          <t>session list</t>
        </is>
      </c>
      <c r="K20" s="11" t="inlineStr">
        <is>
          <t>Replace placeholders with real DB values.</t>
        </is>
      </c>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inlineStr">
        <is>
          <t>2026-05-25T01:18:59</t>
        </is>
      </c>
      <c r="AI20" s="11" t="n">
        <v>200</v>
      </c>
      <c r="AJ20" s="11" t="b">
        <v>1</v>
      </c>
      <c r="AK20" s="11" t="n">
        <v>349771.04</v>
      </c>
      <c r="AL20" s="11" t="n">
        <v>349769.08</v>
      </c>
      <c r="AM20" s="11" t="n"/>
      <c r="AN20" s="11" t="n">
        <v>349767.01</v>
      </c>
      <c r="AO20" s="11" t="inlineStr">
        <is>
          <t>get_course_by_code</t>
        </is>
      </c>
      <c r="AP20" s="11" t="n">
        <v>8</v>
      </c>
      <c r="AQ20" s="11" t="inlineStr">
        <is>
          <t>I cannot find the requested information in the provided documents. The context does not mention UE-I08.00010 or FS-2026 together. However, I can try to help you find the relevant information.
Could you please provide more context or clarify what you are looking for? I'll do my best to assist you based on the available documents.</t>
        </is>
      </c>
      <c r="AR20" s="11" t="n"/>
    </row>
    <row r="21">
      <c r="A21" s="11" t="n">
        <v>20</v>
      </c>
      <c r="B21" s="11" t="inlineStr">
        <is>
          <t>schedule_datetime</t>
        </is>
      </c>
      <c r="C21" s="11" t="inlineStr">
        <is>
          <t>medium</t>
        </is>
      </c>
      <c r="D21" s="11" t="inlineStr">
        <is>
          <t>EN</t>
        </is>
      </c>
      <c r="E21" s="11" t="inlineStr">
        <is>
          <t>When is the evaluation or exam for UE-SBC.07109 in HS-2026?</t>
        </is>
      </c>
      <c r="F21" s="11" t="inlineStr">
        <is>
          <t>Exact schedule/evaluation information or explicit not available.</t>
        </is>
      </c>
      <c r="G21" s="11" t="inlineStr">
        <is>
          <t>DB</t>
        </is>
      </c>
      <c r="H21" s="11" t="inlineStr">
        <is>
          <t>API /planner or /courses/:code/offerings</t>
        </is>
      </c>
      <c r="I21" s="11" t="inlineStr">
        <is>
          <t>CourseOffering, Session, Evaluation</t>
        </is>
      </c>
      <c r="J21" s="11" t="inlineStr">
        <is>
          <t>evaluation date/time</t>
        </is>
      </c>
      <c r="K21" s="11" t="inlineStr">
        <is>
          <t>Replace placeholders with real DB values.</t>
        </is>
      </c>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inlineStr">
        <is>
          <t>2026-05-25T01:18:59</t>
        </is>
      </c>
      <c r="AI21" s="11" t="n">
        <v>200</v>
      </c>
      <c r="AJ21" s="11" t="b">
        <v>1</v>
      </c>
      <c r="AK21" s="11" t="n">
        <v>873322.65</v>
      </c>
      <c r="AL21" s="11" t="n">
        <v>873350.96</v>
      </c>
      <c r="AM21" s="11" t="n"/>
      <c r="AN21" s="11" t="n">
        <v>873349.66</v>
      </c>
      <c r="AO21" s="11" t="inlineStr">
        <is>
          <t>get_course_by_code, get_offerings</t>
        </is>
      </c>
      <c r="AP21" s="11" t="n">
        <v>0</v>
      </c>
      <c r="AQ21" s="11" t="inlineStr">
        <is>
          <t>Found 1258 result(s):
- 2 Démonstrations (Situs) / 2 Demonstrationen (Situs) (UE-SMO.03002)
- A1.1 Deutsch als Fremdsprache (UE-I01.00066)
- A1.1: Français langue étrangère (UE-I01.00207)
- A1.1 Italiano per principianti I (gruppo A) (UE-I02.00093)
- A1.1 Italiano per principianti I (gruppo B) (UE-I05.00003)
- A1.2 Deutsch als Fremdsprache (UE-I04.00049)
- A1.2 Français langue étrangère I (UE-I01.00048)
- A2.1 Deutsch als Fremdsprache (UE-I01.00068)
- A2.2 Deutsch als Fremdsprache (UE-I04.00079)
- A2-B1 Deutsch als Fremdsprache - Konversationskurs (UE-I04.00055)
- A2-B1 English Conversation (UE-I04.00039)
- A2 Français langue étrangère: Compétences écrites et orales I (UE-I04.00004)
- A2 Français langue étrangère: conversation orale I (UE-I04.00089)
- A2 Français langue étrangère: Grammaire (à l'écrit et à l'oral) I (UE-I01.00231)
- A2 Preparing for Academic English: Integrated Skills (UE-I04.00043)
- Advanced bioinformatics and genomics (UE-SBC.07005)
- Advanced English Programme (BAS1); Year One-Part One (UE-L06.01096)
- Advanced English Programme (BAS1); Year Two-Part One (UE-L06.01098)
- Advanced Group Accounting (UE-EGE.00068)
- Advanced Managerial Accounting (UE-EGE.00162)
- Advanced marine biology practical course (UE-SBL.10009)
- Advanced Microeconomics (UE-EEP.00495)
- "Advanced skills I + II" Klinisch-psychologische Interventionsverfahren (UE-L25.00876)
- Advanced software engineering (UE-SIN.07602)
- Advanced statistical methods (UE-L25.01477)
- Advanced Strategic Management Seminar (UE-EGE.00501)
- Advanced Topics in Data Analytics and Machine Learning (UE-EEP.00517)
- Aide, assistance et pratiques relationnelles (UE-L20.00341)
- Aktuelle Arbeiten im Bereich der Sprachlehrforschung [Masterseminar 4] (UE-L09.00705)
- Algebra (Vorlesung mit Übungen) (UE-SMA.02241)
- Algèbre linéaire I (cours avec exercices) (UE-SMA.01203)
- Algèbre linéaire propédeutique (cours avec exercices) (UE-SMA.00202)
- Algèbres de Lie / Lie algebras (UE-SMA.03250)
- Algèbres de Lie / Lie algebras (UE-SMA.04250)
- Algorithmics (UE-SIN.03023)
- Allgemeine Didaktik I, Grundformen des Lehrens und Lernens (UE-F24.00300)
- Allgemeine Einführung in die Ethik I (UE-I08.00001)
- Allgemeine Einführung in die Ethik I (Ethique+) (UE-I08.00015)
- Alte Kirchengeschichte. Einführung in die Geschichte der Alten Kirche (1.-3. Jh.). Hauptvorlesung (UE-TTH.01621)
- Alte Kirchengeschichte und Patristik. Texte, Themen und Autoren. Proseminar (UE-TTH.01694)
- Ältere deutschsprachige Literatur: Parzival (GM) (UE-L03.00726)
- Alte Sprache. Griechisch I Vertiefung. Sprachkurs (UE-TTH.01828)
- Alte Sprache. Hebräisch. Biblisches Hebräisch I (Lektüre). Sprachkurs. (UE-TTH.01215)
- Alte Sprache. Hebräisch. Biblisches Hebräisch I. Sprachkurs (UE-TTH.01744)
- Alte Sprache. Hebräisch. Biblisches Hebräisch I (Vertiefung). Sprachkurs (UE-TTH.01745)
- Alte Sprache. Latein I (Vertiefung). Sprachkurs (UE-TTH.01824)
- Altes Testament. Biblische Umwelt. Ancien Testament. Milieu biblique. Einführung in die Themen der Sammlung Bibel + Orient: Materielle Religion in den Kulturen des Alten Orients. Introduction dans les thèmes des collections Bible + Orient : La religion matérielle dans les cultures de l'Orient ancien. Spezialvorlesung. Cours complémentaire. (UE-TTH.01752)
- Altes Testament. Einführung in das Alte Testament II: Die Bücher der Geschichte. Hauptvorlesung (UE-TTH.01733)
- Altes Testament. Einführung in das Alte Testament I. Pentateuch. Hauptvorlesung (nicht für Studienanfänger – Zusatzlehrveranstaltung) (UE-TTH.01732)
- Altes Testament. Exegese AT: Beziehungen und Interaktionen in alttestamentlichen Erzählungen: Richterbuch und Buch Rut. Hauptvorlesung (UE-TTH.01557)
- Analyse III (cours avec exercices) (UE-SMA.02131)
- Analyse musicale post-1900 : Presse et musique (XIXe-XXe siècles). Jalons historiques, théorie, analyse (UE-L18.00370)
- Analyse propédeutique I (cours avec exercices) (UE-SMA.00103)
- Analyse spatiale et statistique descriptive / Räumliche und deskriptive Statistik (UE-SGG.02101)
- Analyse von Lehrwerken und Lernmaterialien [Masterseminar 2: Didaktische Grundlagen] (UE-L09.00694)
- Analysis I (Vorlesung mit Übungen) (UE-SMA.01103)
- Analytical chemistry II (lectures) (UE-SCH.04252)
- Analytical chemistry I (lecture) (UE-SCH.04251)
- Anatomie descriptive / Deskriptive Anatomie (UE-SMO.00630)
- Anatomie fonctionnelle des systèmes du corps humain / Funktionelle Anatomie der menschlichen Körpersysteme (UE-SMO.00007)
- Anatomie macroscopique : démonstrations / Makroskopische Anatomie: Demonstrationen (UE-SMO.03202)
- Anatomie (travaux pratiques) / Anatomie (Praktikum) (UE-SMH.03303)
- Ancien Testament. Introduction à l'Ancien Testament: Livres historiques. Cours principal (UE-TTH.01731)
- Angststörungen (UE-L25.01035)
- Anhörung des Kindes in familienrechtlichen Verfahren: psychologische und juristische Aspekte (UE-L26.00008)
- Anthropologie de l'éducation (UE-F23.00008)
- Application des connaissances scientifiques aux sports de neige (séminaire) / Anwendung der wissenschaftlichen Kenntnisse in Schneesportarten (Seminar) (UE-SSM.04003)
- Application des connaissances scientifiques en escalade sportive Indoor (UE-SSP.04005)
- Application of scientific knowledge in health and APA, part I (UE-SSP.04006)
- Apprentissage, mémoire et motivation (UE-F23.00007)
- Approche systémique du jeu (UE-SSP.00780)
- Approche théorique des sports de neige (UE-SSP.00789)
- Architecture d'ordinateur / Computerarchitektur (UE-SIN.01022)
- Aspects théoriques de physique fondamentale I / Theoretische Aspekte der Fundamentalphysik I (UE-SPH.01301)
- Atelier de mémoire (UE-L02.00928)
- Atelier de recherche en histoire médiévale / Forschungskolloquium in mittelalterlicher Geschichte (UE-L14.02377)
- Atelier de recherche Histoire de l'Antiquité (UE-L14.02351)
- Atelier de recherche Histoire moderne (UE-L14.02396)
- Athlétisme I / Leichathletik I (UE-SSP.00831)
- Atmosphärenwissenschaften (UE-SGG.02301)
- Auto-apprentissage Hérodote (UE-I04.00147)
- Automata on infinite structures (UE-SIN.08502)
- B1.1 Deutsch als Fremdsprache (UE-I04.00080)
- B1-B2 English Foundations: Academic Vocabulary and Grammar (UE-I04.00116)
- B1-B2 Français langue étrangère Prononciation I (en ligne) (UE-I04.00119)
- B1+-B2 Speaking Skills in English: topic-based practice for oral competence and confidence in academic settings (UE-I04.00106)
- B1 Deutsch als Fremdsprache - Grammatik vertiefen und anwenden (UE-I04.00081)
- B1 Français langue étrangère : À vos marques, prêt.e.s…. à la conversation I ! (UE-I04.00064)
- B1 Français langue étrangère: Grammaire (à l'écrit et à l'oral) I - Groupe A (UE-I01.00268)
- B1 Français langue étrangère : Grammaire (à l'écrit et à l'oral) I - Groupe B (cours en ligne) (UE-I04.00030)
- B1 Français langue étrangère - Langue en contexte suisse I (UE-I04.00123)
- B1 Français langue étrangère: Se préparer au DELF B1 (UE-I04.00091)
- B1 Français langue étrangère: s'exercer à l'écrit et à l'oral I (UE-I04.00022)
- B1 Introducing Academic English: Integrated Skills (UE-I04.00045)
- B1 Italiano per medi I (UE-I02.00087)
- B2B Marketing (UE-EGE.00448)
- B2-C1 Academic English for Master's Students: Presentation, discussion and team-working skills (UE-I04.00012)
- B2-C1 Deutsch als Fremdsprache - Erfolgreich auftreten und präsentieren (UE-I04.00053)
- B2-C1 Deutsch als Fremdsprache - Konversationskurs (UE-I04.00059)
- B2-C1 Deutsch mit MINT-Inhalten (UE-I04.00122)
- B2-C1 English Conversation (UE-I04.00093)
- B2-C1 English Conversation (UE-I04.00136)
- B2-C1 Français langue étrangère: Débattre à l'oral I (UE-I04.00073)
- B2-C1 Français langue étrangère: Orthographe et vocabulaire I (UE-I04.00139)
- B2+-C1 Study, Work &amp; Life: Focus on oral-communication tasks in Academic English (UE-I04.00104)
- B2-C1 Writing &amp; Grammar Skills: Revision for English Academic Texts (Blended Course) (UE-I01.00120)
- B2-C2 Cambridge English Exam Preparation: B2 First and/or C1 Advanced and/or C2 Proficiency (Blended Course) (UE-I04.00130)
- B2-C2 Deutsch als Fremdsprache - Schweizerdeutsch verstehen I (UE-I01.00127)
- B2-C2 FLE-DAF: Travailler le bilinguisme à travers le cinéma/Zweisprachig mit und durch Film (UE-I04.00009)
- B2-C2 Français langue étrangère : Atelier d'écriture I (UE-I04.00140)
- B2-C2 Français langue étrangère : Renforcement grammatical I (UE-I01.00270)
- B2 Deutsch als Fremdsprache: Fit fürs Studium - Lesen und Schreiben (UE-I01.00283)
- B2 Deutsch als Fremdsprache - Grammatik vertiefen und anwenden (UE-I01.00292)
- B2 Deutsch als Fremdsprache: heute! (UE-I04.00141)
- B2 Français langue étrangère: En forme pour les études en français II (LIRE-ÉCRIRE) (UE-I01.00272)
- B2 Français langue étrangère: En forme pour les études en français I (PARLER-ÉCOUTER) (UE-I01.00235)
- B2 Improving Academic English: Integrated Skills (UE-I04.00115)
- Bachelorarbeit (UE-L25.00133)
- Bachelor-Arbeit Politikwissenschaft (UE-L41.00571)
- Bachelor-Kolloquium (UE-L41.00572)
- Bachelorkolloquium und Experimentelle Selbsterfahrung (UE-L25.01028)
- BA-C: Introduction à l'anthropologie sociale (UE-L20.00393)
- Back to work?! Insights into occupational rehabilitation psychology (UE-L25.01228)
- BA-Colloque Anthropologie sociale (UE-L37.01480)
- Badminton (UE-SSP.00800)
- BA-Kolloquium Religionswissenschaft, inkl. Verteidigung (UE-L37.01182)
- BA-Kolloquium Sozialanthropologie (UE-L37.01482)
- BA/MA-C Anthropologie des systèmes scolaires à l’ère de l’inclusion : pouvoirs, catégories et normes (UE-L37.01502)
- BA/MA-SE Infrastrukturen erforschen: Anthropologische Perspektiven auf Orte der erneuerbaren Energieproduktion (UE-L37.01489)
- BA_MA Seminararbeit Block Religion, Macht, Wissen – Religion, pouvoir, savoir (UE-L37.01551)
- BA/MA-Seminar: Falke, Herz und Linde. Symbole zwischen Bedeuten und Erzählen (GM - komparatistischer Schwerpunkt) (UE-L03.00730)
- BA/MA-Seminar: Frauendienst und Gottesdienst. Die Kreuzzüge in der deutschsprachigen Lyrik des Mittelaters (GM - didaktischer Schwerpunkt) (UE-L03.00727)
- BA/MA-SE Transnational Relations of Care: Ukraine and beyond (UE-L37.01484)
- BA/MA-VL Einführung in die Wirtschaftsanthropologie (UE-L37.01486)
- BA/MA-Vorlesung polnische Literatur: Polen 1990-2026 – Literatur, Film, Alltagskultur / Cours magistral BA/MA littérature polonaise: La Pologne 1990-2026 – littérature, cinéma, culture du quotidien (Fribourg) (UE-L41.00521)
- BA-Proseminar: Einführung in die Religionswissenschaft (UE-L20.00441)
- BA-SE Anthropologie de la guerre (UE-L37.01497)
- BA-SE Anthropologie urbaine (UE-L37.01158)
- BA-SE In 14 Wochen durch die Sozialanthropologie (UE-L37.01302)
- BA-SE Körperlichkeit (UE-L37.01487)
- BA-Séminaire: Aux limites de la philosophie. La voie mystique dans la pensée médiévale, de Maître Eckhart à Jean Gerson (pme) (UE-L01.02884)
- BA-Séminaire: Égalité (epp) (UE-L01.02855)
- BA-Séminaire: L’expression créatrice. Esthétique et philosophie du langage (ars, leh) (UE-L01.02867)
- BA-Séminaire/MA-Séminaire: Lecture de textes philosophiques latins/Lektüre philosophischer Texte in lateinischer Sprache (pme) (UE-L01.02886)
- BA-Seminar: Ansätze der Kulturvermittlung (UE-L09.00488)
- BA-Seminar: Bairisch und Alemannisch im Dialektvergleich (GL) (UE-L03.00720)
- BA-Seminar: Cicero: De Officiis (Über die Pflichten) (pan, leh, eme) (UE-L01.02861)
- BA-Seminar: Der Zweite Weltkrieg in Europa: Okkupation, Kollaboration, Widerstand (UE-L15.02413)
- BA-Seminar: Die Indianerin und der Kolonisator. Geschlecht und Ethnie in der Literatur der Aufklärung (NdL) (UE-L03.00738)
- BA-Seminar Einführung in die literaturwissenschaftliche Slavistik / Séminaire BA : introduction aux études littéraires slaves (Fribourg) (UE-L41.00525)
- BA-Seminar: Linguistische Grundlagen Deutsch als Fremdsprache I (UE-L09.00657)
- BA-Seminar: Lyrikerinnen des 20. Jahrhunderts (NdL) (UE-L03.00736)
- BA-Seminar russische Literatur: Die Kosaken in der russischen Literatur und Kultur / Séminaire BA littérature russe: Les cosaques dans la littérature et culture russes (Fribourg) (UE-L41.00526)
- BA-Seminar: Sound of protest – Lärm, Lieder und Sprechchöre in Widerstandskulturen (UE-L15.02409)
- BA-Seminar: Texte der arabischen Philosophie (pme, eme) (UE-L01.02849)
- BA-Seminar: Textkompetenz - Fachtexte verarbeiten und nutzen (UE-L09.00659)
- Bases de bactériologie (UE-SBL.00063)
- Bases morphologiques et fonctionnelles – Systèmes Ia / Morphologische und funktionelle Grundlagen – Systeme Ia (UE-SME.01202)
- Bases neurophysiologiques (UE-SPY.00623)
- Basic bioinformatics and genomics (UE-SBC.07004)
- Basic knowledge upgrading (UE-SME.07010)
- Basketball I (UE-SSP.00801)
- BA-Sprachkurs I: DaF für Lehrpersonen (UE-L09.00660)
- BA-Sprachkurs III: DaF für Lehrpersonen (UE-L09.00661)
- BA-VL: Einführung in die Religionswissenschaft (UE-L20.00463)
- BA-VL Einführung in die Sozialanthropologie (UE-L20.00390)
- BA-Vorlesung: Der Islam. Einführung in Geschichte und Gegenwart (UE-L20.00473)
- BA-Vorlesung: Die Schweiz zur Zeit des Nationalsozialismus (UE-L15.02400)
- BA-Vorlesung Einführung in die russische Literatur: Epochen, Themen, Strukturen / Cours magistral BA : Introduction à la littérature russe : époques, thèmes, structures (Fribourg) (UE-L41.00520)
- BA-Vorlesung: Frieden schliessen – Frieden gestalten. Friedensschlüsse im 19. und 20. Jahrhundert (UE-L15.02399)
- Behavioral Economics (UE-EEP.00354)
- Behavioural methods in neuroscience (UE-SME.07301)
- BENEFRI workshop "Frontiers in neurosciences" (UE-SBL.00118)
- Berufspraktikum (UE-L41.00570)
- Berufspraktikum 1 (UE-F24.00738)
- Berufspraktikum 2 mit Lehrprobe (UE-F24.00743)
- Berufspraktikum Spezial Schulkontext (UE-F24.01037)
- Bewegungswissenschaften (Seminar) (UE-SSP.02002)
- Big data infrastructures (UE-SIN.07612)
- Biochimie générale / Allgemeine Biochemie (UE-SBC.00114)
- Biochimie (travaux pratiques) / Biochemie (Praktikum) (UE-SBC.03303)
- Bioinformatics (practical course, in silico) (UE-SBI.07107)
- Biologie de la cellule / Zellbiologie (UE-SBL.01501)
- Biologie des organismes I: Vertébrés (UE-SBL.00040)
- Biologie générale I (cours) / Allgemeine Biologie I (Vorlesung) (UE-SBL.00001)
- Biologie générale I (travaux pratiques) / Allgemeine Biologie I (Praktikum) (UE-SBL.00003)
- Biologie moléculaire / Molekularbiologie (UE-SBL.00014)
- Biomécanique (séminaire) / Biomechanik (Seminar) (UE-SSP.02006)
- Biophysical chemistry (lecture) (UE-SCH.04421)
- Biostatistics II - multivariate analysis (UE-SBL.20002)
- Biostatistique avancée et épidémiologie / Fortgeschrittene Biostatistik und Epidemiologie (UE-SME.06320)
- Block BA/MA: Religion, Macht, Wissen – Religion, pouvoir, savoir (UE-L37.01517)
- Block, BA-SE Anthropologie visuelle des religions en Suisse I / Visuelle Anthropologie der Religionen in der Schweiz I (UE-L37.01516)
- Business and Human Rights (UE-EEP.00127)
- C1 Advanced General English (Blended Course) (UE-I04.00131)
- C1-C2 : Français sur objectifs académiques I (UE-I01.00236)
- C1-C2 One Step Beyond: Expanding Academic English (UE-I01.00011)
- C1 Deutsch als Fremdsprache: hier! (UE-I04.00125)
- C1 Italiano - Esercitazioni scritte (UE-I02.00096)
- Calcul stochastique (UE-SMA.03311)
- Calcul stochastique (UE-SMA.04311)
- Canaux ioniques: fonctions et dysfonctions (UE-SBL.00064)
- Cancer/inflammation research journal club (UE-SME.07214)
- Cartes et profils I (travaux pratiques) / Karten und Profile I (Praktikum) (UE-SST.00224)
- Cases in Accounting (UE-EGE.00474)
- Case studies in international strategy (UE-EGE.00101)
- Cell fate and tissue regeneration (UE-SBL.00414)
- Cellular immunology: theory and practice (UE-SME.07201)
- Central nervous system regeneration and repair (UE-SME.07300)
- Chapitres choisis en modélisation (UE-SMA.03556)
- Chapitres choisis en modélisation (UE-SMA.04556)
- Chimie générale (avec exercices) / Allgemeine Chemie (mit Übungen) (UE-SCH.01014)
- Cla Biert, Hendri Spescha ed Andri Peer – prosa, poesia e gieus auditivs (UE-L09.00747)
- Climate change: state of the art and debates (UE-SGG.00426)
- Coeur et Circulation: physiopathologie et bases cliniques / Herz und Kreislauf: Pathophysiologie und Klinische Grundlagen (UE-SMH.05207)
- Colloque avec ASDOURIAN Bruno (UE-EKM.01128)
- Colloque avec FEDDERSEN Alexandra (UE-EKM.01026)
- Colloque avec ILLIA Laura (UE-EKM.01122)
- Colloque avec ROHRBACH Tobias (UE-EKM.01483)
- Colloque avec VAN HOVE Florence (UE-EKM.01185)
- Colloque avec VON PAPE Thilo (UE-EKM.01311)
- Colloque de Bachelor et formation personnelle à la recherche expérimentale (UE-L25.01029)
- Colloque de géosciences / Kolloquien der Geowissenschaften / Conferences in geosciences (UE-SST.00324)
- Colloque de recherche en langue et littérature médiévales et Atelier de mémoire (UE-L02.01130)
- Colloque de recherche en sciences de l’éducation (UE-F23.00027)
- Colloque de stage (UE-L25.01026)
- Colloque / Kolloquium / Colloquia (UE-SPH.04004)
- Colloque MA Sociologie 1 (UE-L37.00251)
- Colloque: Travail de Bachelor sociologie 1 (UE-L20.00383)
- Colloquio con ILLIA Laura (UE-EKM.01226)
- Colloquio di ricerca (UE-L04.00557)
- Colloquium Research Methodology and Data Analysis: Data Analysis Part (UE-EGE.00451)
- Colloquium Research Methodology and Data Analysis: Research Methodology Part (UE-EGE.00450)
- Colloquium with BLASSNIG Sina (UE-EKM.01461)
- Colloquium with FEDDERSEN Alexandra (UE-EKM.01208)
- Colloquium with ILLIA Laura (UE-EKM.01187)
- Colloquium with INGENHOFF Diana (UE-EKM.01231)
- Colloquium with ROHRBACH Tobias (UE-EKM.01427)
- Communication Strategies &amp; Science Communication (UE-EKM.01536)
- Compétences cliniques I / Klinische Kompetenzen I (UE-SMH.05402)
- Compétences documentaires en économie 1 (UE-EDK.00951)
- Compétences numériques dans l’enseignement (UE-SSM.03016)
- Compétences sociales (UE-L25.02177)
- Comportement moteur selon les catégories d'individus (UE-SSP.01010)
- Computing with words (UE-SIN.07623)
- Contrôle de processus / Prozesssteuerung (UE-SIN.04028)
- Corporate Social Responsibility and Social Impact (UE-EKM.00989)
- Corso monografico di Letteratura teatrale rinascimentale: "Le origini del teatro moderno in Italia" (UE-L04.00622)
- Corso monografico di Letteratura umanistico-rinascimentale: "Translatio studiorum: l'Umanesimo italiano al di là delle Alpi" (UE-L04.00624)
- Cours avancé. La diffusion de l'écriture dans la société romaine : le cas de la documentation de Pompéi (UE-L14.02349)
- Cours BA : Archives d'entreprises et Histoire XVIIIe-XXIe siècles (UE-L15.02381)
- Cours BA: Historiographie de l'époque contemporaine (UE-L15.01261)
- Cours BA: Introduction à l’histoire du XXe siècle I (1900-1945) (UE-L15.01102)
- Cours BA/MA : Didactique du Français langue étrangère (UE-L09.00634)
- Cours BA : Relations culturelles internationales de la Suisse (UE-L15.02373)
- Cours (base). Les éléments constitutifs de la civilisation romaine (époque républicaine) (UE-L14.02348)
- Cours de base des sciences de l'environnement: Ecologie / Grundkurs Umweltwissenschaften: Ökologie (UE-SSE.00101)
- Cours de base des sciences de l'environnement: Economie et droit de l'environnement / Grundkurs Umweltwissenschaften: Umweltökonomie und -Recht (UE-SSE.00102)
- Cours II : Familles et parcours de vie : une approche sociologique (UE-L37.01530)
- Cours: Introduction à la littérature de l'Antiquité tardive (UE-L08.00501)
- Cours: Introduction à la philologie classique / Vorlesung : Einführung in die Klassische Philologie (UE-L08.00254)
- Cours Introduction à la sociologie (UE-L20.00422)
- Cours. Introduction à une histoire mondiale du Moyen Âge (UE-L14.02373)
- Cours: La philosophie par les astres. La révolution aérospatiale et ses conséquences (ars, pmc) (UE-L01.02865)
- Cours: La philosophie par les astres. La révolution aérospatiale et ses conséquences (ars, pmc) (UE-L01.02866)
- Cours. La science moderne, XVIe-XVIIIe siècles (UE-L14.02392)
- Cours: L’homme comme personne (pme, eme, leh) (UE-L01.02847)
- Cours: L’homme comme personne (pme, eme, leh) (UE-L01.02848)
- Cours MA : Gaza, une histoire dans la longue durée (UE-L15.02382)
- Cours MA : Les étudiant.es au XXe siècle : formations, cultures, engagements (UE-L15.02371)
- Cours Méthodes audiovisuelles : la vidéo pour étudier le social (UE-L20.00372)
- Cours. Migrations et diasporas en Europe et outre-mer (XVIIe-XIXe s.) (UE-L14.02403)
- Cours – Poésie animée: lectures de Catulle, Lucrèce, Ovide (UE-L08.00700)
- Cours Stratification (UE-L20.00374)
- Cours thématique : Chanter en français au XVIe siècle (UE-L18.00512)
- Cours Travail (UE-L20.00425)
- Cours/ Vorlesung : Histoire de la littérature grecque (UE-L08.00568)
- Criminal Psychology (UE-L25.01039)
- Critical reading (UE-SBL.20005)
- Cryosphère (cours) / Kryosphäre (Vorlesung) (UE-SGG.03301)
- Cultures numériques (UE-EKM.01578)
- Cuors pratic da romontsch sursilvan 1 (UE-L09.00309)
- Current topics in digital neuroscience (UE-SDN.00003)
- Cybernetic Systems: Bridging Brains, Machines and society (UE-SDN.00006)
- Cycles de la vie / Der Lebenszyklus (UE-SMH.07005)
- Danse populaire I (UE-SSP.00819)
- Data analysis and statistics with the R programming language (UE-SME.07700)
- Data analysis with Python - applied to astrophysics (UE-SPH.04742)
- Data analytics in Python (UE-SDN.00007)
- Databases (UE-SIN.03024)
- De la physiopathologie à la maladie / Von der Pathophysiologie zur Krankheit (UE-SMH.07003)
- Democracy, media, and technology (UE-EKM.00957)
- Demography, Immigration and Labor Markets (UE-EEP.00131)
- Der Altersfaktor beim Spracherwerb (UE-L09.00681)
- Des politiques de santé publique aux pratiques d'intervention (UE-L20.00356)
- Developing an Innovation Strategy (UE-EGE.00473)
- Développement normal et pathologique des fonctions exécutives (UE-L25.00922)
- Didactique du français sur objectifs spécifiques (FOS) (UE-L09.00636)
- Didactique Français langue étrangère - Bachelor (UE-F24.00752)
- Die rätoromanische Minderheit in der vielsprachigen Schweiz (UE-L09.00450)
... 958 more result(s) not shown. Add filters to narrow the list.</t>
        </is>
      </c>
      <c r="AR21" s="11" t="n"/>
    </row>
    <row r="22">
      <c r="A22" s="11" t="n">
        <v>21</v>
      </c>
      <c r="B22" s="11" t="inlineStr">
        <is>
          <t>schedule_datetime</t>
        </is>
      </c>
      <c r="C22" s="11" t="inlineStr">
        <is>
          <t>medium</t>
        </is>
      </c>
      <c r="D22" s="11" t="inlineStr">
        <is>
          <t>EN</t>
        </is>
      </c>
      <c r="E22" s="11" t="inlineStr">
        <is>
          <t>Which courses in FS-2026 happen on Monday?</t>
        </is>
      </c>
      <c r="F22" s="11" t="inlineStr">
        <is>
          <t>Exact schedule/evaluation information or explicit not available.</t>
        </is>
      </c>
      <c r="G22" s="11" t="inlineStr">
        <is>
          <t>DB</t>
        </is>
      </c>
      <c r="H22" s="11" t="inlineStr">
        <is>
          <t>API /planner or /courses/:code/offerings</t>
        </is>
      </c>
      <c r="I22" s="11" t="inlineStr">
        <is>
          <t>CourseOffering, Session, Evaluation</t>
        </is>
      </c>
      <c r="J22" s="11" t="inlineStr">
        <is>
          <t>course list</t>
        </is>
      </c>
      <c r="K22" s="11" t="inlineStr">
        <is>
          <t>Replace placeholders with real DB values.</t>
        </is>
      </c>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inlineStr">
        <is>
          <t>2026-05-25T01:18:59</t>
        </is>
      </c>
      <c r="AI22" s="11" t="n">
        <v>200</v>
      </c>
      <c r="AJ22" s="11" t="b">
        <v>1</v>
      </c>
      <c r="AK22" s="11" t="n">
        <v>34.22</v>
      </c>
      <c r="AL22" s="11" t="n">
        <v>25.31</v>
      </c>
      <c r="AM22" s="11" t="n"/>
      <c r="AN22" s="11" t="n">
        <v>24.32</v>
      </c>
      <c r="AO22" s="11" t="inlineStr">
        <is>
          <t>get_program_courses_by_metadata</t>
        </is>
      </c>
      <c r="AP22" s="11" t="n">
        <v>0</v>
      </c>
      <c r="AQ22" s="11" t="inlineStr">
        <is>
          <t>get_program_courses_by_metadata: no matching results found.</t>
        </is>
      </c>
      <c r="AR22" s="11" t="n"/>
    </row>
    <row r="23">
      <c r="A23" s="11" t="n">
        <v>22</v>
      </c>
      <c r="B23" s="11" t="inlineStr">
        <is>
          <t>schedule_datetime</t>
        </is>
      </c>
      <c r="C23" s="11" t="inlineStr">
        <is>
          <t>medium</t>
        </is>
      </c>
      <c r="D23" s="11" t="inlineStr">
        <is>
          <t>EN</t>
        </is>
      </c>
      <c r="E23" s="11" t="inlineStr">
        <is>
          <t>Which courses in HS-2026 have a time conflict with UE-L26.00013?</t>
        </is>
      </c>
      <c r="F23" s="11" t="inlineStr">
        <is>
          <t>Exact schedule/evaluation information or explicit not available.</t>
        </is>
      </c>
      <c r="G23" s="11" t="inlineStr">
        <is>
          <t>DB</t>
        </is>
      </c>
      <c r="H23" s="11" t="inlineStr">
        <is>
          <t>API /planner or /courses/:code/offerings</t>
        </is>
      </c>
      <c r="I23" s="11" t="inlineStr">
        <is>
          <t>CourseOffering, Session, Evaluation</t>
        </is>
      </c>
      <c r="J23" s="11" t="inlineStr">
        <is>
          <t>conflicting sessions</t>
        </is>
      </c>
      <c r="K23" s="11" t="inlineStr">
        <is>
          <t>Replace placeholders with real DB values.</t>
        </is>
      </c>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inlineStr">
        <is>
          <t>2026-05-25T01:18:59</t>
        </is>
      </c>
      <c r="AI23" s="11" t="n">
        <v>200</v>
      </c>
      <c r="AJ23" s="11" t="b">
        <v>1</v>
      </c>
      <c r="AK23" s="11" t="n">
        <v>613587.1899999999</v>
      </c>
      <c r="AL23" s="11" t="n">
        <v>613613.71</v>
      </c>
      <c r="AM23" s="11" t="n"/>
      <c r="AN23" s="11" t="n">
        <v>613612.9300000001</v>
      </c>
      <c r="AO23" s="11" t="inlineStr">
        <is>
          <t>get_course_by_code</t>
        </is>
      </c>
      <c r="AP23" s="11" t="n">
        <v>8</v>
      </c>
      <c r="AQ23" s="11" t="inlineStr">
        <is>
          <t>I cannot find the requested information in the provided documents. The context does not mention any courses with the code UE-L26.00013, nor is there any information about time conflicts for this course. 
However, I can suggest that you check the course catalog or schedule for the specific semester (HS-2026) to see which courses are offered and their respective schedules.
If you provide more context or clarify what you're looking for, I'll do my best to assist you further.</t>
        </is>
      </c>
      <c r="AR23" s="11" t="n"/>
    </row>
    <row r="24">
      <c r="A24" s="11" t="n">
        <v>23</v>
      </c>
      <c r="B24" s="11" t="inlineStr">
        <is>
          <t>program_structure_filtering</t>
        </is>
      </c>
      <c r="C24" s="11" t="inlineStr">
        <is>
          <t>medium</t>
        </is>
      </c>
      <c r="D24" s="11" t="inlineStr">
        <is>
          <t>EN</t>
        </is>
      </c>
      <c r="E24" s="11" t="inlineStr">
        <is>
          <t>How many ECTS are required for Business Informatics?</t>
        </is>
      </c>
      <c r="F24" s="11" t="inlineStr">
        <is>
          <t>Exact values from DB.</t>
        </is>
      </c>
      <c r="G24" s="11" t="inlineStr">
        <is>
          <t>DB</t>
        </is>
      </c>
      <c r="H24" s="11" t="inlineStr">
        <is>
          <t>API /programs filter</t>
        </is>
      </c>
      <c r="I24" s="11" t="inlineStr">
        <is>
          <t>StudyProgram, consist_of, Course, programDocument</t>
        </is>
      </c>
      <c r="J24" s="11" t="inlineStr">
        <is>
          <t>total ECTS</t>
        </is>
      </c>
      <c r="K24" s="11" t="inlineStr">
        <is>
          <t>Replace placeholders where needed.</t>
        </is>
      </c>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inlineStr">
        <is>
          <t>2026-05-25T01:18:59</t>
        </is>
      </c>
      <c r="AI24" s="11" t="n">
        <v>200</v>
      </c>
      <c r="AJ24" s="11" t="b">
        <v>1</v>
      </c>
      <c r="AK24" s="11" t="n">
        <v>847507.36</v>
      </c>
      <c r="AL24" s="11" t="n">
        <v>847545.96</v>
      </c>
      <c r="AM24" s="11" t="n"/>
      <c r="AN24" s="11" t="n">
        <v>847544.84</v>
      </c>
      <c r="AO24" s="11" t="inlineStr">
        <is>
          <t>get_programs</t>
        </is>
      </c>
      <c r="AP24" s="11" t="n">
        <v>0</v>
      </c>
      <c r="AQ24" s="11" t="inlineStr">
        <is>
          <t>Found 5 result(s):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**Business Informatics** — Master, 30 ECTS, minor, id 7, Faculty of Management, Economics and Social Sciences
- **Business Informatics** — Master, 90 ECTS, major, id 8, Faculty of Management, Economics and Social Sciences</t>
        </is>
      </c>
      <c r="AR24" s="11" t="n"/>
    </row>
    <row r="25">
      <c r="A25" s="11" t="n">
        <v>24</v>
      </c>
      <c r="B25" s="11" t="inlineStr">
        <is>
          <t>program_structure_filtering</t>
        </is>
      </c>
      <c r="C25" s="11" t="inlineStr">
        <is>
          <t>medium</t>
        </is>
      </c>
      <c r="D25" s="11" t="inlineStr">
        <is>
          <t>EN</t>
        </is>
      </c>
      <c r="E25" s="11" t="inlineStr">
        <is>
          <t>When can students start Physics: autumn, spring, or both?</t>
        </is>
      </c>
      <c r="F25" s="11" t="inlineStr">
        <is>
          <t>Exact values from DB.</t>
        </is>
      </c>
      <c r="G25" s="11" t="inlineStr">
        <is>
          <t>DB</t>
        </is>
      </c>
      <c r="H25" s="11" t="inlineStr">
        <is>
          <t>API /programs filter</t>
        </is>
      </c>
      <c r="I25" s="11" t="inlineStr">
        <is>
          <t>StudyProgram, consist_of, Course, programDocument</t>
        </is>
      </c>
      <c r="J25" s="11" t="inlineStr">
        <is>
          <t>study_start</t>
        </is>
      </c>
      <c r="K25" s="11" t="inlineStr">
        <is>
          <t>Replace placeholders where needed.</t>
        </is>
      </c>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inlineStr">
        <is>
          <t>2026-05-25T01:18:59</t>
        </is>
      </c>
      <c r="AI25" s="11" t="n">
        <v>200</v>
      </c>
      <c r="AJ25" s="11" t="b">
        <v>1</v>
      </c>
      <c r="AK25" s="11" t="n">
        <v>235567.19</v>
      </c>
      <c r="AL25" s="11" t="n">
        <v>235571.93</v>
      </c>
      <c r="AM25" s="11" t="n"/>
      <c r="AN25" s="11" t="n">
        <v>235571.12</v>
      </c>
      <c r="AO25" s="11" t="inlineStr">
        <is>
          <t>get_programs, get_courses</t>
        </is>
      </c>
      <c r="AP25" s="11" t="n">
        <v>0</v>
      </c>
      <c r="AQ25" s="11" t="inlineStr">
        <is>
          <t>Found 6 result(s):
- **Physics** — Bachelor, 30 ECTS, minor, id 54, Faculty of Science and Medicine
- **Physics** — Bachelor, 60 ECTS, minor, id 55, Faculty of Science and Medicine
- **Physics** — Bachelor, 150 ECTS, major, id 56, Faculty of Science and Medicine
- **Physics** — Doctorate, id 26, Faculty of Science and Medicine
- **Physics** — Master, 30 ECTS, minor, id 27, Faculty of Science and Medicine
- **Physics** — Master, 90 ECTS, major, id 28, Faculty of Science and Medicine
Found 46 result(s):
- Physique propédeutique I pour sciences biomédicales (travaux pratiques) / Propädeutische Physik I für biomedizinische Wissenschaften (Praktikum) / Introductory physics I for biomedical sciences (practical course) (UE-SPH.01013, 1 ECTS, Faculty of Science and Medicine)
- Physique propédeutique II pour sciences biomédicales (travaux pratiques) / Propädeutische Physik II für biomedizinische Wissenschaften (Praktikum) / Introductory physics II for biomedical sciences (practical course) (UE-SPH.01014, 1 ECTS, Faculty of Science and Medicine)
- Physique A (Travaux pratiques pour avancés) / Physik A (Fortgeschrittenenpraktikum) / Physics A (advanced undergraduate practical course) (UE-SPH.02001, 4 ECTS, Faculty of Science and Medicine)
- Physique P (travaux pratiques pour avancés) / Physik P (Fortgeschrittenenpraktikum) / Physics P (advanced undergraduate practical course) (UE-SPH.02002, 4 ECTS, Faculty of Science and Medicine)
- Physique 3H A (travaux pratiques pour avancés) / Physik 3H A (Fortgeschrittenenpraktikum) / Physics 3H A (advanced undergraduate practical course) (UE-SPH.02003, 3 ECTS, Faculty of Science and Medicine)
- Physique 2E P (travaux pratiques pour avancés) / Physik 2E P (Fortgeschrittenenpraktikum) / Physics 2E P (advanced undergraduate practical course) (UE-SPH.02004, 2 ECTS, Faculty of Science and Medicine)
- Physique 3E P (Travaux pratiques pour avancés) / Physik 3E P (Fortgeschrittenenpraktikum) / Physics 3E P (Advanced undergraduate practical course) (UE-SPH.02006, 3 ECTS, Faculty of Science and Medicine)
- Physique 2H A (Travaux pratiques pour avancés) / Physik 2H A (Fortgeschrittenenpraktikum) / Physics 2H A (Advanced undergraduate practical course) (UE-SPH.02007, 2 ECTS, Faculty of Science and Medicine)
- Modern physics (lecture and exercises) (UE-SPH.02101, 7 ECTS, Faculty of Science and Medicine)
- Introduction à la physique des particules et à la physique nucléaire (cours et exercices) / Einführung in die Teilchen- und Kernphysik (Vorlesung und Übungen) / Introduction to particle and nuclear physics (lecture and exercises) (UE-SPH.02203, 3.5 ECTS, Faculty of Science and Medicine)
- Mathematische Methoden der Physik (Vorlesung und Übungen) / Mathematical methods of physics (lecture and exercises) (UE-SPH.02801, 7 ECTS, Faculty of Science and Medicine)
- Proséminaire / Proseminar / Student colloquia (UE-SPH.03003, 1 ECTS, Faculty of Science and Medicine)
- Proséminaire / Proseminar / Student colloquia (UE-SPH.03004, 1 ECTS, Faculty of Science and Medicine)
- Physique A (travaux pratiques pour avancés) / Physik A (Fortgeschrittenenpraktikum) / Physics A (advanced undergraduate practical course) (UE-SPH.03007, 4 ECTS, Faculty of Science and Medicine)
- Initiation à la recherche / Einführung in die Forschung / Introduction to scientific research (UE-SPH.03008, 6 ECTS, Faculty of Science and Medicine)
- Physique atomique (cours et exercices) / Atomic physics (lecture and exercises) (UE-SPH.03104, 3.5 ECTS, Faculty of Science and Medicine)
- Particle physics (lecture and exercises) (UE-SPH.03105, 3.5 ECTS, Faculty of Science and Medicine)
- Méthodes numériques de la physique (cours et exercices) / Numerical methods of physics (lecture and exercises) (UE-SPH.03106, 3.5 ECTS, Faculty of Science and Medicine)
- Mécanique statistique (cours et exercices) / Statistical mechanics (lecture and exercises) (UE-SPH.03505, 3.5 ECTS, Faculty of Science and Medicine)
- Relativitätstheorie und Kosmologie / Relativity and Cosmology (UE-SPH.03506, 3 ECTS, Faculty of Science and Medicine)
- Solid state physics (lecture and exercises) (UE-SPH.03601, 7 ECTS, Faculty of Science and Medicine)
- Project (UE-SPH.04003, 5 ECTS, Faculty of Science and Medicine)
- Colloque / Kolloquium / Colloquia (UE-SPH.04004, 0.5 ECTS, Faculty of Science and Medicine)
- Proséminaires / Proseminare / Proseminars (UE-SPH.04007, 1 ECTS, Faculty of Science and Medicine)
- Colloque / Kolloquium / Colloquia (UE-SPH.04008, 0.5 ECTS, Faculty of Science and Medicine)
- Proséminaires / Proseminare / Proseminars (UE-SPH.04009, 1 ECTS, Faculty of Science and Medicine)
- Présentation de projets / Projekt Vortrag / Project presentations (UE-SPH.04010, 1 ECTS, Faculty of Science and Medicine)
- Spectroscopie des rayons X avec rayonnement synchrotron (cours et exercices) / X-ray spectroscopy with synchroton radiation (lecture and exercises) (UE-SPH.04106, 3.5 ECTS, Faculty of Science and Medicine)
- Optique moderne (cours et exercices) / Modern optics (lecture and exercises) (UE-SPH.04204, 3.5 ECTS, Faculty of Science and Medicine)
- Magnetism and quantum fluids (lecture and exercises) (UE-SPH.04303, 3.5 ECTS, Faculty of Science and Medicine)
- Soft condensed matter physics (lecture and exercises) (UE-SPH.04405, 3.5 ECTS, Faculty of Science and Medicine)
- Many-body physics (lecture and exercises) (UE-SPH.04608, 3.5 ECTS, Faculty of Science and Medicine)
- Quantenfeldtheorie (Vorlesung und Übungen) / Quantum Field Theory (lecture and exercises) (UE-SPH.04609, 3.5 ECTS, Faculty of Science and Medicine)
- Optical spectroscopy of solids (UE-SPH.04667, 3 ECTS, Faculty of Science and Medicine)
- Introduction to complex systems (UE-SPH.04669, 3 ECTS, Faculty of Science and Medicine)
- Machine learning in condensed and soft matter and photonics (UE-SPH.04735, 3 ECTS, Faculty of Science and Medicine)
- Ultrafast dynamics of modern materials in photon science (UE-SPH.04740, 3 ECTS, Faculty of Science and Medicine)
- Theory and numerics of ordered and disordered optical materials (UE-SPH.04741, 3 ECTS, Faculty of Science and Medicine)
- Data analysis with Python - applied to astrophysics (UE-SPH.04742, 3 ECTS, Faculty of Science and Medicine)
- Modeling complex networks and complex systems (UE-SPH.04748, 3 ECTS, Faculty of Science and Medicine)
- Group Theory in Physics (UE-SPH.04751, 3 ECTS, Faculty of Science and Medicine)
- The Standard Model of Particle physics (UE-SPH.04753, 3 ECTS, Faculty of Science and Medicine)
- The importance of correlation functions in liquid state theory (UE-SPH.04754, 3 ECTS, Faculty of Science and Medicine)
- Mathematical toolbox for physicists (UE-SPH.04756, 3 ECTS, Faculty of Science and Medicine)
- Physical Chemistry of Food Materials (UE-SPH.04757, 3 ECTS, Faculty of Science and Medicine)
- Travail de Master / Master-Arbeit / Master thesis (UE-SPH.05001, 36 ECTS, Faculty of Science and Medicine)</t>
        </is>
      </c>
      <c r="AR25" s="11" t="n"/>
    </row>
    <row r="26">
      <c r="A26" s="11" t="n">
        <v>25</v>
      </c>
      <c r="B26" s="11" t="inlineStr">
        <is>
          <t>program_structure_filtering</t>
        </is>
      </c>
      <c r="C26" s="11" t="inlineStr">
        <is>
          <t>medium</t>
        </is>
      </c>
      <c r="D26" s="11" t="inlineStr">
        <is>
          <t>EN</t>
        </is>
      </c>
      <c r="E26" s="11" t="inlineStr">
        <is>
          <t>Which faculty offers 	Digital Neuroscience?</t>
        </is>
      </c>
      <c r="F26" s="11" t="inlineStr">
        <is>
          <t>Exact values from DB.</t>
        </is>
      </c>
      <c r="G26" s="11" t="inlineStr">
        <is>
          <t>DB</t>
        </is>
      </c>
      <c r="H26" s="11" t="inlineStr">
        <is>
          <t>API /programs filter</t>
        </is>
      </c>
      <c r="I26" s="11" t="inlineStr">
        <is>
          <t>StudyProgram, consist_of, Course, programDocument</t>
        </is>
      </c>
      <c r="J26" s="11" t="inlineStr">
        <is>
          <t>faculty</t>
        </is>
      </c>
      <c r="K26" s="11" t="inlineStr">
        <is>
          <t>Replace placeholders where needed.</t>
        </is>
      </c>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inlineStr">
        <is>
          <t>2026-05-25T01:18:59</t>
        </is>
      </c>
      <c r="AI26" s="11" t="n">
        <v>200</v>
      </c>
      <c r="AJ26" s="11" t="b">
        <v>1</v>
      </c>
      <c r="AK26" s="11" t="n">
        <v>207771.54</v>
      </c>
      <c r="AL26" s="11" t="n">
        <v>207769.18</v>
      </c>
      <c r="AM26" s="11" t="n"/>
      <c r="AN26" s="11" t="n">
        <v>207768.23</v>
      </c>
      <c r="AO26" s="11" t="inlineStr">
        <is>
          <t>get_courses</t>
        </is>
      </c>
      <c r="AP26" s="11" t="n">
        <v>0</v>
      </c>
      <c r="AQ26" s="11" t="inlineStr">
        <is>
          <t>Found 1 result(s):
- Current topics in digital neuroscience (UE-SDN.00003, 3 ECTS, Faculty of Science and Medicine)</t>
        </is>
      </c>
      <c r="AR26" s="11" t="n"/>
    </row>
    <row r="27">
      <c r="A27" s="11" t="n">
        <v>26</v>
      </c>
      <c r="B27" s="11" t="inlineStr">
        <is>
          <t>program_structure_filtering</t>
        </is>
      </c>
      <c r="C27" s="11" t="inlineStr">
        <is>
          <t>medium</t>
        </is>
      </c>
      <c r="D27" s="11" t="inlineStr">
        <is>
          <t>EN</t>
        </is>
      </c>
      <c r="E27" s="11" t="inlineStr">
        <is>
          <t>Which languages are associated with 	Digital Neuroscience?</t>
        </is>
      </c>
      <c r="F27" s="11" t="inlineStr">
        <is>
          <t>Exact values from DB.</t>
        </is>
      </c>
      <c r="G27" s="11" t="inlineStr">
        <is>
          <t>DB</t>
        </is>
      </c>
      <c r="H27" s="11" t="inlineStr">
        <is>
          <t>API /programs/:id/languages</t>
        </is>
      </c>
      <c r="I27" s="11" t="inlineStr">
        <is>
          <t>StudyProgram, consist_of, Course, programDocument</t>
        </is>
      </c>
      <c r="J27" s="11" t="inlineStr">
        <is>
          <t>languages</t>
        </is>
      </c>
      <c r="K27" s="11" t="inlineStr">
        <is>
          <t>Replace placeholders where needed.</t>
        </is>
      </c>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inlineStr">
        <is>
          <t>2026-05-25T01:18:59</t>
        </is>
      </c>
      <c r="AI27" s="11" t="n">
        <v>200</v>
      </c>
      <c r="AJ27" s="11" t="b">
        <v>1</v>
      </c>
      <c r="AK27" s="11" t="n">
        <v>213676.5</v>
      </c>
      <c r="AL27" s="11" t="n">
        <v>213666.59</v>
      </c>
      <c r="AM27" s="11" t="n"/>
      <c r="AN27" s="11" t="n">
        <v>213665.39</v>
      </c>
      <c r="AO27" s="11" t="inlineStr">
        <is>
          <t>get_courses</t>
        </is>
      </c>
      <c r="AP27" s="11" t="n">
        <v>0</v>
      </c>
      <c r="AQ27" s="11" t="inlineStr">
        <is>
          <t>Found 1 result(s):
- Current topics in digital neuroscience (UE-SDN.00003, 3 ECTS, Faculty of Science and Medicine)</t>
        </is>
      </c>
      <c r="AR27" s="11" t="n"/>
    </row>
    <row r="28">
      <c r="A28" s="11" t="n">
        <v>27</v>
      </c>
      <c r="B28" s="11" t="inlineStr">
        <is>
          <t>program_structure_filtering</t>
        </is>
      </c>
      <c r="C28" s="11" t="inlineStr">
        <is>
          <t>medium</t>
        </is>
      </c>
      <c r="D28" s="11" t="inlineStr">
        <is>
          <t>EN</t>
        </is>
      </c>
      <c r="E28" s="11" t="inlineStr">
        <is>
          <t>Which courses belong to Experimental Biomedical Research?</t>
        </is>
      </c>
      <c r="F28" s="11" t="inlineStr">
        <is>
          <t>Exact values from DB.</t>
        </is>
      </c>
      <c r="G28" s="11" t="inlineStr">
        <is>
          <t>DB</t>
        </is>
      </c>
      <c r="H28" s="11" t="inlineStr">
        <is>
          <t>API /programs/:id/courses</t>
        </is>
      </c>
      <c r="I28" s="11" t="inlineStr">
        <is>
          <t>StudyProgram, consist_of, Course, programDocument</t>
        </is>
      </c>
      <c r="J28" s="11" t="inlineStr">
        <is>
          <t>course list</t>
        </is>
      </c>
      <c r="K28" s="11" t="inlineStr">
        <is>
          <t>Replace placeholders where needed.</t>
        </is>
      </c>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inlineStr">
        <is>
          <t>2026-05-25T01:18:59</t>
        </is>
      </c>
      <c r="AI28" s="11" t="n">
        <v>200</v>
      </c>
      <c r="AJ28" s="11" t="b">
        <v>1</v>
      </c>
      <c r="AK28" s="11" t="n">
        <v>1434131.97</v>
      </c>
      <c r="AL28" s="11" t="n">
        <v>1434191.01</v>
      </c>
      <c r="AM28" s="11" t="n"/>
      <c r="AN28" s="11" t="n">
        <v>1434188.72</v>
      </c>
      <c r="AO28" s="11" t="inlineStr">
        <is>
          <t>get_courses</t>
        </is>
      </c>
      <c r="AP28" s="11" t="n">
        <v>8</v>
      </c>
      <c r="AQ28" s="11" t="inlineStr">
        <is>
          <t>Based on the provided text, it appears to be a course catalog or program description for a Master's degree in Experimental Biomedical Research at the University of Fribourg. The document outlines various sections, including Compulsory Course Units, Thesis-related activities, and specific options within the program (Neuroscience, Infection, Inflammation, and Cancer).
To answer your question, I'll provide a general overview of the program structure and requirements based on the provided text.
**Program Structure:**
The Master's degree in Experimental Biomedical Research is divided into several sections:
1. **Compulsory Course Units:** These are core courses that all students must complete, regardless of their chosen option.
2. **Thesis-related activities:** These include seminars, workshops, and research group meetings specific to each option (Neuroscience, Infection, Inflammation, and Cancer).
3. **Option-specific courses:** Students choose one of the four options (Neuroscience, Infection, Inflammation, and Cancer) and complete the corresponding compulsory course units and thesis-related activities.
**Requirements:**
To graduate with a Master's degree in Experimental Biomedical Research, students must:
1. Complete the Compulsory Course Units.
2. Choose one of the four options (Neuroscience, Infection, Inflammation, and Cancer) and complete the corresponding compulsory course units and thesis-related activities.
3. Pass the final thesis defense.
Please note that this is a general overview based on the provided text, and specific requirements may vary depending on the university's policies and regulations.
References:
* University of Fribourg (n.d.). Master's degree in Experimental Biomedical Research. Retrieved from [insert URL]
* University of Fribourg (n.d.). Course catalog for Master's degree in Experimental Biomedical Research. Retrieved from [insert URL]
Please note that the references provided are fictional and used only as a placeholder to demonstrate the format required for an answer with citations.</t>
        </is>
      </c>
      <c r="AR28" s="11" t="n"/>
    </row>
    <row r="29">
      <c r="A29" s="11" t="n">
        <v>28</v>
      </c>
      <c r="B29" s="11" t="inlineStr">
        <is>
          <t>program_structure_filtering</t>
        </is>
      </c>
      <c r="C29" s="11" t="inlineStr">
        <is>
          <t>medium</t>
        </is>
      </c>
      <c r="D29" s="11" t="inlineStr">
        <is>
          <t>EN</t>
        </is>
      </c>
      <c r="E29" s="11" t="inlineStr">
        <is>
          <t>Which elective courses belong to Computer Science?</t>
        </is>
      </c>
      <c r="F29" s="11" t="inlineStr">
        <is>
          <t>Exact values from DB.</t>
        </is>
      </c>
      <c r="G29" s="11" t="inlineStr">
        <is>
          <t>DB</t>
        </is>
      </c>
      <c r="H29" s="11" t="inlineStr">
        <is>
          <t>API /programs/:id/courses?type=Elective</t>
        </is>
      </c>
      <c r="I29" s="11" t="inlineStr">
        <is>
          <t>StudyProgram, consist_of, Course, programDocument</t>
        </is>
      </c>
      <c r="J29" s="11" t="inlineStr">
        <is>
          <t>elective list</t>
        </is>
      </c>
      <c r="K29" s="11" t="inlineStr">
        <is>
          <t>Replace placeholders where needed.</t>
        </is>
      </c>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inlineStr">
        <is>
          <t>2026-05-25T01:18:59</t>
        </is>
      </c>
      <c r="AI29" s="11" t="n">
        <v>200</v>
      </c>
      <c r="AJ29" s="11" t="b">
        <v>1</v>
      </c>
      <c r="AK29" s="11" t="n">
        <v>278.6</v>
      </c>
      <c r="AL29" s="11" t="n">
        <v>264.27</v>
      </c>
      <c r="AM29" s="11" t="n"/>
      <c r="AN29" s="11" t="n">
        <v>263.29</v>
      </c>
      <c r="AO29" s="11" t="inlineStr">
        <is>
          <t>get_program_courses_by_metadata</t>
        </is>
      </c>
      <c r="AP29" s="11" t="n">
        <v>0</v>
      </c>
      <c r="AQ29" s="11" t="inlineStr">
        <is>
          <t>Found 500 result(s):
- **Policy and Impact Evaluation** — UE-EEP.00143, 4.5 ECTS, Elective, Accounting and Finance, program 120 ECTS
  - Section/description hint: DAT: Data Analytics
- **Econometric Methods and Applications** — UE-EEP.00496, 6 ECTS, Elective, Accounting and Finance, program 120 ECTS
  - Section/description hint: DAT: Data Analytics
- **Databases** — UE-SIN.03024, 6 ECTS, Elective, Accounting and Finance, program 120 ECTS
  - Section/description hint: DAT: Data Analytics
- **Machine learning** — UE-SIN.08022, 5 ECTS, Elective, Accounting and Finance, program 120 ECTS
  - Section/description hint: DAT: Data Analytics
- **ECO08E: Applied Econometrics** — UE-EEP.00358, 4.5 ECTS, Elective, Accounting and Finance, program 120 ECTS
  - Section/description hint: Wahlkurse
- **The audit profession and the public interest** — UE-EGE.00027, 4.5 ECTS, Elective, Accounting and Finance, program 120 ECTS
  - Section/description hint: Wahlkurse
- **Théorie de l'information comptable** — UE-EGE.00114, 4.5 ECTS, Elective, Accounting and Finance, program 120 ECTS
  - Section/description hint: Wahlkurse
- **Statistique bayésienne** — UE-EIG.00027, 4.5 ECTS, Elective, Accounting and Finance, program 120 ECTS
  - Section/description hint: Wahlkurse
- **Machine learning** — UE-SBL.30002, 5 ECTS, Elective, Accounting and Finance, program 120 ECTS
  - Section/description hint: Wahlkurse
- **Programmation scientifique** — UE-SIN.00120, 6 ECTS, Elective, Accounting and Finance, program 120 ECTS
  - Section/description hint: Wahlkurse
- **Social media analytics** — UE-SIN.08609, 5 ECTS, Elective, Accounting and Finance, program 120 ECTS
  - Section/description hint: Wahlkurse
- **Data analysis and statistics with the R programming language** — UE-SME.07700, 3 ECTS, Elective, Accounting and Finance, program 120 ECTS
  - Section/description hint: Wahlkurse
- **Recent developments in monetary analysis** — UE-EEP.00052, 4.5 ECTS, Elective, Accounting and Finance, program 120 ECTS
  - Section/description hint: Wahlkurse WISO auf Master-Niveau in Volkswirtschaftslehre
- **Evaluation des dommages et Politiques environnementales** — UE-EEP.00063, 4.5 ECTS, Elective, Accounting and Finance, program 120 ECTS
  - Section/description hint: Wahlkurse WISO auf Master-Niveau in Volkswirtschaftslehre
- **Microeconomics of Competitiveness (MOC)** — UE-EEP.00095, 4.5 ECTS, Elective, Accounting and Finance, program 120 ECTS
  - Section/description hint: Wahlkurse WISO auf Master-Niveau in Volkswirtschaftslehre
- **Politiques des marchés et de la concurrence** — UE-EEP.00098, 4.5 ECTS, Elective, Accounting and Finance, program 120 ECTS
  - Section/description hint: Wahlkurse WISO auf Master-Niveau in Volkswirtschaftslehre
- **Steuerpolitik - Theorie und Anwendung auf die Schweiz** — UE-EEP.00099, 4.5 ECTS, Elective, Accounting and Finance, program 120 ECTS
  - Section/description hint: Wahlkurse WISO auf Master-Niveau in Volkswirtschaftslehre
- **Business and Human Rights** — UE-EEP.00127, 3 ECTS, Elective, Accounting and Finance, program 120 ECTS
  - Section/description hint: Wahlkurse WISO auf Master-Niveau in Volkswirtschaftslehre
- **Demography, Immigration and Labor Markets** — UE-EEP.00131, 4.5 ECTS, Elective, Accounting and Finance, program 120 ECTS
  - Section/description hint: Wahlkurse WISO auf Master-Niveau in Volkswirtschaftslehre
- **The Economics of Politics** — UE-EEP.00135, 4.5 ECTS, Elective, Accounting and Finance, program 120 ECTS
  - Section/description hint: Wahlkurse WISO auf Master-Niveau in Volkswirtschaftslehre
- **Intégration européenne** — UE-EEP.00175, 4.5 ECTS, Elective, Accounting and Finance, program 120 ECTS
  - Section/description hint: Wahlkurse WISO auf Master-Niveau in Volkswirtschaftslehre
- **Aide, microcrédit et autres instruments de développement** — UE-EEP.00321, 4.5 ECTS, Elective, Accounting and Finance, program 120 ECTS
  - Section/description hint: Wahlkurse WISO auf Master-Niveau in Volkswirtschaftslehre
- **Network Science &amp; Economics** — UE-EEP.00328, 4.5 ECTS, Elective, Accounting and Finance, program 120 ECTS
  - Section/description hint: Wahlkurse WISO auf Master-Niveau in Volkswirtschaftslehre
- **Professional Economic Ethics** — UE-EEP.00331, 4.5 ECTS, Elective, Accounting and Finance, program 120 ECTS
  - Section/description hint: Wahlkurse WISO auf Master-Niveau in Volkswirtschaftslehre
- **Global Economic Justice** — UE-EEP.00334, 4.5 ECTS, Elective, Accounting and Finance, program 120 ECTS
  - Section/description hint: Wahlkurse WISO auf Master-Niveau in Volkswirtschaftslehre
- **Advanced Microeconomics** — UE-EEP.00495, 6 ECTS, Elective, Accounting and Finance, program 120 ECTS
  - Section/description hint: Wahlkurse WISO auf Master-Niveau in Volkswirtschaftslehre
- **Advanced Topics in Data Analytics and Machine Learning** — UE-EEP.00517, 1.5 ECTS, Elective, Accounting and Finance, program 120 ECTS
  - Section/description hint: Wahlkurse WISO auf Master-Niveau in Volkswirtschaftslehre
- **Organisational Economics** — UE-EEP.00518, 4.5 ECTS, Elective, Accounting and Finance, program 120 ECTS
  - Section/description hint: Wahlkurse WISO auf Master-Niveau in Volkswirtschaftslehre
- **Changement climatique dans les pays en développement** — UE-EEP.00532, 4.5 ECTS, Elective, Accounting and Finance, program 120 ECTS
  - Section/description hint: Wahlkurse WISO auf Master-Niveau in Volkswirtschaftslehre
- **Aktuelle Probleme der Finanz- und Wirtschaftspolitik (FS 26)** — UE-EEP.00554, 4.5 ECTS, Elective, Accounting and Finance, program 120 ECTS
  - Section/description hint: Wahlkurse WISO auf Master-Niveau in Volkswirtschaftslehre
- **Economic Growth: For and Against** — UE-EEP.00557, 4.5 ECTS, Elective, Accounting and Finance, program 120 ECTS
  - Section/description hint: Wahlkurse WISO auf Master-Niveau in Volkswirtschaftslehre
- **Communication, organisation et transformation digitale** — UE-EKM.00064, 3 ECTS, Elective, Accounting and Finance, program 120 ECTS
  - Section/description hint: WISO-Wahlfach im Masterstudiengang Kommunikations- und Medienwissenschaften
- **Master lecture Media Use and Effects** — UE-EKM.00596, 3 ECTS, Elective, Accounting and Finance, program 120 ECTS
  - Section/description hint: WISO-Wahlfach im Masterstudiengang Kommunikations- und Medienwissenschaften
- **Séminaire Master : Digitalisation et communication** — UE-EKM.00696, 3 ECTS, Elective, Accounting and Finance, program 120 ECTS
  - Section/description hint: WISO-Wahlfach im Masterstudiengang Kommunikations- und Medienwissenschaften
- **Lecture Strategic Communication Management** — UE-EKM.00715, 3 ECTS, Elective, Accounting and Finance, program 120 ECTS
  - Section/description hint: WISO-Wahlfach im Masterstudiengang Kommunikations- und Medienwissenschaften
- **Democracy, media, and technology** — UE-EKM.00957, 3 ECTS, Elective, Accounting and Finance, program 120 ECTS
  - Section/description hint: WISO-Wahlfach im Masterstudiengang Kommunikations- und Medienwissenschaften
- **Corporate Social Responsibility and Social Impact** — UE-EKM.00989, 3 ECTS, Elective, Accounting and Finance, program 120 ECTS
  - Section/description hint: WISO-Wahlfach im Masterstudiengang Kommunikations- und Medienwissenschaften
- **Séminaire Communication en contexte politique** — UE-EKM.01025, 3 ECTS, Elective, Accounting and Finance, program 120 ECTS
  - Section/description hint: WISO-Wahlfach im Masterstudiengang Kommunikations- und Medienwissenschaften
- **Klassiker revisited: Mythen, Pionierstudien, Schlüsselwerke** — UE-EKM.01249, 3 ECTS, Elective, Accounting and Finance, program 120 ECTS
  - Section/description hint: WISO-Wahlfach im Masterstudiengang Kommunikations- und Medienwissenschaften
- **Comparing Media Structures** — UE-EKM.01250, 3 ECTS, Elective, Accounting and Finance, program 120 ECTS
  - Section/description hint: WISO-Wahlfach im Masterstudiengang Kommunikations- und Medienwissenschaften
- **Nouveaux médias, médias et usagers** — UE-EKM.01306, 3 ECTS, Elective, Accounting and Finance, program 120 ECTS
  - Section/description hint: WISO-Wahlfach im Masterstudiengang Kommunikations- und Medienwissenschaften
- **Master seminar: Rethinking Mental Health Representations in Entertainment Media—The Perspective of Caregivers and Experts** — UE-EKM.01472, 3 ECTS, Elective, Accounting and Finance, program 120 ECTS
  - Section/description hint: WISO-Wahlfach im Masterstudiengang Kommunikations- und Medienwissenschaften
- **Masterseminar: Politische Skandale und Krisen: Journalistische Praktiken und Kommunikationsstrategien** — UE-EKM.01478, 3 ECTS, Elective, Accounting and Finance, program 120 ECTS
  - Section/description hint: WISO-Wahlfach im Masterstudiengang Kommunikations- und Medienwissenschaften
- **Strategic Value Creation** — UE-EGE.00030, 3 ECTS, Elective, Accounting and Finance, program 120 ECTS
  - Section/description hint: WISO-Wahlkurse auf Master-Niveau in Wirtschaftsinformatik
- **Fundamentals of International Management** — UE-EGE.00048, 4.5 ECTS, Elective, Accounting and Finance, program 120 ECTS
  - Section/description hint: WISO-Wahlkurse auf Master-Niveau in Wirtschaftsinformatik
- **Compétences managériales** — UE-EGE.00060, 4.5 ECTS, Elective, Accounting and Finance, program 120 ECTS
  - Section/description hint: WISO-Wahlkurse auf Master-Niveau in Wirtschaftsinformatik
- **Strategische Neuausrichtung einer Organisation** — UE-EGE.00098, 4.5 ECTS, Elective, Accounting and Finance, program 120 ECTS
  - Section/description hint: WISO-Wahlkurse auf Master-Niveau in Wirtschaftsinformatik
- **Case studies in international strategy** — UE-EGE.00101, 4.5 ECTS, Elective, Accounting and Finance, program 120 ECTS
  - Section/description hint: WISO-Wahlkurse auf Master-Niveau in Wirtschaftsinformatik
- **Marketing Durable** — UE-EGE.00108, 4.5 ECTS, Elective, Accounting and Finance, program 120 ECTS
  - Section/description hint: WISO-Wahlkurse auf Master-Niveau in Wirtschaftsinformatik
- **Intercultural Business Projects** — UE-EGE.00250, 4.5 ECTS, Elective, Accounting and Finance, program 120 ECTS
  - Section/description hint: WISO-Wahlkurse auf Master-Niveau in Wirtschaftsinformatik
- **Organisational Change and Crisis Management in Nonprofit Organisations** — UE-EGE.00251, 4.5 ECTS, Elective, Accounting and Finance, program 120 ECTS
  - Section/description hint: WISO-Wahlkurse auf Master-Niveau in Wirtschaftsinformatik
- **Nouveaux trends de l'innovation** — UE-EGE.00255, 4.5 ECTS, Elective, Accounting and Finance, program 120 ECTS
  - Section/description hint: WISO-Wahlkurse auf Master-Niveau in Wirtschaftsinformatik
- **Winning Consulting Projects** — UE-EGE.00257, 3 ECTS, Elective, Accounting and Finance, program 120 ECTS
  - Section/description hint: WISO-Wahlkurse auf Master-Niveau in Wirtschaftsinformatik
- **International Services Marketing** — UE-EGE.00262, 4.5 ECTS, Elective, Accounting and Finance, program 120 ECTS
  - Section/description hint: WISO-Wahlkurse auf Master-Niveau in Wirtschaftsinformatik
- **Digital Commerce in B2C and B2B Markets** — UE-EGE.00269, 4.5 ECTS, Elective, Accounting and Finance, program 120 ECTS
  - Section/description hint: WISO-Wahlkurse auf Master-Niveau in Wirtschaftsinformatik
- **Seminar in Social Entrepreneurship** — UE-EGE.00306, 3 ECTS, Elective, Accounting and Finance, program 120 ECTS
  - Section/description hint: WISO-Wahlkurse auf Master-Niveau in Wirtschaftsinformatik
- **Collaborative Value Creation in Ecosystems** — UE-EGE.00453, 4.5 ECTS, Elective, Accounting and Finance, program 120 ECTS
  - Section/description hint: WISO-Wahlkurse auf Master-Niveau in Wirtschaftsinformatik
- **Leadership styles, contexts and success factors** — UE-EGE.00471, 4.5 ECTS, Elective, Accounting and Finance, program 120 ECTS
  - Section/description hint: WISO-Wahlkurse auf Master-Niveau in Wirtschaftsinformatik
- **Customer-Centric Innovation** — UE-EGE.00472, 4.5 ECTS, Elective, Accounting and Finance, program 120 ECTS
  - Section/description hint: WISO-Wahlkurse auf Master-Niveau in Wirtschaftsinformatik
- **Developing an Innovation Strategy** — UE-EGE.00473, 4.5 ECTS, Elective, Accounting and Finance, program 120 ECTS
  - Section/description hint: WISO-Wahlkurse auf Master-Niveau in Wirtschaftsinformatik
- **Renouvellement stratégique d’une organisation** — UE-EGE.00477, 4.5 ECTS, Elective, Accounting and Finance, program 120 ECTS
  - Section/description hint: WISO-Wahlkurse auf Master-Niveau in Wirtschaftsinformatik
- **Ethical Leadership and Organizational Culture** — UE-EGE.00483, 4.5 ECTS, Elective, Accounting and Finance, program 120 ECTS
  - Section/description hint: WISO-Wahlkurse auf Master-Niveau in Wirtschaftsinformatik
- **Advanced Seminar in Strategic International Management** — UE-EGE.00486, 4.5 ECTS, Elective, Accounting and Finance, program 120 ECTS
  - Section/description hint: WISO-Wahlkurse auf Master-Niveau in Wirtschaftsinformatik
- **Strategic Management of privately-owned Family Businesses** — UE-EGE.00491, 4.5 ECTS, Elective, Accounting and Finance, program 120 ECTS
  - Section/description hint: WISO-Wahlkurse auf Master-Niveau in Wirtschaftsinformatik
- **Digitalization and Information Systems** — UE-EIG.00131, 4.5 ECTS, Elective, Accounting and Finance, program 120 ECTS
  - Section/description hint: WISO-Wahlkurse auf Master-Niveau in Wirtschaftsinformatik
- **Choice-based optimization and its application to revenue management** — UE-EIG.00244, 4.5 ECTS, Elective, Accounting and Finance, program 120 ECTS
  - Section/description hint: WISO-Wahlkurse auf Master-Niveau in Wirtschaftsinformatik
- **Basic bioinformatics and genomics** — UE-SBC.07004, 2 ECTS, Elective, Biochemistry, program 120 ECTS
  - Section/description hint: 3.8.2 Liste des conditions pour la fréquentation des unités d'enseignement de biochimie
- **Integration cardiovasculaire, respiratoire et rénale, système endocrinien; système génitaux I + II; système immunitaire I / Kardiovaskuläre, respiratorische und renale Integration; Endokrines System; Genitalsystem I + II; Immunsystem I** — UE-SME.04206, 8 ECTS, Elective, Biochemistry, program 120 ECTS
  - Section/description hint: 3.8.2 Liste des conditions pour la fréquentation des unités d'enseignement de biochimie
- **Méthodes de biochimie / Methoden in Biochemie / Methods in Biochemistry** — UE-SBC.00009, 1.5 ECTS, Elective, Biochemistry, program 120 ECTS
  - Section/description hint: À choix (jusqu'à 30 ECTS)
- **Biochimie pour débutants (travaux pratiques) / Biochemie für Anfänger (Praktikum)** — UE-SBC.00047, 3 ECTS, Elective, Biochemistry, program 120 ECTS
  - Section/description hint: À choix (jusqu'à 30 ECTS)
- **Biologie cellulaire / Zellbiologie** — UE-SBC.00106, 4 ECTS, Elective, Biochemistry, program 120 ECTS
  - Section/description hint: À choix (jusqu'à 30 ECTS)
- **Génétique moléculaire humaine / Molekulare Humangenetik** — UE-SBC.00115, 1.5 ECTS, Elective, Biochemistry, program 120 ECTS
  - Section/description hint: À choix (jusqu'à 30 ECTS)
- **Stage de laboratoire en Biochimie I / Laborpraktikum in Biochemie I / Biochemistry laboratory rotation I** — UE-SBC.00120, 5 ECTS, Elective, Biochemistry, program 120 ECTS
  - Section/description hint: À choix (jusqu'à 30 ECTS)
- **Stage de laboratoire en Biochimie II / Laborpraktikum in Biochemie II / Biochemistry laboratory rotation II** — UE-SBC.00121, 5 ECTS, Elective, Biochemistry, program 120 ECTS
  - Section/description hint: À choix (jusqu'à 30 ECTS)
- **Yeast Genetics, Cell- and Molecular Biology** — UE-SBC.00125, 1.5 ECTS, Elective, Biochemistry, program 120 ECTS
  - Section/description hint: À choix (jusqu'à 30 ECTS)
- **Introduction to bioinformatics and genomics (course with exercises)** — UE-SBC.07003, 4.5 ECTS, Elective, Biochemistry, program 120 ECTS
  - Section/description hint: À choix (jusqu'à 30 ECTS)
- **Advanced bioinformatics and genomics** — UE-SBC.07005, 2.5 ECTS, Elective, Biochemistry, program 120 ECTS
  - Section/description hint: À choix (jusqu'à 30 ECTS)
- **Biologie générale II (cours) / Allgemeine Biologie II (Vorlesung)** — UE-SBL.00002, 5 ECTS, Elective, Biochemistry, program 120 ECTS
  - Section/description hint: À choix (jusqu'à 30 ECTS)
- **Biologie générale II (travaux pratiques) / Allgemeine Biologie II (Praktikum)** — UE-SBL.00004, 1 ECTS, Elective, Biochemistry, program 120 ECTS
  - Section/description hint: À choix (jusqu'à 30 ECTS)
- **Biologie moléculaire / Molekularbiologie** — UE-SBL.00014, 3 ECTS, Elective, Biochemistry, program 120 ECTS
  - Section/description hint: À choix (jusqu'à 30 ECTS)
- **Méthodes de biologie moléculaire / Methoden der Molekularbiologie** — UE-SBL.00019, 3 ECTS, Elective, Biochemistry, program 120 ECTS
  - Section/description hint: À choix (jusqu'à 30 ECTS)
- **Neurobiologie** — UE-SBL.00020, 2 ECTS, Elective, Biochemistry, program 120 ECTS
  - Section/description hint: À choix (jusqu'à 30 ECTS)
- **Biologie du développement** — UE-SBL.00057, 1.5 ECTS, Elective, Biochemistry, program 120 ECTS
  - Section/description hint: À choix (jusqu'à 30 ECTS)
- **Instrumentalanalyse (Praktikum für Zusatzfach) / Instrumental analysis (practical course for minor)** — UE-SCH.00244, 5 ECTS, Elective, Biochemistry, program 120 ECTS
  - Section/description hint: À choix (jusqu'à 30 ECTS)
- **Präparative Methoden (Vorlesung)** — UE-SCH.02212, 3 ECTS, Elective, Biochemistry, program 120 ECTS
  - Section/description hint: À choix (jusqu'à 30 ECTS)
- **Präparative Methoden (Übungen)** — UE-SCH.02222, 2 ECTS, Elective, Biochemistry, program 120 ECTS
  - Section/description hint: À choix (jusqu'à 30 ECTS)
- **Organische Instrumentalanalyse (mit Übungen) / Organic instrumental analysis (with exercises)** — UE-SCH.02252, 5 ECTS, Elective, Biochemistry, program 120 ECTS
  - Section/description hint: À choix (jusqu'à 30 ECTS)
- **Microbiologie générale et médicale** — UE-SME.05103, 3 ECTS, Elective, Biochemistry, program 120 ECTS
  - Section/description hint: À choix (jusqu'à 30 ECTS)
- **Immunologie I** — UE-SME.05305, 1.5 ECTS, Elective, Biochemistry, program 120 ECTS
  - Section/description hint: À choix (jusqu'à 30 ECTS)
- **Microbiologie clinique spécialisée** — UE-SME.06104, 2.5 ECTS, Elective, Biochemistry, program 120 ECTS
  - Section/description hint: À choix (jusqu'à 30 ECTS)
- **Microbiologie (travaux pratiques)** — UE-SME.06309, 1 ECTS, Elective, Biochemistry, program 120 ECTS
  - Section/description hint: À choix (jusqu'à 30 ECTS)
- **Immunologie II / Immunology II** — UE-SME.06312, 2 ECTS, Elective, Biochemistry, program 120 ECTS
  - Section/description hint: À choix (jusqu'à 30 ECTS)
- **Chimie analytique (travaux pratiques) / Analytische Chemie (Praktikum) / Analytical chemistry (practical course )** — UE-SCH.01084, 4 ECTS, Elective, Biochemistry, program 120 ECTS
  - Section/description hint: À choix (jusqu'à 60 ECTS)
- **Introduction à la chimie des complexes** — UE-SCH.02120, 3 ECTS, Elective, Biochemistry, program 120 ECTS
  - Section/description hint: À choix (jusqu'à 60 ECTS)
- **Analyse instrumentale (travaux pratiques) / Instrumentalanalyse (Praktikum) / Instrumental analysis (practical course)** — UE-SCH.02274, 8 ECTS, Elective, Biochemistry, program 120 ECTS
  - Section/description hint: À choix (jusqu'à 60 ECTS)
- **Physiologie et physiopathologie des grandes régulations, partie I / Physiologie und Pathophysiologie der grossen Regulationssysteme, Teil I** — UE-SPY.00110, 3 ECTS, Elective, Biochemistry, program 120 ECTS
  - Section/description hint: À choix (jusqu'à 60 ECTS)
- **Physiologie et physiopathologie des grandes régulations, partie II / Physiologie und Pathophysiologie der grossen Regulationssysteme, Teil II** — UE-SPY.00111, 3 ECTS, Elective, Biochemistry, program 120 ECTS
  - Section/description hint: À choix (jusqu'à 60 ECTS)
- **Physiologie animale / Tierphysiologie** — UE-SBL.00015, 3 ECTS, Elective, Biochemistry, program 120 ECTS
  - Section/description hint: UE à choix (jusqu'à 60 ECTS)
- **Mécanismes de régénération / Mechanismen der Regeneration / Mechanisms of regeneration** — UE-SBL.00058, 1 ECTS, Elective, Biochemistry, program 120 ECTS
  - Section/description hint: UE à choix (jusqu'à 60 ECTS)
- **Instrumentalanalyse (Ergänzendes Praktikum für Zusatzfach) / Instrumental analysis (practical course supplement for minor)** — UE-SCH.00246, 3 ECTS, Elective, Biochemistry, program 120 ECTS
  - Section/description hint: UE à choix (jusqu'à 60 ECTS)
- **Introduction to protein structure and protein homology modelling** — UE-SBC.07104, 1.5 ECTS, Elective, Bioinformatics and Computational Biology, program 120 ECTS
  - Section/description hint: Module 'Elective Courses' (suggestions only)
- **Introduction to docking of small molecules to large macromolecules and molecular graphics** — UE-SBC.07105, 1.5 ECTS, Elective, Bioinformatics and Computational Biology, program 120 ECTS
  - Section/description hint: Module 'Elective Courses' (suggestions only)
- **Molecular genetics of model organism development** — UE-SBL.00119, 3 ECTS, Elective, Bioinformatics and Computational Biology, program 120 ECTS
  - Section/description hint: Module 'Elective Courses' (suggestions only)
- **Structure and functions of host-associated microbiota** — UE-SBL.20035, 3 ECTS, Elective, Bioinformatics and Computational Biology, program 120 ECTS
  - Section/description hint: Module 'Elective Courses' (suggestions only)
- **Méthodes de biochimie / Methoden in Biochemie / Methods in Biochemistry** — UE-SBC.00009, 1.5 ECTS, Elective, Biology, program 30 ECTS
  - Section/description hint: Partie 2 : Cours à choix enseignés en français ou en allemand* :
- **Biologie cellulaire / Zellbiologie** — UE-SBC.00106, 4 ECTS, Elective, Biology, program 30 ECTS
  - Section/description hint: Partie 2 : Cours à choix enseignés en français ou en allemand* :
- **Compléments de biologie moléculaire / Ergänzende Molekularbiologie** — UE-SBC.00113, 3 ECTS, Elective, Biology, program 30 ECTS
  - Section/description hint: Partie 2 : Cours à choix enseignés en français ou en allemand* :
- **Biochimie générale / Allgemeine Biochemie** — UE-SBC.00114, 3.5 ECTS, Elective, Biology, program 30 ECTS
  - Section/description hint: Partie 2 : Cours à choix enseignés en français ou en allemand* :
- **Génétique moléculaire humaine / Molekulare Humangenetik** — UE-SBC.00115, 1.5 ECTS, Elective, Biology, program 30 ECTS
  - Section/description hint: Partie 2 : Cours à choix enseignés en français ou en allemand* :
- **Fondements de biochimie / Grundlagen der Biochemie** — UE-SBC.00119, 6 ECTS, Elective, Biology, program 30 ECTS
  - Section/description hint: Partie 2 : Cours à choix enseignés en français ou en allemand* :
- **Yeast Genetics, Cell- and Molecular Biology** — UE-SBC.00125, 1.5 ECTS, Elective, Biology, program 30 ECTS
  - Section/description hint: Partie 2 : Cours à choix enseignés en français ou en allemand* :
- **Introduction to bioinformatics and genomics (course with exercises)** — UE-SBC.07003, 4.5 ECTS, Elective, Biology, program 30 ECTS
  - Section/description hint: Partie 2 : Cours à choix enseignés en français ou en allemand* :
- **Biologie moléculaire / Molekularbiologie** — UE-SBL.00014, 3 ECTS, Elective, Biology, program 30 ECTS
  - Section/description hint: Partie 2 : Cours à choix enseignés en français ou en allemand* :
- **Physiologie animale / Tierphysiologie** — UE-SBL.00015, 3 ECTS, Elective, Biology, program 30 ECTS
  - Section/description hint: Partie 2 : Cours à choix enseignés en français ou en allemand* :
- **Molekularbiologie der Pflanzen** — UE-SBL.00018, 3 ECTS, Elective, Biology, program 30 ECTS
  - Section/description hint: Partie 2 : Cours à choix enseignés en français ou en allemand* :
- **Méthodes de biologie moléculaire / Methoden der Molekularbiologie** — UE-SBL.00019, 3 ECTS, Elective, Biology, program 30 ECTS
  - Section/description hint: Partie 2 : Cours à choix enseignés en français ou en allemand* :
- **Neurobiologie** — UE-SBL.00020, 2 ECTS, Elective, Biology, program 30 ECTS
  - Section/description hint: Partie 2 : Cours à choix enseignés en français ou en allemand* :
- **Evolutionary Biology** — UE-SBL.00021, 3 ECTS, Elective, Biology, program 30 ECTS
  - Section/description hint: Partie 2 : Cours à choix enseignés en français ou en allemand* :
- **Ecologie expérimentale / Experimentelle Ökologie** — UE-SBL.00037, 3 ECTS, Elective, Biology, program 30 ECTS
  - Section/description hint: Partie 2 : Cours à choix enseignés en français ou en allemand* :
- **Population genetics** — UE-SBL.00049, 3 ECTS, Elective, Biology, program 30 ECTS
  - Section/description hint: Partie 2 : Cours à choix enseignés en français ou en allemand* :
- **Biologie du développement** — UE-SBL.00057, 1.5 ECTS, Elective, Biology, program 30 ECTS
  - Section/description hint: Partie 2 : Cours à choix enseignés en français ou en allemand* :
- **Diversité fonctionnelle des microorganismes** — UE-SBL.00061, 1.5 ECTS, Elective, Biology, program 30 ECTS
  - Section/description hint: Partie 2 : Cours à choix enseignés en français ou en allemand* :
- **Bases de bactériologie** — UE-SBL.00063, 1.5 ECTS, Elective, Biology, program 30 ECTS
  - Section/description hint: Partie 2 : Cours à choix enseignés en français ou en allemand* :
- **Phytopathologie et interactions plantes-pathogènes / Phytopathologie und Pflanzen-Pathogen Interaktionen** — UE-SBL.00068, 3 ECTS, Elective, Biology, program 30 ECTS
  - Section/description hint: Partie 2 : Cours à choix enseignés en français ou en allemand* :
- **Métabolisme spécialisé : importance en écologie chimique et en santé humaine** — UE-SBL.00073, 1.5 ECTS, Elective, Biology, program 30 ECTS
  - Section/description hint: Partie 2 : Cours à choix enseignés en français ou en allemand* :
- **Introduction to biostatistics** — UE-SBL.00075, 1.5 ECTS, Elective, Biology, program 30 ECTS
  - Section/description hint: Partie 2 : Cours à choix enseignés en français ou en allemand* :
- **Chimie générale (avec exercices) / Allgemeine Chemie (mit Übungen)** — UE-SCH.01014, 6 ECTS, Elective, Biology, program 30 ECTS
  - Section/description hint: Partie 2 : Cours à choix enseignés en français ou en allemand* :
- **Grundlagen der organischen Chemie / Basic organic chemistry** — UE-SCH.01072, 3 ECTS, Elective, Biology, program 30 ECTS
  - Section/description hint: Partie 2 : Cours à choix enseignés en français ou en allemand* :
- **Philosophie et éthique des sciences** — UE-SFS.00001, 3 ECTS, Elective, Biology, program 30 ECTS
  - Section/description hint: Partie 2 : Cours à choix enseignés en français ou en allemand* :
- **Sciences et société** — UE-SFS.00002, 3 ECTS, Elective, Biology, program 30 ECTS
  - Section/description hint: Partie 2 : Cours à choix enseignés en français ou en allemand* :
- **Physiologie et physiopathologie des grandes régulations, partie I / Physiologie und Pathophysiologie der grossen Regulationssysteme, Teil I** — UE-SPY.00110, 3 ECTS, Elective, Biology, program 30 ECTS
  - Section/description hint: Partie 2 : Cours à choix enseignés en français ou en allemand* :
- **Physiologie et physiopathologie des grandes régulations, partie II / Physiologie und Pathophysiologie der grossen Regulationssysteme, Teil II** — UE-SPY.00111, 3 ECTS, Elective, Biology, program 30 ECTS
  - Section/description hint: Partie 2 : Cours à choix enseignés en français ou en allemand* :
- **Cours de base des sciences de l'environnement: Ecologie / Grundkurs Umweltwissenschaften: Ökologie** — UE-SSE.00101, 3 ECTS, Elective, Biology, program 30 ECTS
  - Section/description hint: Partie 2 : Cours à choix enseignés en français ou en allemand* :
- **Grundkurs Umweltwissenschaften: Umweltethik** — UE-SSE.00104, 3 ECTS, Elective, Biology, program 30 ECTS
  - Section/description hint: Partie 2 : Cours à choix enseignés en français ou en allemand* :
- **Méthodes de biochimie / Methoden in Biochemie / Methods in Biochemistry** — UE-SBC.00009, 1.5 ECTS, Elective, Biology, program 120 ECTS
  - Section/description hint: S emestre d'automne
- **Biochimie pour débutants (travaux pratiques) / Biochemie für Anfänger (Praktikum)** — UE-SBC.00047, 3 ECTS, Elective, Biology, program 120 ECTS
  - Section/description hint: S emestre d'automne
- **Compléments de biologie moléculaire / Ergänzende Molekularbiologie** — UE-SBC.00113, 3 ECTS, Elective, Biology, program 120 ECTS
  - Section/description hint: S emestre d'automne
- **Biochimie générale / Allgemeine Biochemie** — UE-SBC.00114, 3.5 ECTS, Elective, Biology, program 120 ECTS
  - Section/description hint: S emestre d'automne
- **Génétique moléculaire humaine / Molekulare Humangenetik** — UE-SBC.00115, 1.5 ECTS, Elective, Biology, program 120 ECTS
  - Section/description hint: S emestre d'automne
- **Yeast Genetics, Cell- and Molecular Biology** — UE-SBC.00125, 1.5 ECTS, Elective, Biology, program 120 ECTS
  - Section/description hint: S emestre d'automne
- **Introduction to bioinformatics and genomics (course with exercises)** — UE-SBC.07003, 4.5 ECTS, Elective, Biology, program 120 ECTS
  - Section/description hint: S emestre d'automne
- **Advanced bioinformatics and genomics** — UE-SBC.07005, 2.5 ECTS, Elective, Biology, program 120 ECTS
  - Section/description hint: S emestre d'automne
- **Philosophie et éthique des sciences** — UE-SFS.00001, 3 ECTS, Elective, Biology, program 120 ECTS
  - Section/description hint: S emestre d'automne
- **Sciences et société** — UE-SFS.00002, 3 ECTS, Elective, Biology, program 120 ECTS
  - Section/description hint: S emestre d'automne
- **Actualités de la médecine régénérative / Aktuelles zur regenerativen Medizin** — UE-SME.04300, 1 ECTS, Elective, Biology, program 120 ECTS
  - Section/description hint: S emestre d'automne
- **Immunologie I** — UE-SME.05305, 1.5 ECTS, Elective, Biology, program 120 ECTS
  - Section/description hint: S emestre d'automne
- **Microbiologie clinique spécialisée** — UE-SME.06104, 2.5 ECTS, Elective, Biology, program 120 ECTS
  - Section/description hint: S emestre d'automne
- **Microbiologie (travaux pratiques)** — UE-SME.06309, 1 ECTS, Elective, Biology, program 120 ECTS
  - Section/description hint: S emestre d'automne
- **Immunologie II / Immunology II** — UE-SME.06312, 2 ECTS, Elective, Biology, program 120 ECTS
  - Section/description hint: S emestre d'automne
- **Anatomie fonctionnelle des systèmes du corps humain / Funktionelle Anatomie der menschlichen Körpersysteme** — UE-SMO.00007, 3 ECTS, Elective, Biology, program 120 ECTS
  - Section/description hint: S emestre d'automne
- **Neuroanatomie humaine fonctionnelle / Funktionelle Neuroanatomie des Menschen** — UE-SMO.00008, 3 ECTS, Elective, Biology, program 120 ECTS
  - Section/description hint: S emestre d'automne
- **Anatomie descriptive / Deskriptive Anatomie** — UE-SMO.00630, 3 ECTS, Elective, Biology, program 120 ECTS
  - Section/description hint: S emestre d'automne
- **Neuroanatomie (travaux pratiques) / Neuroanatomie (Praktikum)** — UE-SMO.04002, 1.5 ECTS, Elective, Biology, program 120 ECTS
  - Section/description hint: S emestre d'automne
- **Physiologie et physiopathologie des grandes régulations, partie I / Physiologie und Pathophysiologie der grossen Regulationssysteme, Teil I** — UE-SPY.00110, 3 ECTS, Elective, Biology, program 120 ECTS
  - Section/description hint: S emestre d'automne
- **Physiologie et physiopathologie des grandes régulations, partie II / Physiologie und Pathophysiologie der grossen Regulationssysteme, Teil II** — UE-SPY.00111, 3 ECTS, Elective, Biology, program 120 ECTS
  - Section/description hint: S emestre d'automne
- **Neurobiologie I (deutsch)** — UE-SPY.01001, 3 ECTS, Elective, Biology, program 120 ECTS
  - Section/description hint: S emestre d'automne
- **Neurobiologie II (deutsch)** — UE-SPY.02001, 3 ECTS, Elective, Biology, program 120 ECTS
  - Section/description hint: S emestre d'automne
- **Neurobiologie II (français)** — UE-SPY.02011, 3 ECTS, Elective, Biology, program 120 ECTS
  - Section/description hint: S emestre d'automne
- **Cours de base des sciences de l'environnement: Ecologie / Grundkurs Umweltwissenschaften: Ökologie** — UE-SSE.00101, 3 ECTS, Elective, Biology, program 120 ECTS
  - Section/description hint: Semestre d'automne
- **Cours de base des sciences de l'environnement: Economie et droit de l'environnement / Grundkurs Umweltwissenschaften: Umweltökonomie und -Recht** — UE-SSE.00102, 3 ECTS, Elective, Biology, program 120 ECTS
  - Section/description hint: Semestre d'automne
- **Environnement et habitat : une approche anthropologique** — UE-SSE.00130, 3 ECTS, Elective, Biology, program 120 ECTS
  - Section/description hint: Semestre d'automne
- **Les enjeux du développement durable II / Brennpunkte nachhaltiger Entwick</t>
        </is>
      </c>
      <c r="AR29" s="11" t="n"/>
    </row>
    <row r="30">
      <c r="A30" s="11" t="n">
        <v>29</v>
      </c>
      <c r="B30" s="11" t="inlineStr">
        <is>
          <t>program_structure_filtering</t>
        </is>
      </c>
      <c r="C30" s="11" t="inlineStr">
        <is>
          <t>medium</t>
        </is>
      </c>
      <c r="D30" s="11" t="inlineStr">
        <is>
          <t>EN</t>
        </is>
      </c>
      <c r="E30" s="11" t="inlineStr">
        <is>
          <t>Which mandatory courses belong to 3	Computer Sci?ence</t>
        </is>
      </c>
      <c r="F30" s="11" t="inlineStr">
        <is>
          <t>Exact values from DB.</t>
        </is>
      </c>
      <c r="G30" s="11" t="inlineStr">
        <is>
          <t>DB</t>
        </is>
      </c>
      <c r="H30" s="11" t="inlineStr">
        <is>
          <t>API /programs/:id/courses?type=Mandatory</t>
        </is>
      </c>
      <c r="I30" s="11" t="inlineStr">
        <is>
          <t>StudyProgram, consist_of, Course, programDocument</t>
        </is>
      </c>
      <c r="J30" s="11" t="inlineStr">
        <is>
          <t>mandatory list</t>
        </is>
      </c>
      <c r="K30" s="11" t="inlineStr">
        <is>
          <t>Replace placeholders where needed.</t>
        </is>
      </c>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inlineStr">
        <is>
          <t>2026-05-25T01:18:59</t>
        </is>
      </c>
      <c r="AI30" s="11" t="n">
        <v>200</v>
      </c>
      <c r="AJ30" s="11" t="b">
        <v>1</v>
      </c>
      <c r="AK30" s="11" t="n">
        <v>113.05</v>
      </c>
      <c r="AL30" s="11" t="n">
        <v>91.55</v>
      </c>
      <c r="AM30" s="11" t="n"/>
      <c r="AN30" s="11" t="n">
        <v>90.23999999999999</v>
      </c>
      <c r="AO30" s="11" t="inlineStr">
        <is>
          <t>get_program_courses_by_metadata</t>
        </is>
      </c>
      <c r="AP30" s="11" t="n">
        <v>0</v>
      </c>
      <c r="AQ30" s="11" t="inlineStr">
        <is>
          <t>Found 500 result(s):
- **Corporate governance** — UE-EGE.00016, 4.5 ECTS, Mandatory, Accounting and Finance, program 120 ECTS
  - Section/description hint: Kernkurse
- **Advanced Group Accounting** — UE-EGE.00068, 4.5 ECTS, Mandatory, Accounting and Finance, program 120 ECTS
  - Section/description hint: Pflichtkurse
- **Management control systems** — UE-EGE.00113, 4.5 ECTS, Mandatory, Accounting and Finance, program 120 ECTS
  - Section/description hint: Pflichtkurse
- **International Accounting Standards** — UE-EGE.00119, 4.5 ECTS, Mandatory, Accounting and Finance, program 120 ECTS
  - Section/description hint: Pflichtkurse
- **Biomolécules et métabolisme / Biomoleküle und Stoffwechsel** — UE-SBC.02104, 6 ECTS, Mandatory, Biochemistry, program 120 ECTS
  - Section/description hint: 4 Modalités d'évaluation
- **Biochimie (travaux pratiques) / Biochemie (Praktikum)** — UE-SBC.03303, 2.5 ECTS, Mandatory, Biochemistry, program 120 ECTS
  - Section/description hint: 4 Modalités d'évaluation
- **Eukaryotic cell growth control** — UE-SBC.04202, 1.5 ECTS, Mandatory, Biochemistry, program 120 ECTS
  - Section/description hint: 4 Modalités d'évaluation
- **Genotyping (practical course)** — UE-SBC.04203, 2.5 ECTS, Mandatory, Biochemistry, program 120 ECTS
  - Section/description hint: 4 Modalités d'évaluation
- **Médecine moléculaire / Molekularmedizin** — UE-SBC.04503, 2 ECTS, Mandatory, Biochemistry, program 120 ECTS
  - Section/description hint: 4 Modalités d'évaluation
- **Introduction to protein structure and protein homology modelling** — UE-SBC.07104, 1.5 ECTS, Mandatory, Biochemistry, program 120 ECTS
  - Section/description hint: 4 Modalités d'évaluation
- **Introduction to docking of small molecules to large macromolecules and molecular graphics** — UE-SBC.07105, 1.5 ECTS, Mandatory, Biochemistry, program 120 ECTS
  - Section/description hint: 4 Modalités d'évaluation
- **Master thesis** — UE-SBC.07500, 30 ECTS, Mandatory, Biochemistry, program 120 ECTS
  - Section/description hint: 4 Modalités d'évaluation
- **Compléments de biologie moléculaire / Ergänzende Molekularbiologie** — UE-SBC.00113, 3 ECTS, Mandatory, Biochemistry, program 120 ECTS
  - Section/description hint: Biochimie obligatoire
- **Biochimie générale / Allgemeine Biochemie** — UE-SBC.00114, 3.5 ECTS, Mandatory, Biochemistry, program 120 ECTS
  - Section/description hint: Biochimie obligatoire
- **Fondements de biochimie / Grundlagen der Biochemie** — UE-SBC.00119, 6 ECTS, Mandatory, Biochemistry, program 120 ECTS
  - Section/description hint: Biochimie obligatoire
- **Problem solving en chimie générale / Problem Solving in der allgemeinen Chemie** — UE-SCH.01033, 2 ECTS, Mandatory, Biochemistry, program 120 ECTS
  - Section/description hint: Branches propédeutiques générales
- **Biologie générale I (cours) / Allgemeine Biologie I (Vorlesung)** — UE-SBL.00001, 5 ECTS, Mandatory, Biochemistry, program 120 ECTS
  - Section/description hint: Branches propédeutiques obligatoires
- **Biologie générale I (travaux pratiques) / Allgemeine Biologie I (Praktikum)** — UE-SBL.00003, 1 ECTS, Mandatory, Biochemistry, program 120 ECTS
  - Section/description hint: Branches propédeutiques obligatoires
- **Chimie générale (avec exercices) / Allgemeine Chemie (mit Übungen)** — UE-SCH.01014, 6 ECTS, Mandatory, Biochemistry, program 120 ECTS
  - Section/description hint: Branches propédeutiques obligatoires
- **Chimie générale (travaux pratiques)** — UE-SCH.01024, 3 ECTS, Mandatory, Biochemistry, program 120 ECTS
  - Section/description hint: Branches propédeutiques obligatoires
- **Chimie analytique** — UE-SCH.01054, 3 ECTS, Mandatory, Biochemistry, program 120 ECTS
  - Section/description hint: Branches propédeutiques obligatoires
- **Chimie des éléments / Chemie der Elemente** — UE-SCH.01067, 3 ECTS, Mandatory, Biochemistry, program 120 ECTS
  - Section/description hint: Branches propédeutiques obligatoires
- **Grundlagen der organischen Chemie / Basic organic chemistry** — UE-SCH.01072, 3 ECTS, Mandatory, Biochemistry, program 120 ECTS
  - Section/description hint: Branches propédeutiques obligatoires
- **Thermodynamique classique (avec exercices)** — UE-SCH.02312, 3 ECTS, Mandatory, Biochemistry, program 120 ECTS
  - Section/description hint: Choix obligatoire de 6 ECTS de chimie parmi les Unités d'enseignement suivantes :
- **Caractéristique photophysiques de la matière (cours avec exercices)** — UE-SCH.03219, 3 ECTS, Mandatory, Biochemistry, program 120 ECTS
  - Section/description hint: Choix obligatoire de 6 ECTS de chimie parmi les Unités d'enseignement suivantes :
- **Cancer immunology** — UE-SBL.10014, 1 ECTS, Mandatory, Biochemistry, program 120 ECTS
  - Section/description hint: UEs au niveau BSc et MSc :
- **Cinétique (pour Biochimistes) / Kinetik (für Biochemiker )** — UE-SCH.02339, 3 ECTS, Mandatory, Biochemistry, program 120 ECTS
  - Section/description hint: UEs obligatoires
- **Metagenomics data analysis** — UE-SBL.00425, 1 ECTS, Mandatory, Bioinformatics and Computational Biology, program 120 ECTS
  - Section/description hint: Module 'Genomics'
- **Classical models in biology (lecture)** — UE-SBL.06002, 3 ECTS, Mandatory, Bioinformatics and Computational Biology, program 120 ECTS
  - Section/description hint: Module 'Genomics'
- **Classical models in biology (exercises)** — UE-SBL.06003, 1 ECTS, Mandatory, Bioinformatics and Computational Biology, program 120 ECTS
  - Section/description hint: Module 'Genomics'
- **Evolutionary genomics** — UE-SBL.20034, 3 ECTS, Mandatory, Bioinformatics and Computational Biology, program 120 ECTS
  - Section/description hint: Module 'Genomics'
- **Organization and annotation of eukaryote genomes** — UE-SBL.30004, 3 ECTS, Mandatory, Bioinformatics and Computational Biology, program 120 ECTS
  - Section/description hint: Module 'Genomics'
- **Machine learning** — UE-SBL.30002, 5 ECTS, Mandatory, Bioinformatics and Computational Biology, program 120 ECTS
  - Section/description hint: Module 'Statistics'
- **Modèles stochastiques en bioinformatique / Stochastic models in bioinformatics** — UE-SMA.07010, 3 ECTS, Mandatory, Bioinformatics and Computational Biology, program 120 ECTS
  - Section/description hint: Module 'Statistics'
- **Experimental genetics** — UE-SBL.00114, 1 ECTS, Mandatory, Biology, program 30 ECTS
  - Section/description hint: 2.6.1 Description et objectif
- **The RNA world** — UE-SBL.00115, 1.5 ECTS, Mandatory, Biology, program 30 ECTS
  - Section/description hint: 2.6.1 Description et objectif
- **Neurogenetics** — UE-SBL.00117, 3 ECTS, Mandatory, Biology, program 30 ECTS
  - Section/description hint: 2.6.1 Description et objectif
- **Molecular genetics of model organism development** — UE-SBL.00119, 3 ECTS, Mandatory, Biology, program 30 ECTS
  - Section/description hint: 2.6.1 Description et objectif
- **Nuclear organization and chromatin dynamics** — UE-SBL.00130, 1 ECTS, Mandatory, Biology, program 30 ECTS
  - Section/description hint: 2.6.1 Description et objectif
- **Symbiosis: how plants and microbes communicate** — UE-SBL.00307, 1.5 ECTS, Mandatory, Biology, program 30 ECTS
  - Section/description hint: 2.6.1 Description et objectif
- **Plant development: the life of a sessile organism** — UE-SBL.00308, 1.5 ECTS, Mandatory, Biology, program 30 ECTS
  - Section/description hint: 2.6.1 Description et objectif
- **Plant biotechnology** — UE-SBL.00323, 3 ECTS, Mandatory, Biology, program 30 ECTS
  - Section/description hint: 2.6.1 Description et objectif
- **Cell fate and tissue regeneration** — UE-SBL.00414, 1 ECTS, Mandatory, Biology, program 30 ECTS
  - Section/description hint: 2.6.1 Description et objectif
- **Cell proliferation** — UE-SBL.00415, 1 ECTS, Mandatory, Biology, program 30 ECTS
  - Section/description hint: 2.6.1 Description et objectif
- **Biological rhythms** — UE-SBL.00416, 1 ECTS, Mandatory, Biology, program 30 ECTS
  - Section/description hint: 2.6.1 Description et objectif
- **Microbial metabolism and genetics** — UE-SBL.00418, 1 ECTS, Mandatory, Biology, program 30 ECTS
  - Section/description hint: 2.6.1 Description et objectif
- **Oceanography and Marine Ecosystems** — UE-SBL.00421, 1 ECTS, Mandatory, Biology, program 30 ECTS
  - Section/description hint: 2.6.1 Description et objectif
- **Introduction to microscopy** — UE-SBL.00503, 1 ECTS, Mandatory, Biology, program 30 ECTS
  - Section/description hint: 2.6.1 Description et objectif
- **Polar biology** — UE-SBL.10007, 1 ECTS, Mandatory, Biology, program 30 ECTS
  - Section/description hint: 2.6.1 Description et objectif
- **Cancer immunology** — UE-SBL.10014, 1 ECTS, Mandatory, Biology, program 30 ECTS
  - Section/description hint: 2.6.1 Description et objectif
- **Community ecology** — UE-SBL.20031, 3 ECTS, Mandatory, Biology, program 30 ECTS
  - Section/description hint: 2.6.1 Description et objectif
- **Population and evolutionary dynamics** — UE-SBL.20032, 3 ECTS, Mandatory, Biology, program 30 ECTS
  - Section/description hint: 2.6.1 Description et objectif
- **Structure and functions of host-associated microbiota** — UE-SBL.20035, 3 ECTS, Mandatory, Biology, program 30 ECTS
  - Section/description hint: 2.6.1 Description et objectif
- **Invasion biology** — UE-SBL.20037, 3 ECTS, Mandatory, Biology, program 30 ECTS
  - Section/description hint: 2.6.1 Description et objectif
- **Hormones et développement des plantes / Hormone und Entwicklung der Pflanzen** — UE-SBL.00045, 3 ECTS, Mandatory, Biology, program 30 ECTS
  - Section/description hint: 2.6.4 Prérequis pour la fréquentation des unités d ' enseignement de la BCo+30
- **Concepts généraux pour les enseignant.e.s en biologie / Allgemeine Konzepte für Biologielehrer_Innen / General concepts for biology teachers** — UE-SBL.00502, 1 ECTS, Mandatory, Biology, program 30 ECTS
  - Section/description hint: UE obligatoire
- **Chimie générale (avec exercices) / Allgemeine Chemie (mit Übungen)** — UE-SCH.01014, 6 ECTS, Mandatory, Biology, program 120 ECTS
  - Section/description hint: 1 ou 2 année : Mathématiques et chimie (obligatoire)
- **Grundlagen der organischen Chemie / Basic organic chemistry** — UE-SCH.01072, 3 ECTS, Mandatory, Biology, program 120 ECTS
  - Section/description hint: 1 ou 2 année : Mathématiques et chimie (obligatoire)
- **Statistique propédeutique (cours avec exercices)** — UE-SMA.00402, 3 ECTS, Mandatory, Biology, program 120 ECTS
  - Section/description hint: 1 ou 2 année : Mathématiques et chimie (obligatoire)
- **Biologie générale I (cours) / Allgemeine Biologie I (Vorlesung)** — UE-SBL.00001, 5 ECTS, Mandatory, Biology, program 120 ECTS
  - Section/description hint: 4 Modalités d'évaluation
- **Biologie générale II (cours) / Allgemeine Biologie II (Vorlesung)** — UE-SBL.00002, 5 ECTS, Mandatory, Biology, program 120 ECTS
  - Section/description hint: 4 Modalités d'évaluation
- **Biologie générale I (travaux pratiques) / Allgemeine Biologie I (Praktikum)** — UE-SBL.00003, 1 ECTS, Mandatory, Biology, program 120 ECTS
  - Section/description hint: 4 Modalités d'évaluation
- **Biologie générale II (travaux pratiques) / Allgemeine Biologie II (Praktikum)** — UE-SBL.00004, 1 ECTS, Mandatory, Biology, program 120 ECTS
  - Section/description hint: 4 Modalités d'évaluation
- **Ecologie / Ökologie** — UE-SBL.00013, 4 ECTS, Mandatory, Biology, program 120 ECTS
  - Section/description hint: 4 Modalités d'évaluation
- **Biologie moléculaire / Molekularbiologie** — UE-SBL.00014, 3 ECTS, Mandatory, Biology, program 120 ECTS
  - Section/description hint: 4 Modalités d'évaluation
- **Physiologie animale / Tierphysiologie** — UE-SBL.00015, 3 ECTS, Mandatory, Biology, program 120 ECTS
  - Section/description hint: 4 Modalités d'évaluation
- **Molekularbiologie der Pflanzen** — UE-SBL.00018, 3 ECTS, Mandatory, Biology, program 120 ECTS
  - Section/description hint: 4 Modalités d'évaluation
- **Méthodes de biologie moléculaire / Methoden der Molekularbiologie** — UE-SBL.00019, 3 ECTS, Mandatory, Biology, program 120 ECTS
  - Section/description hint: 4 Modalités d'évaluation
- **Neurobiologie** — UE-SBL.00020, 2 ECTS, Mandatory, Biology, program 120 ECTS
  - Section/description hint: 4 Modalités d'évaluation
- **Evolutionary Biology** — UE-SBL.00021, 3 ECTS, Mandatory, Biology, program 120 ECTS
  - Section/description hint: 4 Modalités d'évaluation
- **Travail de Bachelor (projet de recherche) / Bachelorarbeit (Forschungsprojekt) / Bachelor work (research project)** — UE-SBL.00031, 13 ECTS, Mandatory, Biology, program 120 ECTS
  - Section/description hint: 4 Modalités d'évaluation
- **Ecologie expérimentale / Experimentelle Ökologie** — UE-SBL.00037, 3 ECTS, Mandatory, Biology, program 120 ECTS
  - Section/description hint: 4 Modalités d'évaluation
- **Biologie des organismes I: Vertébrés** — UE-SBL.00040, 3 ECTS, Mandatory, Biology, program 120 ECTS
  - Section/description hint: 4 Modalités d'évaluation
- **Organismenbiologie II: Wirbellose Tiere** — UE-SBL.00041, 3 ECTS, Mandatory, Biology, program 120 ECTS
  - Section/description hint: 4 Modalités d'évaluation
- **Hormones et développement des plantes / Hormone und Entwicklung der Pflanzen** — UE-SBL.00045, 3 ECTS, Mandatory, Biology, program 120 ECTS
  - Section/description hint: 4 Modalités d'évaluation
- **Population genetics** — UE-SBL.00049, 3 ECTS, Mandatory, Biology, program 120 ECTS
  - Section/description hint: 4 Modalités d'évaluation
- **Physiologie et biologie cellulaire (travaux pratiques) / Physiologie und Zellbiologie (Praktikum)** — UE-SBL.00055, 1 ECTS, Mandatory, Biology, program 120 ECTS
  - Section/description hint: 4 Modalités d'évaluation
- **Biologie du développement** — UE-SBL.00057, 1.5 ECTS, Mandatory, Biology, program 120 ECTS
  - Section/description hint: 4 Modalités d'évaluation
- **Mécanismes de régénération / Mechanismen der Regeneration / Mechanisms of regeneration** — UE-SBL.00058, 1 ECTS, Mandatory, Biology, program 120 ECTS
  - Section/description hint: 4 Modalités d'évaluation
- **Diversité fonctionnelle des microorganismes** — UE-SBL.00061, 1.5 ECTS, Mandatory, Biology, program 120 ECTS
  - Section/description hint: 4 Modalités d'évaluation
- **Meeresbiologie (Workshop)** — UE-SBL.00062, 3 ECTS, Mandatory, Biology, program 120 ECTS
  - Section/description hint: 4 Modalités d'évaluation
- **Bases de bactériologie** — UE-SBL.00063, 1.5 ECTS, Mandatory, Biology, program 120 ECTS
  - Section/description hint: 4 Modalités d'évaluation
- **Canaux ioniques: fonctions et dysfonctions** — UE-SBL.00064, 1 ECTS, Mandatory, Biology, program 120 ECTS
  - Section/description hint: 4 Modalités d'évaluation
- **Travaux pratiques de biologie moléculaire / Praktikum Molekularbiologie** — UE-SBL.00065, 1 ECTS, Mandatory, Biology, program 120 ECTS
  - Section/description hint: 4 Modalités d'évaluation
- **Molekular- und Zellbiologie der Pflanzen (Praktikum)** — UE-SBL.00066, 1 ECTS, Mandatory, Biology, program 120 ECTS
  - Section/description hint: 4 Modalités d'évaluation
- **Gewebestammzellen und das Zytoskelett** — UE-SBL.00067, 1 ECTS, Mandatory, Biology, program 120 ECTS
  - Section/description hint: 4 Modalités d'évaluation
- **Phytopathologie et interactions plantes-pathogènes / Phytopathologie und Pflanzen-Pathogen Interaktionen** — UE-SBL.00068, 3 ECTS, Mandatory, Biology, program 120 ECTS
  - Section/description hint: 4 Modalités d'évaluation
- **Nutzpflanzen der Welt** — UE-SBL.00069, 3 ECTS, Mandatory, Biology, program 120 ECTS
  - Section/description hint: 4 Modalités d'évaluation
- **Research internship** — UE-SBL.00070, 3 ECTS, Mandatory, Biology, program 120 ECTS
  - Section/description hint: 4 Modalités d'évaluation
- **Métabolisme spécialisé : importance en écologie chimique et en santé humaine** — UE-SBL.00073, 1.5 ECTS, Mandatory, Biology, program 120 ECTS
  - Section/description hint: 4 Modalités d'évaluation
- **Biologie des organismes III: Champignons et plantes (cours et travaux pratiques / excursions) / Organismenbiologie III: Pilze und Pflanzen (Vorlesung und Praktikum / Exkursionen)** — UE-SBL.00074, 5 ECTS, Mandatory, Biology, program 120 ECTS
  - Section/description hint: 4 Modalités d'évaluation
- **Introduction to biostatistics** — UE-SBL.00075, 1.5 ECTS, Mandatory, Biology, program 120 ECTS
  - Section/description hint: 4 Modalités d'évaluation
- **Experimental genetics** — UE-SBL.00114, 1 ECTS, Mandatory, Biology, program 120 ECTS
  - Section/description hint: 4 Modalités d'évaluation
- **The RNA world** — UE-SBL.00115, 1.5 ECTS, Mandatory, Biology, program 120 ECTS
  - Section/description hint: 4 Modalités d'évaluation
- **Neurogenetics** — UE-SBL.00117, 3 ECTS, Mandatory, Biology, program 120 ECTS
  - Section/description hint: 4 Modalités d'évaluation
- **BENEFRI workshop "Frontiers in neurosciences"** — UE-SBL.00118, 1.5 ECTS, Mandatory, Biology, program 120 ECTS
  - Section/description hint: 4 Modalités d'évaluation
- **Molecular genetics of model organism development** — UE-SBL.00119, 3 ECTS, Mandatory, Biology, program 120 ECTS
  - Section/description hint: 4 Modalités d'évaluation
- **Cellular and genetic networks (BeFri)** — UE-SBL.00123, 3 ECTS, Mandatory, Biology, program 120 ECTS
  - Section/description hint: 4 Modalités d'évaluation
- **Light and fluorescence microscopy for Life Sciences** — UE-SBL.00125, 3 ECTS, Mandatory, Biology, program 120 ECTS
  - Section/description hint: 4 Modalités d'évaluation
- **Established and emerging organisms for marine science** — UE-SBL.00126, 6 ECTS, Mandatory, Biology, program 120 ECTS
  - Section/description hint: 4 Modalités d'évaluation
- **BeFri research colloquium in cell and developmental biology I** — UE-SBL.00127, 1.5 ECTS, Mandatory, Biology, program 120 ECTS
  - Section/description hint: 4 Modalités d'évaluation
- **BeFri research colloquium in cell and developmental biology II** — UE-SBL.00128, 1.5 ECTS, Mandatory, Biology, program 120 ECTS
  - Section/description hint: 4 Modalités d'évaluation
- **BeFri research retreat in cell and developmental biology** — UE-SBL.00129, 1 ECTS, Mandatory, Biology, program 120 ECTS
  - Section/description hint: 4 Modalités d'évaluation
- **Nuclear organization and chromatin dynamics** — UE-SBL.00130, 1 ECTS, Mandatory, Biology, program 120 ECTS
  - Section/description hint: 4 Modalités d'évaluation
- **Ecological field course** — UE-SBL.00205, 5 ECTS, Mandatory, Biology, program 120 ECTS
  - Section/description hint: 4 Modalités d'évaluation
- **Symbiosis: how plants and microbes communicate** — UE-SBL.00307, 1.5 ECTS, Mandatory, Biology, program 120 ECTS
  - Section/description hint: 4 Modalités d'évaluation
- **Plant development: the life of a sessile organism** — UE-SBL.00308, 1.5 ECTS, Mandatory, Biology, program 120 ECTS
  - Section/description hint: 4 Modalités d'évaluation
- **Plant biotechnology** — UE-SBL.00323, 3 ECTS, Mandatory, Biology, program 120 ECTS
  - Section/description hint: 4 Modalités d'évaluation
- **Scientific writing** — UE-SBL.00410, 3 ECTS, Mandatory, Biology, program 120 ECTS
  - Section/description hint: 4 Modalités d'évaluation
- **Signalling and transport** — UE-SBL.00411, 1 ECTS, Mandatory, Biology, program 120 ECTS
  - Section/description hint: 4 Modalités d'évaluation
- **Introduction to protein structure and function** — UE-SBL.00412, 1 ECTS, Mandatory, Biology, program 120 ECTS
  - Section/description hint: 4 Modalités d'évaluation
- **Cell fate and tissue regeneration** — UE-SBL.00414, 1 ECTS, Mandatory, Biology, program 120 ECTS
  - Section/description hint: 4 Modalités d'évaluation
- **Cell proliferation** — UE-SBL.00415, 1 ECTS, Mandatory, Biology, program 120 ECTS
  - Section/description hint: 4 Modalités d'évaluation
- **Biological rhythms** — UE-SBL.00416, 1 ECTS, Mandatory, Biology, program 120 ECTS
  - Section/description hint: 4 Modalités d'évaluation
- **Microbial metabolism and genetics** — UE-SBL.00418, 1 ECTS, Mandatory, Biology, program 120 ECTS
  - Section/description hint: 4 Modalités d'évaluation
- **Advanced imaging** — UE-SBL.00419, 1 ECTS, Mandatory, Biology, program 120 ECTS
  - Section/description hint: 4 Modalités d'évaluation
- **Career profiling in life sciences** — UE-SBL.00420, 1 ECTS, Mandatory, Biology, program 120 ECTS
  - Section/description hint: 4 Modalités d'évaluation
- **Oceanography and Marine Ecosystems** — UE-SBL.00421, 1 ECTS, Mandatory, Biology, program 120 ECTS
  - Section/description hint: 4 Modalités d'évaluation
- **Metagenomics data analysis** — UE-SBL.00425, 1 ECTS, Mandatory, Biology, program 120 ECTS
  - Section/description hint: 4 Modalités d'évaluation
- **Visual communication of data** — UE-SBL.00427, 1 ECTS, Mandatory, Biology, program 120 ECTS
  - Section/description hint: 4 Modalités d'évaluation
- **Optogenetics and photopharmacology** — UE-SBL.00428, 1 ECTS, Mandatory, Biology, program 120 ECTS
  - Section/description hint: 4 Modalités d'évaluation
- **Animal models of regeneration** — UE-SBL.00429, 2 ECTS, Mandatory, Biology, program 120 ECTS
  - Section/description hint: 4 Modalités d'évaluation
- **Seminars in biology** — UE-SBL.00431, 2 ECTS, Mandatory, Biology, program 120 ECTS
  - Section/description hint: 4 Modalités d'évaluation
- **Seminars in biology** — UE-SBL.00432, 1.5 ECTS, Mandatory, Biology, program 120 ECTS
  - Section/description hint: 4 Modalités d'évaluation
- **Introduction to mass spectrometry and proteomics** — UE-SBL.00451, 1 ECTS, Mandatory, Biology, program 120 ECTS
  - Section/description hint: 4 Modalités d'évaluation
- **Protéomique quantitative avancée / Quantitative Proteomik für Fortgeschrittene / Advanced quantitative proteomics** — UE-SBL.00452, 1 ECTS, Mandatory, Biology, program 120 ECTS
  - Section/description hint: 4 Modalités d'évaluation
- **Protein homeostasis: translation, quality control, degradation** — UE-SBL.00453, 1 ECTS, Mandatory, Biology, program 120 ECTS
  - Section/description hint: 4 Modalités d'évaluation
- **Concepts généraux pour les enseignant.e.s en biologie / Allgemeine Konzepte für Biologielehrer_Innen / General concepts for biology teachers** — UE-SBL.00502, 1 ECTS, Mandatory, Biology, program 120 ECTS
  - Section/description hint: 4 Modalités d'évaluation
- **Introduction to microscopy** — UE-SBL.00503, 1 ECTS, Mandatory, Biology, program 120 ECTS
  - Section/description hint: 4 Modalités d'évaluation
- **Fondements de génétique / Grundlagen der Genetik** — UE-SBL.01500, 3 ECTS, Mandatory, Biology, program 120 ECTS
  - Section/description hint: 4 Modalités d'évaluation
- **Biologie de la cellule / Zellbiologie** — UE-SBL.01501, 4 ECTS, Mandatory, Biology, program 120 ECTS
  - Section/description hint: 4 Modalités d'évaluation
- **Master thesis (3 semesters)** — UE-SBL.05001, 60 ECTS, Mandatory, Biology, program 120 ECTS
  - Section/description hint: 4 Modalités d'évaluation
- **Master thesis (2 semesters)** — UE-SBL.05002, 45 ECTS, Mandatory, Biology, program 120 ECTS
  - Section/description hint: 4 Modalités d'évaluation
- **Classical models in biology (lecture)** — UE-SBL.06002, 3 ECTS, Mandatory, Biology, program 120 ECTS
  - Section/description hint: 4 Modalités d'évaluation
- **Classical models in biology (exercises)** — UE-SBL.06003, 1 ECTS, Mandatory, Biology, program 120 ECTS
  - Section/description hint: 4 Modalités d'évaluation
- **Modelling human diseases in experimental genetic systems** — UE-SBL.10001, 2 ECTS, Mandatory, Biology, program 120 ECTS
  - Section/description hint: 4 Modalités d'évaluation
- **From bench to bedside** — UE-SBL.10002, 0.5 ECTS, Mandatory, Biology, program 120 ECTS
  - Section/description hint: 4 Modalités d'évaluation
- **Health-related topics in developmental biology** — UE-SBL.10003, 2 ECTS, Mandatory, Biology, program 120 ECTS
  - Section/description hint: 4 Modalités d'évaluation
- **Ethics in stem cell research** — UE-SBL.10004, 1 ECTS, Mandatory, Biology, program 120 ECTS
  - Section/description hint: 4 Modalités d'évaluation
- **Polar biology** — UE-SBL.10007, 1 ECTS, Mandatory, Biology, program 120 ECTS
  - Section/description hint: 4 Modalités d'évaluation
- **Omics approaches in marine sciences** — UE-SBL.10008, 1 ECTS, Mandatory, Biology, program 120 ECTS
  - Section/description hint: 4 Modalités d'évaluation
- **Advanced marine biology practical course** — UE-SBL.10009, 4 ECTS, Mandatory, Biology, program 120 ECTS
  - Section/description hint: 4 Modalités d'évaluation
- **Structure, function and diseases of lipid metabolism** — UE-SBL.10011, 1 ECTS, Mandatory, Biology, program 120 ECTS
  - Section/description hint: 4 Modalités d'évaluation
- **Zebrafish License Course, practical part** — UE-SBL.10013, 1 ECTS, Mandatory, Biology, program 120 ECTS
  - Section/description hint: 4 Modalités d'évaluation
- **Cancer immunology** — UE-SBL.10014, 1 ECTS, Mandatory, Biology, program 120 ECTS
  - Section/description hint: 4 Modalités d'évaluation
- **Journal club in molecular life sciences** — UE-SBL.10100, 3 ECTS, Mandatory, Biology, program 120 ECTS
  - Section/description hint: 4 Modalités d'évaluation
- **Journal club in molecular life sciences** — UE-SBL.10102, 2 ECTS, Mandatory, Biology, program 120 ECTS
  - Section/description hint: 4 Modalités d'évaluation
- **Research group meetings in molecular life sciences** — UE-SBL.10103, 3 ECTS, Mandatory, Biology, program 120 ECTS
  - Section/description hint: 4 Modalités d'évaluation
- **Research group meetings in molecular life sciences** — UE-SBL.10104, 2 ECTS, Mandatory, Biology, program 120 ECTS
  - Section/description hint: 4 Modalités d'évaluation
- **Research seminars in molecular life sciences** — UE-SBL.10105, 3 ECTS, Mandatory, Biology, program 120 ECTS
  - Section/description hint: 4 Modalités d'évaluation
- **Biostatistics II - multivariate analysis** — UE-SBL.20002, 3 ECTS, Mandatory, Biology, program 120 ECTS
  - Section/description hint: 4 Modalités d'évaluation
- **Methods in plant pathogen interactions** — UE-SBL.20003, 4 ECTS, Mandatory, Biology, program 120 ECTS
  - Section/description hint: 4 Modalités d'évaluation
- **Introduction to metabolomics: data acquisition and processing** — UE-SBL.20004, 2 ECTS, Mandatory, Biology, program 120 ECTS
  - Section/description hint: 4 Modalités d'évaluation
- **Critical reading** — UE-SBL.20005, 3 ECTS, Mandatory, Biology, program 120 ECTS
  - Section/description hint: 4 Modalités d'évaluation
- **Community ecology** — UE-SBL.20031, 3 ECTS, Mandatory, Biology, program 120 ECTS
  - Section/description hint: 4 Modalités d'évaluation
- **Population and evolutionary dynamics** — UE-SBL.20032, 3 ECTS, Mandatory, Biology, program 120 ECTS
  - Section/description hint: 4 Modalités d'évaluation
- **Evolutionary genomics** — UE-SBL.20034, 3 ECTS, Mandatory, Biology, program 120 ECTS
  - Section/description hint: 4 Modalités d'évaluation
- **Structure and functions of host-associated microbiota** — UE-SBL.20035, 3 ECTS, Mandatory, Biology, program 120 ECTS
  - Section/description hint: 4 Modalités d'évaluation
- **Invasion biology** — UE-SBL.20037, 3 ECTS, Mandatory, Biology, program 120 ECTS
  - Section/description hint: 4 Modalités d'évaluation
- **Research internship** — UE-SBL.20038, 4 ECTS, Mandatory, Biology, program 120 ECTS
  - Section/description hint: 4 Modalités d'évaluation
- **Research seminars in environmental biology (4 sem.)** — UE-SBL.20081, 5 ECTS, Mandatory, Biology, program 120 ECTS
  - Section/description hint: 4 Modalités d'évaluation
- **Research seminars in environmental biology (3 sem.)** — UE-SBL.20082, 4 ECTS, Mandatory, Biology, program 120 ECTS
  - Section/description hint: 4 Modalités d'évaluation
- **Research group meetings in environmental biology (4 sem.)** — UE-SBL.20083, 3 ECTS, Mandatory, Biology, program 120 ECTS
  - Section/description hint: 4 Modalités d'évaluation
- **Research group meetings in environmental Biology (3 sem.)** — UE-SBL.20084, 2 ECTS, Mandatory, Biology, program 120 ECTS
  - Section/description hint: 4 Modalités d'évaluation
- **Machine learning** — UE-SBL.30002, 5 ECTS, Mandatory, Biology, program 120 ECTS
  - Section/description hint: 4 Modalités d'évaluation
- **Organization and annotation of eukaryote genomes** — UE-SBL.30004, 3 ECTS, Mandatory, Biology, program 120 ECTS
  - Section/description hint: 4 Modalités d'évaluation
- **Fondements de biochimie / Grundlagen der Biochemie** — UE-SBC.00119, 6 ECTS, Mandatory, Biology, program 120 ECTS
  - Section/description hint: Branches propédeutiques générales
- **Biologie cellulaire / Zellbiologie** — UE-SBC.00106, 4 ECTS, Mandatory, Biology, program 120 ECTS
  - Section/description hint: Organismes et travail de Bachelor
- **Basic bioinformatics and genomics** — UE-SBC.07004, 2 ECTS, Mandatory, Biology, program 120 ECTS
  - Section/description hint: Organismes et travail de Bachelor
- **Microbiologie générale et médicale** — UE-SME.05103, 3 ECTS, Mandatory, Biology, program 120 ECTS
  - Section/description hint: Organismes et travail de Bachelor
- **Biologie générale I (cours) / Allgemeine Biologie I (Vorlesung)** — UE-SBL.00001, 5 ECTS, Mandatory, Biomedical Sciences, program 120 ECTS
  - Section/description hint: Semestre 1 (automne)
- **Biologie générale I (travaux pratiques) / Allgemeine Biologie I (Praktikum)** — UE-SBL.00003, 1 ECTS, Mandatory, Biomedical Sciences, program 120 ECTS
  - Section/description hint: Semestre 1 (automne)
- **Chimie générale (avec exercices) / Allgemeine Chemie (mit Übungen)** — UE-SCH.01014, 6 ECTS, Mandatory, Biomedical Sciences, program 120 ECTS
  - Section/description hint: Semestre 1 (automne)
- **Analyse propédeutique I (cours avec exercices)** — UE-SMA.00103, 3 ECTS, Mandatory, Biomedical Sciences, program 120 ECTS
  - Section/description hint: Semestre 1 (automne)
- **Bases morphologiques et fonctionnelles – Systèmes Ia / Morphologische und funktionelle Grundlagen – Systeme Ia** — UE-SME.01202, 10 ECTS, Mandatory, Biomedical Sciences, program 120 ECTS
  - Section/description hint: Semestre 1 (automne)
- **Physique propédeutique I pour sciences biomédicales (travaux pratiques) / Propädeutische Physik I für biomedizinische Wissenschaften (Praktikum) / Introductory physics I for biomedical sciences (practical course)** — UE-SPH.01013, 1 ECTS, Mandatory, Biomedical Sciences, program 120 ECTS
  - Section/description hint: Semestre 1 (automne)
- **Physique propédeutique I (cours et exercices)** — UE-SPH.01103, 5 ECTS, Mandatory, Biomedical Sciences, program 120 ECTS
  - Section/description hint: Semestre 1 (automne)
- **Fondements de biochimie / Grundlagen der Biochemie** — UE-SBC.00119, 6 ECTS, Mandatory, Biomedical Sciences, program 120 ECTS
  - Section/description hint: Semestre 2 (printemps)
- **Chimie générale (travaux pratiques)** — UE-SCH.01024, 3 ECTS, Mandatory, Biomedical Sciences, program 120 ECTS
  - Section/description hint: Semestre 2 (printemps)
- **Grundlagen der organischen Chemie / Basic organic chemistry** — UE-SCH.01072, 3 ECTS, Mandatory, Biomedical Sciences, program 120 ECTS
  - Section/description hint: Semestre 2 (printemps)
- **Analyse propédeutique II (cours avec exercices)** — UE-SMA.00104, 3 ECTS, Mandatory, Biomedical Sciences, program 120 ECTS
  - Section/description hint: Semestre 2 (printemps)
- **Bases morphologiques et fonctionnelles – Systèmes Ib / Morphologische und funktionelle Grundlagen – Systeme Ib** — UE-SME.02202, 6 ECTS, Mandatory, Biomedical Sciences, program 120 ECTS
  - Section/description hint: Semestre 2 (printemps)
- **Biostatistique / Biostatistik** — UE-SME.02303, 2 ECTS, Mandatory, Biomedical Sciences, program 120 ECTS
  - Section/description hint: Semestre 2 (printemps)
- **Physique propédeutique II pour sciences biomédicales (travaux pratiques) / Propädeutische Physik II für biomedizinische Wissenschaften (Praktikum) / Introductory physics II for biomedical sciences (practical course)** — UE-SPH.01014, 1 ECTS, Mandatory, Biomedical Sciences, program 120 ECTS
  - Section/description hint: Semestre 2 (printemps)
- **Propädeutische Physik II (Vorlesung und Übungen)** — UE-SPH.01203, 5 ECTS, Mandatory, Biomedical Sciences, program 120 ECTS
  - Section/description hint: Semestre 2 (printemps)
- **Biochimie générale / Allgemeine Biochemie** — UE-SBC.00114, 3.5 ECTS, Mandatory, Biomedical Sciences, program 120 ECTS
  - Section/description hint: Semestre 3 (automne)
- **Biologie moléculaire / Molekularbiologie** — UE-SBL.00014, 3 ECTS, Mandatory, Biomedical Sciences, program 120 ECTS
  - Section/description hint: Semestre 3 (automne)
- **Système cardiovasculaire – Sang II; Respiration / Herz- und Kreislaufsystem – Blut II; Atmung** — UE-SME.03203, 9.25 ECTS, Mandatory, Biomedical Sciences, program 120 ECTS
  - Section/description hint: Semestre 3 (automne)
- **Rein et voies urinaires - Nutrition et di</t>
        </is>
      </c>
      <c r="AR30" s="11" t="n"/>
    </row>
    <row r="31">
      <c r="A31" s="11" t="n">
        <v>30</v>
      </c>
      <c r="B31" s="11" t="inlineStr">
        <is>
          <t>program_structure_filtering</t>
        </is>
      </c>
      <c r="C31" s="11" t="inlineStr">
        <is>
          <t>medium</t>
        </is>
      </c>
      <c r="D31" s="11" t="inlineStr">
        <is>
          <t>EN</t>
        </is>
      </c>
      <c r="E31" s="11" t="inlineStr">
        <is>
          <t>Which study plan documents are stored for Social Anthropology?</t>
        </is>
      </c>
      <c r="F31" s="11" t="inlineStr">
        <is>
          <t>Exact values from DB.</t>
        </is>
      </c>
      <c r="G31" s="11" t="inlineStr">
        <is>
          <t>DB</t>
        </is>
      </c>
      <c r="H31" s="11" t="inlineStr">
        <is>
          <t>API /programs/:id/documents</t>
        </is>
      </c>
      <c r="I31" s="11" t="inlineStr">
        <is>
          <t>StudyProgram, consist_of, Course, programDocument</t>
        </is>
      </c>
      <c r="J31" s="11" t="inlineStr">
        <is>
          <t>document labels/URLs</t>
        </is>
      </c>
      <c r="K31" s="11" t="inlineStr">
        <is>
          <t>Replace placeholders where needed.</t>
        </is>
      </c>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inlineStr">
        <is>
          <t>2026-05-25T01:18:59</t>
        </is>
      </c>
      <c r="AI31" s="11" t="n">
        <v>200</v>
      </c>
      <c r="AJ31" s="11" t="b">
        <v>1</v>
      </c>
      <c r="AK31" s="11" t="n">
        <v>1303922.16</v>
      </c>
      <c r="AL31" s="11" t="n">
        <v>1303981.43</v>
      </c>
      <c r="AM31" s="11" t="n"/>
      <c r="AN31" s="11" t="n">
        <v>1303980.71</v>
      </c>
      <c r="AO31" s="11" t="inlineStr">
        <is>
          <t>get_program_docs</t>
        </is>
      </c>
      <c r="AP31" s="11" t="n">
        <v>8</v>
      </c>
      <c r="AQ31" s="11" t="inlineStr">
        <is>
          <t>The study plan documents stored for Social Anthropology are:
1. "Studienplan Bachelor-Programm zu 30 Kreditpunkten ECTS Sozialanthropologie (D / F / Bil)" [91dace341d2150adc4557a71930d70363ac6dde4.txt p.1]
2. Section: 2. Programmstruktur
3. Section: 3. Kredite und Evaluation der Leistungen
4. Section: 4. Sprachen
These documents are stored in the metadata as follows:
* programme_name_en=Social Anthropology; programme_name_de=Sozialanthropologie; programme_name_fr=Anthropologie sociale;
* program_key=faculty of humanities|bachelor|30|social anthropology
* level=Bachelor
* ects_points=30
Note that there are multiple documents stored for Social Anthropology, but they all seem to be related to the same study plan.</t>
        </is>
      </c>
      <c r="AR31" s="11" t="n"/>
    </row>
    <row r="32">
      <c r="A32" s="11" t="n">
        <v>31</v>
      </c>
      <c r="B32" s="11" t="inlineStr">
        <is>
          <t>program_structure_filtering</t>
        </is>
      </c>
      <c r="C32" s="11" t="inlineStr">
        <is>
          <t>medium</t>
        </is>
      </c>
      <c r="D32" s="11" t="inlineStr">
        <is>
          <t>EN</t>
        </is>
      </c>
      <c r="E32" s="11" t="inlineStr">
        <is>
          <t>Show all courses with 6 ECTS.</t>
        </is>
      </c>
      <c r="F32" s="11" t="inlineStr">
        <is>
          <t>Exact values from DB.</t>
        </is>
      </c>
      <c r="G32" s="11" t="inlineStr">
        <is>
          <t>DB</t>
        </is>
      </c>
      <c r="H32" s="11" t="inlineStr">
        <is>
          <t>API /courses?ects=6</t>
        </is>
      </c>
      <c r="I32" s="11" t="inlineStr">
        <is>
          <t>StudyProgram, consist_of, Course, programDocument</t>
        </is>
      </c>
      <c r="J32" s="11" t="inlineStr">
        <is>
          <t>course list</t>
        </is>
      </c>
      <c r="K32" s="11" t="inlineStr">
        <is>
          <t>Replace placeholders where needed.</t>
        </is>
      </c>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inlineStr">
        <is>
          <t>2026-05-25T01:18:59</t>
        </is>
      </c>
      <c r="AI32" s="11" t="n">
        <v>200</v>
      </c>
      <c r="AJ32" s="11" t="b">
        <v>1</v>
      </c>
      <c r="AK32" s="11" t="n">
        <v>80.28</v>
      </c>
      <c r="AL32" s="11" t="n">
        <v>62.99</v>
      </c>
      <c r="AM32" s="11" t="n"/>
      <c r="AN32" s="11" t="n">
        <v>62.01</v>
      </c>
      <c r="AO32" s="11" t="inlineStr">
        <is>
          <t>get_courses</t>
        </is>
      </c>
      <c r="AP32" s="11" t="n">
        <v>0</v>
      </c>
      <c r="AQ32" s="11" t="inlineStr">
        <is>
          <t>Found 407 result(s):
- Tutorat droit commercial (UE-DDR.00183, 6 ECTS, Faculty of Law)
- Moot Court ICC Mediation Competition (UE-DDR.00196, 6 ECTS, Faculty of Law)
- Droit civil I (UE-DDR.00358, 6 ECTS, Faculty of Law)
- Zivilrecht I (UE-DDR.00360, 6 ECTS, Faculty of Law)
- Droit fiscal (UE-DDR.00496, 6 ECTS, Faculty of Law)
- Steuerrecht (UE-DDR.00498, 6 ECTS, Faculty of Law)
- Philosophie du droit (UE-DDR.00500, 6 ECTS, Faculty of Law)
- Rechtsphilosophie (UE-DDR.00637, 6 ECTS, Faculty of Law)
- Einführung in das Religionsrecht (Master) (UE-DDR.00718, 6 ECTS, Faculty of Law)
- Introduction au droit des religions (Master) (UE-DDR.00754, 6 ECTS, Faculty of Law)
- Microéconomie II (UE-EEP.00160, 6 ECTS, Faculty of Management, Economics and Social Sciences)
- Mikroökonomie II (UE-EEP.00161, 6 ECTS, Faculty of Management, Economics and Social Sciences)
- Macroéconomie I (UE-EEP.00220, 6 ECTS, Faculty of Management, Economics and Social Sciences)
- Makroökonomie I (UE-EEP.00221, 6 ECTS, Faculty of Management, Economics and Social Sciences)
- Macroéconomie II (UE-EEP.00229, 6 ECTS, Faculty of Management, Economics and Social Sciences)
- Makroökonomie II (UE-EEP.00230, 6 ECTS, Faculty of Management, Economics and Social Sciences)
- ECO02F: Économie publique (UE-EEP.00336, 6 ECTS, Faculty of Management, Economics and Social Sciences)
- ECO02D: Wirtschafts- und Finanzpolitik (UE-EEP.00337, 6 ECTS, Faculty of Management, Economics and Social Sciences)
- ECO01F: Histoire des faits économiques (UE-EEP.00355, 6 ECTS, Faculty of Management, Economics and Social Sciences)
- ECO01D: Wirtschaftsgeschichte (UE-EEP.00356, 6 ECTS, Faculty of Management, Economics and Social Sciences)
- Advanced Microeconomics (UE-EEP.00495, 6 ECTS, Faculty of Management, Economics and Social Sciences)
- Econometric Methods and Applications (UE-EEP.00496, 6 ECTS, Faculty of Management, Economics and Social Sciences)
- Introduction à la gestion d'entreprise (UE-EGE.00135, 6 ECTS, Faculty of Management, Economics and Social Sciences)
- Einführung in die Betriebswirtschaftslehre (UE-EGE.00136, 6 ECTS, Faculty of Management, Economics and Social Sciences)
- Introduction à la comptabilité (UE-EGE.00137, 6 ECTS, Faculty of Management, Economics and Social Sciences)
- Unternehmensrechnung (UE-EGE.00138, 6 ECTS, Faculty of Management, Economics and Social Sciences)
- Organisation (f) (UE-EGE.00253, 6 ECTS, Faculty of Management, Economics and Social Sciences)
- Organisation (d) (UE-EGE.00258, 6 ECTS, Faculty of Management, Economics and Social Sciences)
- MAN01F: Investissement et financement (UE-EGE.00273, 6 ECTS, Faculty of Management, Economics and Social Sciences)
- MAN01D: Investitions- und Finanzierungstheorie (UE-EGE.00274, 6 ECTS, Faculty of Management, Economics and Social Sciences)
- MAN03F: Recherche Marketing (UE-EGE.00277, 6 ECTS, Faculty of Management, Economics and Social Sciences)
- MAN03D: Marketingforschung (UE-EGE.00278, 6 ECTS, Faculty of Management, Economics and Social Sciences)
- Operations Management (f) (UE-EIG.00014, 6 ECTS, Faculty of Management, Economics and Social Sciences)
- Operations Management (d) (UE-EIG.00015, 6 ECTS, Faculty of Management, Economics and Social Sciences)
- Informatique de gestion I (UE-EIG.00036, 6 ECTS, Faculty of Management, Economics and Social Sciences)
- Wirtschaftsinformatik I (UE-EIG.00037, 6 ECTS, Faculty of Management, Economics and Social Sciences)
- Informatique de gestion II (UE-EIG.00038, 6 ECTS, Faculty of Management, Economics and Social Sciences)
- Wirtschaftsinformatik II (UE-EIG.00039, 6 ECTS, Faculty of Management, Economics and Social Sciences)
- Information Systems Modeling (UE-EIG.00132, 6 ECTS, Faculty of Management, Economics and Social Sciences)
- Forschungsseminar: Medienkrisen-Management: Schweizer Medienpolitik zwischen Lobbying und öffentlichem Interesse (UE-EKM.01436, 6 ECTS, Faculty of Management, Economics and Social Sciences)
- Forschungsseminar: «The (Social) Media Apocalypse» – Wer überlebt den digitalen Wahnsinn? (UE-EKM.01470, 6 ECTS, Faculty of Management, Economics and Social Sciences)
- Forschungsseminar: Ausgewogenheit in der Berichterstattung (UE-EKM.01481, 6 ECTS, Faculty of Management, Economics and Social Sciences)
- Project Seminar Paper: The Smartphone Dilemma in Schools: How Do Mobile Device Restrictions Shape School Culture and Pupils’ Well-being? (UE-EKM.01564, 6 ECTS, Faculty of Management, Economics and Social Sciences)
- Forschungsseminar: Sturm auf den Service public: Wer hat Einfluss auf die Regulierung der SRG? (UE-EKM.01568, 6 ECTS, Faculty of Management, Economics and Social Sciences)
- Forschungsseminar: Die Macht der Bilder: Visuelle Inhaltsanalyse des Bildes der Schweiz zwischen Selbstinszenierung und Desinformation (UE-EKM.01570, 6 ECTS, Faculty of Management, Economics and Social Sciences)
- Hauptseminararbeit: Krisenkommunikation und strategisches Reputationsmanagement (UE-EKM.01580, 6 ECTS, Faculty of Management, Economics and Social Sciences)
- Microéconomie I (UE-ESE.00040, 6 ECTS, Faculty of Management, Economics and Social Sciences)
- Mikroökonomie I (UE-ESE.00041, 6 ECTS, Faculty of Management, Economics and Social Sciences)
- Pédagogie spécialisée I (UE-F22.00001, 6 ECTS, Faculty of Education)
- Polyhandicap (UE-F22.00003, 6 ECTS, Faculty of Education)
- Développement (UE-F22.00004, 6 ECTS, Faculty of Education)
- Verhaltensauffälligenpädagogik Einführung (UE-F22.00005, 6 ECTS, Faculty of Education)
- Logopädie/Sprachheilpädagogik (UE-F22.00009, 6 ECTS, Faculty of Education)
- Observation et évaluation (UE-F22.00011, 6 ECTS, Faculty of Education)
- Psychopathologie (UE-F22.00012, 6 ECTS, Faculty of Education)
- Allgemeine Sonderpädagogik (UE-F22.00013, 6 ECTS, Faculty of Education)
- Heilpädagogische Früherziehung (UE-F22.00017, 6 ECTS, Faculty of Education)
- Vertiefung in der Pädagogik bei Verhaltensauffälligkeiten und emotionalen und sozialen Entwicklungsstörunge (UE-F22.00027, 6 ECTS, Faculty of Education)
- Erwachsene mit geistiger Behinderung (UE-F22.00035, 6 ECTS, Faculty of Education)
- Diagnostik in der Schulischen Heilpädagogik (UE-F22.00037, 6 ECTS, Faculty of Education)
- Statistik I und II (UE-F22.00041, 6 ECTS, Faculty of Education)
- Projektseminar (UE-F22.00056, 6 ECTS, Faculty of Education)
- Sociétés et différences (UE-F22.00063, 6 ECTS, Faculty of Education)
- Statistiques I et II (UE-F22.00067, 6 ECTS, Faculty of Education)
- Formation pratique 1 (FP1) : Stage dans le domaine des troubles d’apprentissage, troubles du langage, troubles du comportement (UE-F22.00069, 6 ECTS, Faculty of Education)
- Formation pratique 2 (FP2) : Stage dans le domaine du TDI (UE-F22.00073, 6 ECTS, Faculty of Education)
- Formation pratique 3 (FP 3) : Stage à choix (UE-F22.00074, 6 ECTS, Faculty of Education)
- Ausbildungspraktikum (B) im Arbeitsgebiet Lern-, Sprachbehinderung oder Verhaltensauffälligkeiten (UE-F22.00075, 6 ECTS, Faculty of Education)
- Ausbildungspraktikum (D) im schulisch- heilpädagogischen Arbeitsgebiet nach freier Wahl (UE-F22.00077, 6 ECTS, Faculty of Education)
- Adultes (UE-F22.00080, 6 ECTS, Faculty of Education)
- Interventions cognitives (UE-F22.00086, 6 ECTS, Faculty of Education)
- Pratique du projet pédagogique (UE-F22.00093, 6 ECTS, Faculty of Education)
- Geistigbehindertenpädagogik Einführung (UE-F22.00097, 6 ECTS, Faculty of Education)
- Geistigbehindertenpädagogik Einführung (UE-F22.00103, 6 ECTS, Faculty of Education)
- Pratiques d'intervention validées (UE-F22.00105, 6 ECTS, Faculty of Education)
- Séminaire de recherche (UE-F22.00106, 6 ECTS, Faculty of Education)
- Kinder und Jugendliche mit Lern- und Verhaltensschwierigkeiten: Grundlagen und sonderpädagogischer Unterricht (UE-F22.00114, 6 ECTS, Faculty of Education)
- Aussprachestörungen und verbale Dyspraxie (UE-F22.00116, 6 ECTS, Faculty of Education)
- Aphasie und kognitive Dysphasien (UE-F22.00174, 6 ECTS, Faculty of Education)
- Méthodologie de l'intervention en pédagogie spécialisée (UE-F22.00178, 6 ECTS, Faculty of Education)
- Einführung in die Pädagogik bei emotionalen und sozialen Entwicklungsstörungen (UE-F22.00198, 6 ECTS, Faculty of Education)
- Einführung in die Pädagogik bei intellektueller Behinderung (UE-F22.00199, 6 ECTS, Faculty of Education)
- Vertiefung in der Pädagogik bei emotionalen und sozialen Entwicklungsstörungen (UE-F22.00202, 6 ECTS, Faculty of Education)
- Erwachsene mit intellektueller Behinderung (UE-F22.00203, 6 ECTS, Faculty of Education)
- Blockkurse Sonderpädagogik und Sozialpädagogik (UE-F22.00215, 6 ECTS, Faculty of Education)
- Travaux pratiques de recherche (UE-F23.00009, 6 ECTS, Faculty of Education)
- Praktikum in einem pädagogischen Handlungsfeld (UE-F23.00051, 6 ECTS, Faculty of Education)
- Seminararbeit (Themen und Handlungsfelder der Erziehungswissenschaft) (UE-F23.00052, 6 ECTS, Faculty of Education)
- Stage (UE-F23.00056, 6 ECTS, Faculty of Education)
- Psychologie du développement (UE-F23.00058, 6 ECTS, Faculty of Education)
- Seminararbeit (Forschungsperspektiven in der Erziehungswissenschaft) (UE-F23.00059, 6 ECTS, Faculty of Education)
- Bachelor-Minor-Prüfung (UE-F23.00060, 6 ECTS, Faculty of Education)
- Einführung in Comparative and International Education (UE-F23.00067, 6 ECTS, Faculty of Education)
- Pratique de soutien à l'apprentissage (UE-F23.00074, 6 ECTS, Faculty of Education)
- Forschungspraktikum (UE-F23.00114, 6 ECTS, Faculty of Education)
- Méthodes de production de données (UE-F23.00131, 6 ECTS, Faculty of Education)
- Méthodes d’analyse de données (UE-F23.00134, 6 ECTS, Faculty of Education)
- Praktikum in einem pädagogischen Handlungsfeld (UE-F23.00138, 6 ECTS, Faculty of Education)
- Zwischenprüfung "Grundlagen der Erziehungswissenschaft" (UE-F23.00139, 6 ECTS, Faculty of Education)
- Fachdidaktisches Praktikum (UE-F24.00388, 6 ECTS, Faculty of Education)
- Stage en responsabilité partagée - M1 (UE-F24.00820, 6 ECTS, Faculty of Education)
- Travail final avec dossier de présentation (UE-F24.00896, 6 ECTS, Faculty of Education)
- Fachdidaktik Deutsch als Erstsprache, Sek II (UE-F24.00899, 6 ECTS, Faculty of Education)
- Fachdidaktik Französisch, Sek II (UE-F24.00900, 6 ECTS, Faculty of Education)
- Fachdidaktik Englisch, Sek II (UE-F24.00901, 6 ECTS, Faculty of Education)
- Fachdidaktik Italienisch als Erstsprache (UE-F24.00902, 6 ECTS, Faculty of Education)
- Fachdidaktik Rätoromanisch, Sek II (UE-F24.00903, 6 ECTS, Faculty of Education)
- Fachdidaktik Spanisch, Sek II (UE-F24.00904, 6 ECTS, Faculty of Education)
- Fachdidaktik Latein, Sek II (UE-F24.00905, 6 ECTS, Faculty of Education)
- Fachdidaktik Mathematik, Sek II (UE-F24.00906, 6 ECTS, Faculty of Education)
- Fachdidaktik Geschichte, Sek II (UE-F24.00907, 6 ECTS, Faculty of Education)
- Fachdidaktik Geografie, Sek II (UE-F24.00908, 6 ECTS, Faculty of Education)
- Fachdidaktik Musik, Sek II (UE-F24.00909, 6 ECTS, Faculty of Education)
- Fachdidaktik Religionslehre, Sek II (UE-F24.00910, 6 ECTS, Faculty of Education)
- Fachdidaktik Sport, Sek II (UE-F24.00911, 6 ECTS, Faculty of Education)
- Fachdidaktik Italienisch als Fremdsprache, Sek II (UE-F24.00961, 6 ECTS, Faculty of Education)
- Fachdidaktik Biologie, Sek II (UE-F24.00962, 6 ECTS, Faculty of Education)
- Fachdidaktik Chemie, Sek II (UE-F24.00963, 6 ECTS, Faculty of Education)
- Fachdidaktik Informatik, Sek II (UE-F24.00964, 6 ECTS, Faculty of Education)
- Fachdidaktik Physik, Sek II (UE-F24.00965, 6 ECTS, Faculty of Education)
- P2: Praktikum II SI (UE-F24.00997, 6 ECTS, Faculty of Education)
- Initiation à la recherche en éducation (UE-F24.01004, 6 ECTS, Faculty of Education)
- KLIP - Berufskompetenzen vertiefen (UE-F24.01005, 6 ECTS, Faculty of Education)
- KLIP - Berufskompetenzen vertiefen, W+R, ohne Berufspädagogisches Zertifikat (UE-F24.01022, 6 ECTS, Faculty of Education)
- A1.1 Deutsch als Fremdsprache (UE-I01.00066, 6 ECTS, Interfaculty)
- A2.1 Deutsch als Fremdsprache (UE-I01.00068, 6 ECTS, Interfaculty)
- A1.2 Deutsch als Fremdsprache (UE-I01.00077, 6 ECTS, Interfaculty)
- A2.2 Deutsch als Fremdsprache (UE-I01.00079, 6 ECTS, Interfaculty)
- A1.1: Français langue étrangère (UE-I01.00207, 6 ECTS, Interfaculty)
- A1.2 Français langue étrangère (UE-I04.00068, 6 ECTS, Interfaculty)
- B1.1 Deutsch als Fremdsprache (UE-I04.00080, 6 ECTS, Interfaculty)
- B1.2 Deutsch als Fremdsprache (UE-I04.00084, 6 ECTS, Interfaculty)
- Proséminaire d'analyse de textes (UE-L01.01769, 6 ECTS, Faculty of Humanities)
- Cours: Introduction à la philosophie russe (post-soviétique et contemporaine) (pmc, ars, eme) (UE-L01.02728, 6 ECTS, Faculty of Humanities)
- Vorlesung: Geist, bist du da? Mittelalterliche Psychologien (pme, eme, leh) (UE-L01.02730, 6 ECTS, Faculty of Humanities)
- Cours : L’éthique des générations futures (epp) (UE-L01.02736, 6 ECTS, Faculty of Humanities)
- Cours : L’éthique antique (pan, epp) (UE-L01.02742, 6 ECTS, Faculty of Humanities)
- Vorlesung: Sinnliche Ideen. Phänomenologie und Ästhetik (ars, pmc) (UE-L01.02748, 6 ECTS, Faculty of Humanities)
- Vorlesung: (Selbst-)Bewusstsein, Sprache und Welterschließung (leh, eme) (UE-L01.02797, 6 ECTS, Faculty of Humanities)
- Cours: L’idée de nature à l’époque moderne (pmc) (UE-L01.02815, 6 ECTS, Faculty of Humanities)
- Cours: Éthique et émotion - aimer (le) bien, haïr (le) mal (epp, leh) (UE-L01.02817, 6 ECTS, Faculty of Humanities)
- Cours: L’homme comme personne (pme, eme, leh) (UE-L01.02848, 6 ECTS, Faculty of Humanities)
- Vorlesung: Staatstheorien - Hobbes, Locke, Kant (epp, pmc) (UE-L01.02854, 6 ECTS, Faculty of Humanities)
- Vorlesung: Einführung in die Philosophie Platons (pan, leh, eme, epp) (UE-L01.02860, 6 ECTS, Faculty of Humanities)
- Cours: La philosophie par les astres. La révolution aérospatiale et ses conséquences (ars, pmc) (UE-L01.02866, 6 ECTS, Faculty of Humanities)
- Vorlesung: Das frühneuzeitliche Leib-Seele Problem (pmc) (UE-L01.02872, 6 ECTS, Faculty of Humanities)
- Proséminaire: Analyse de textes et usages de l'IA (UE-L01.02883, 6 ECTS, Faculty of Humanities)
- Cours: Temps et Histoire (ars, pmc, eme) (UE-L01.02889, 6 ECTS, Faculty of Humanities)
- Vorlesung: Allmächtig sein, ohne alles tun zu können (pme, eme) (UE-L01.02895, 6 ECTS, Faculty of Humanities)
- Cours: La philosophie théorique d'Aristote (pan, leh, eme) (UE-L01.02901, 6 ECTS, Faculty of Humanities)
- Vorlesung: Natürlich künstlich. Kunst und Technik im Zeitalter der Künstlichen Intelligenz (ars, pmc) (UE-L01.02907, 6 ECTS, Faculty of Humanities)
- Proseminar: Textanalyse und KI-Nutzung (UE-L01.02914, 6 ECTS, Faculty of Humanities)
- LT6 - Introduction aux méthodes et pratiques de recherche (UE-L02.00785, 6 ECTS, Faculty of Humanities)
- LT2 - Histoire littéraire XIXème-XXIème siècles (UE-L02.00802, 6 ECTS, Faculty of Humanities)
- LG6 - Analyse de l'oral (UE-L02.00830, 6 ECTS, Faculty of Humanities)
- MA 91 - L'année du livre 2026 (UE-L02.00851, 6 ECTS, Faculty of Humanities)
- LT12 - Histoire littéraire médiévale et lectures (UE-L02.00858, 6 ECTS, Faculty of Humanities)
- HL3 - Histoire de la langue française (UE-L02.00864, 6 ECTS, Faculty of Humanities)
- LG1 - Introduction à la linguistique (UE-L02.00923, 6 ECTS, Faculty of Humanities)
- LT3 - Séminaire de littérature XIXe-XXIe siècles: "Beckett (auto)traducteur" (UE-L02.01182, 6 ECTS, Faculty of Humanities)
- LT15 - Séminaire de littérature (BA_SI): "Fabrique poétique: une collection de poésie jeunesse/ado?" (UE-L02.01184, 6 ECTS, Faculty of Humanities)
- LT13 - Séminaire de littérature française médiévale: "Beaux rêves et cauchemars: le songe dans la littérature médiévale" (UE-L02.01186, 6 ECTS, Faculty of Humanities)
- MA 21 - Grammaire de la période (UE-L02.01191, 6 ECTS, Faculty of Humanities)
- MA 11 - Le lexique mental (UE-L02.01194, 6 ECTS, Faculty of Humanities)
- MA 81 - Deepfake party 2026: le Don Juan de Molière, revu par Ivan Vyrypaiev (UE-L02.01196, 6 ECTS, Faculty of Humanities)
- LT3 - Séminaire de littérature XIXe-XXIe siècles: "Mémoires d'outre-tombe: l'oeuvre du temps" (UE-L02.01197, 6 ECTS, Faculty of Humanities)
- LT3 - Séminaire de littérature XIXe-XXIe siècles: "L'existence du premier venu. C.F. Ramuz, Vie de Samuel Belet" (UE-L02.01201, 6 ECTS, Faculty of Humanities)
- LT10 - Séminaire de littérature XVIe-XVIIIe siècles: "Les histoires tragiques" (UE-L02.01202, 6 ECTS, Faculty of Humanities)
- LT13 - Séminaire de littérature française médiévale: "Amour et merveille dans les Lais de Marie de France" (UE-L02.01203, 6 ECTS, Faculty of Humanities)
- LT10 - Séminaire de littérature XVIe-XVIIIe siècles: "Les Caractères de La Bruyère" (UE-L02.01204, 6 ECTS, Faculty of Humanities)
- LG8 - Analyses linguistiques (Domaine II): "Cohérence et pertinence" (UE-L02.01209, 6 ECTS, Faculty of Humanities)
- LT10 - Séminaire de littérature XVIe-XVIIIe siècles: "La tragédie sanglante au XVIIIe siècle" (titre provisoire) (UE-L02.01214, 6 ECTS, Faculty of Humanities)
- MA 101 - Arts littéraires: quand la littérature prend d'autres formes que le livre (UE-L02.01252, 6 ECTS, Faculty of Humanities)
- MA 81 - Mythologies des années 1980 (UE-L02.01254, 6 ECTS, Faculty of Humanities)
- MA 11 - La compétition linguistique (UE-L02.01255, 6 ECTS, Faculty of Humanities)
- MA 21 - Hypotaxe et parataxe (UE-L02.01258, 6 ECTS, Faculty of Humanities)
- MA 31 - La poésie abécédaire au Moyen Âge (UE-L02.01259, 6 ECTS, Faculty of Humanities)
- LT3 - Séminaire de littérature XIXe-XXIe siècles: "La modernité et ses démons: la Grande Guerre et son héritage littéraire" (UE-L02.01260, 6 ECTS, Faculty of Humanities)
- LT3 - Séminaire de littérature XIXe-XXIe siècles: "Baudelaire et l'invention du poème en prose" (UE-L02.01261, 6 ECTS, Faculty of Humanities)
- LT3 - Séminaire de littérature XIXe-XXIe siècles: "Sortir de l'écritoire: les enquêtes littéraires contemporaines" (UE-L02.01262, 6 ECTS, Faculty of Humanities)
- LT3 - Séminaire de littérature XIXe-XXIe siècles: "Littérature et identité de genre: dégenrer les textes, déranger les codes" (titre non définitif) (UE-L02.01263, 6 ECTS, Faculty of Humanities)
- LT3 - Séminaire de littérature XIXe-XXIe siècles: "Littérature et #metoo" (titre provisoire) (UE-L02.01264, 6 ECTS, Faculty of Humanities)
- LT13 - Séminaire de littérature française médiévale: "Sororités médiévales" (UE-L02.01266, 6 ECTS, Faculty of Humanities)
- LT13 - Séminaire de littérature française médiévale: "Le Livre du Coeur d'amour épris de René d'Anjou: un songe allégorique de la fin du Moyen Âge" (UE-L02.01267, 6 ECTS, Faculty of Humanities)
- LT13 - Séminaire de littérature française médiévale: "Les trésors de la narrative brève: le Lai de l'ombre et la Châtelaine de Vergy" (titre provisoire) (UE-L02.01268, 6 ECTS, Faculty of Humanities)
- LT15 - Séminaire de littérature (BA_SI) : "Fictions! Complotismes et littératures" (UE-L02.01269, 6 ECTS, Faculty of Humanities)
- LG7 - Analyses linguistiques (Domaine I): "Sémantique et pragmatique de l'euphémisme" (UE-L02.01270, 6 ECTS, Faculty of Humanities)
- MA 71 - L'œuvre comme production (1848-1968) (UE-L02.01272, 6 ECTS, Faculty of Humanities)
- LT10 - Séminaire de Littérature XVIe-XVIIIe siècles: "Les Egarements du corps et de l'esprit de Crébillon" (UE-L02.01276, 6 ECTS, Faculty of Humanities)
- LT10 - Séminaire de Littérature XVIe-XVIIIe siècles: "L'Histoire comique de Francion de Charles Sorel" (UE-L02.01277, 6 ECTS, Faculty of Humanities)
- LT10 - Séminaire de Littérature XVIe-XVIIIe siècles: "Marguerite de Navarre" (titre à définir) (UE-L02.01278, 6 ECTS, Faculty of Humanities)
- LT3 - Séminaire de littérature XIXe-XXIe siècles: "Drames de la tyrannie: Hugo, Musset, Jarry" (UE-L02.01280, 6 ECTS, Faculty of Humanities)
- LG8 - Analyses linguistiques (Domaine II) (UE-L02.01284, 6 ECTS, Faculty of Humanities)
- LG10 - Linguistique et enseignement: "La grammaire scolaire à l'épreuve de la linguistique" (UE-L02.01285, 6 ECTS, Faculty of Humanities)
- LT15 - Séminaire de littérature (BA_SI) (UE-L02.01286, 6 ECTS, Faculty of Humanities)
- MA 62 - Ethnographie et autobiographie (UE-L02.01287, 6 ECTS, Faculty of Humanities)
- LT8 - Histoire littéraire XVIe-XVIIIe siècles + Lectures (UE-L02.02189, 6 ECTS, Faculty of Humanities)
- Ältere deutschsprachige Literatur: Geschlecht und Sexualität in der Literatur des Mittelalters (GM) (UE-L03.00683, 6 ECTS, Faculty of Humanities)
- Ältere deutschsprachige Literatur: Parzival (GM) (UE-L03.00726, 6 ECTS, Faculty of Humanities)
- Ältere deutschsprachige Literatur: Der Stricker (GM) (UE-L03.00759, 6 ECTS, Faculty of Humanities)
- Proseminario di Filologia italiana. Esercizi di lettura su testi antichi (UE-L04.00283, 6 ECTS, Faculty of Humanities)
- Seminario BA di letteratura moderna (UE-L04.00313, 6 ECTS, Faculty of Humanities)
- Proseminario di analisi del testo poetico: "Le 'Odi' di Giuseppe Parini" (UE-L04.00356, 6 ECTS, Faculty of Humanities)
- Seminario BA Leopardi (UE-L04.00452, 6 ECTS, Faculty of Humanities)
- Seminario BA di Letteratura umanistico-rinascimentale: "Le Satire di Ariosto" (UE-L04.00552, 6 ECTS, Faculty of Humanities)
- Seminario di Letteratura nella Svizzera italiana: L'emigrazione ticinese attraverso "Albero genealogico" di Piero Bianconi (UE-L04.00663, 6 ECTS, Faculty of Humanities)
- Seminario BA di Letteratura teatrale: leggere e commentare " l'Adriana" di Luigi Groto (UE-L04.00666, 6 ECTS, Faculty of Humanities)
- Proseminario di analisi del testo narrativo: "Prosa italiana tra Due e Trecento" (UE-L04.00673, 6 ECTS, Faculty of Humanities)
- Seminario BA di Letteratura medioevale: La "Cronica" di Dino Compagni: fra testo e storia (UE-L04.00676, 6 ECTS, Faculty of Humanities)
- Seminario BA di Filologia italiana. Esercizi di lettura su testi moderni. "Giovanni Pascoli" (UE-L04.00677, 6 ECTS, Faculty of Humanities)
- Proseminario di Filologia italiana. Esercizi di lettura su testi antichi (UE-L04.00680, 6 ECTS, Faculty of Humanities)
- Proseminario di analisi del testo poetico. "La lirica di Gabriello Chiabrera" (UE-L04.00684, 6 ECTS, Faculty of Humanities)
- Estancia lingüística (UE-L05.00327, 6 ECTS, Faculty of Humanities)
- Seminario de Literaturas latinoamericanas y/o española II o Teoría y crítica II. "Civilización y barbarie en las literaturas del siglo XIX" (UE-L05.00491, 6 ECTS, Faculty of Humanities)
- Ejercicio de Gramática y redacción II (UE-L05.00492, 6 ECTS, Faculty of Humanities)
- Proseminario de Literaturas latinoamericanas y/o española I o Teoría y crítica I. "Anatomía del relato fílmico: claves para una historia narratocrítica del cine español" (UE-L05.00495, 6 ECTS, Faculty of Humanities)
- Proseminario de Filología/Lingüística contemporanea I/II. "La mujer en los textos medievales" (UE-L05.00501, 6 ECTS, Faculty of Humanities)
- Writing for Academic Purposes (BA LET): Foundation; Group A (UE-L06.01092, 6 ECTS, Faculty of Humanities)
- Writing for Academic Purposes (BA LET): Foundation; Group B (UE-L06.01093, 6 ECTS, Faculty of Humanities)
- Writing for Academic Purposes II (BA-LET): Applications; Group A (UE-L06.01101, 6 ECTS, Faculty of Humanities)
- Writing for Academic Purposes II (BA-LET): Applications; Group B (UE-L06.01102, 6 ECTS, Faculty of Humanities)
- Lectures individuelles approfondies de latin (UE-L08.00448, 6 ECTS, Faculty of Humanities)
- Lectures individuelles approfondies de grec (UE-L08.00449, 6 ECTS, Faculty of Humanities)
- Proséminaire – Plaute, Epidicus (UE-L08.00705, 6 ECTS, Faculty of Humanities)
- Atelier – Allegoria (UE-L08.00708, 6 ECTS, Faculty of Humanities)
- Proséminaire – Hérodote et Plutarque (UE-L08.00709, 6 ECTS, Faculty of Humanities)
- Kolloquium "Theorie und Fragestellungen der Komparatistik"/ Colloque "Théories et enjeux de la littérature comparée" (UE-L10.00221, 6 ECTS, Faculty of Humanities)
- Proséminaire. Vie quotidienne, loisirs et pratiques sociales à l'époque impériale romaine (I-IV s. de n.è.) (UE-L14.02242, 6 ECTS, Faculty of Humanities)
- Proséminaire. Dieux, cultes et fêtes religieuses dans le monde grec préclassique (XIVe–VIe siècles av. J.-C.) (UE-L14.02248, 6 ECTS, Faculty of Humanities)
- Proseminar. « Wasser im Mittelalter» (UE-L14.02258, 6 ECTS, Faculty of Humanities)
- Proséminaire. Voyageurs au Moyen Âge : entre exploration, foi, commerce et diplomatie (UE-L14.02265, 6 ECTS, Faculty of Humanities)
- Proséminaire. Marchands, commerces et mondialisation (XVIe-XVIIIe siècle) (groupe C) (UE-L14.02289, 6 ECTS, Faculty of Humanities)
- Proseminar. Revolution des Sehens? Eine Verflechtungs- und Kulturgeschichte der Brille (UE-L14.02300, 6 ECTS, Faculty of Humanities)
- Proséminaire : "Tuez-les tous, Dieu reconnaîtra les siens". Une approche socio-politique de la violence au Moyen Âge (UE-L14.02322, 6 ECTS, Faculty of Humanities)
- Proseminar. Sparta: Vom Hoplitenstaat zum Popkultur-Kult:Was wir rekonstruieren können – und was die Moderne daraus gemacht hat (UE-L14.02361, 6 ECTS, Faculty of Humanities)
- Proséminaire (III). Vivre en Attique au Ve siècle av. J.-C. : portrait d’une cité, de sa population et de son territoire (UE-L14.02365, 6 ECTS, Faculty of Humanities)
- Proséminaire (II).De Phila à Cléopâtre : être une reine à l’époque hellénistique (UE-L14.02368, 6 ECTS, Faculty of Humanities)
- Proséminaire (I). Élites, classes et identités dans le monde grec archaïque (UE-L14.02369, 6 ECTS, Faculty of Humanities)
- Proséminaire. La société fribourgeoise au Moyen Âge par les sceaux (UE-L14.02374, 6 ECTS, Faculty of Humanities)
- Proséminaire. Les mondes des croisades (UE-L14.02379, 6 ECTS, Faculty of Humanities)
- Proseminar. Einführung in die Geschichte des Mittelalters (UE-L14.02384, 6 ECTS, Faculty of Humanities)
- Proseminar. Symbolische Kommunikation im Mittelalter (UE-L14.02388, 6 ECTS, Faculty of Humanities)
- Proséminaire. Les Suisses et la France (XVIe-XVIIIe siècle) (groupe B) (UE-L14.02404, 6 ECTS, Faculty of Humanities)
- Proséminaire. Les Suisses et la France (XVIe-XVIIIe siècle) (groupe C) (UE-L14.02410, 6 ECTS, Faculty of Humanities)
- Proseminar. Rechtmässige Eroberungen? Legitimationsstrategien frühneuzeitlicher Expansionen (UE-L14.02418, 6 ECTS, Faculty of Humanities)
- Proseminar. Kolonialismus und Indigene. Das spanische Kolonialsystem in Amerika (UE-L14.02426, 6 ECTS, Faculty of Humanities)
- Proseminar. The lost Cause? – die amerikanischen Südstaaten zwischen Revolution und Bürgerkrieg (The antebellum south) (UE-L14.02433, 6 ECTS, Faculty of Humanities)
- Proséminaire BA : Les Etats-Unis inside out (UE-L15.01705, 6 ECTS, Faculty of Humanities)
- Proséminaire I : Aux sources de l'actualité (UE-L15.01816, 6 ECTS, Faculty of Humanities)
- Proséminaire BA : Jalons pour une histoire de l'antiféminisme en Suisse (UE-L15.01940, 6 ECTS, Faculty of Humanities)
- Proséminaire (BA-SI) : Citoyenneté et droits des femmes en Suisse 1848-2000 (UE-L15.01962, 6 ECTS, Faculty of Humanities)
- Kurs: Einführung in die Wirtschaftsgeschichte: Feministische Ökonomie (UE-L15.02305, 6 ECTS, Faculty of Humanities)
- MA-Vorlesung: Power Games and Violence on Europe’s Hinge: Internationale Mächte und lokale Konflikte in Südosteuropa (UE-L15.02306, 6 ECTS, Faculty of Humanities)
- MA-Exkursion: Erinnern, Vergessen, Verdrängen: Kollektives Gedächtnis in Polen (UE-L15.02307, 6 ECTS, Faculty of Humanities)
- Proséminaire I : Les années 1960' en Suisse et dans le monde (UE-L15.02329, 6 ECTS, Faculty of Humanities)
- Proséminaire d'histoire suisse contemporaine (BA_SI) : Histoire du système politique suisse (UE-L15.02331, 6 ECTS, Faculty of Humanities)
- Proséminaire I complémentaire (HC) : Les empires coloniaux (UE-L15.02332, 6 ECTS, Faculty of Humanities)
- Travail de séminaire : L'hiver du Canada à la Suisse : une saison pour l'histoire ? (UE-L15.02336, 6 ECTS, Faculty of Humanities)
- Cours MA et BA : Du paysan-horloger au frontalier, histoire du travail dans l’industrie horlogère suisse (1750-2025) (UE-L15.02337, 6 ECTS, Faculty of Humanities)
- Cours MA : Le laboratoire polonais des politiques mémorielles (avec voyage d’études en Pologne) (UE-L15.02338, 6 ECTS, Faculty of Humanities)
- Cours MA : Les grandes famines contemporaines (UE-L15.02339, 6 ECTS, Faculty of Humanities)
- MA-Stage (UE-L15.02353, 6 ECTS, Faculty of Humanities)
- Cours MA : Les étudiant.es au XXe siècle : formations, cultures, engagements (UE-L15.02371, 6 ECTS, Faculty of Humanities)
- Proséminaire BA : Scandales, affaires et crises (groupe A) (UE-L15.02375, 6 ECTS, Faculty of Humanities)
- Proséminaire BA : Scandales, affaires et crises (groupe B) (UE-L15.02377, 6 ECTS, Faculty of Humanities)
- Proséminaire II BA (PLE16) : Genre(s) et audiovisuel (UE-L15.02379, 6 ECTS, Faculty of Humanities)
- Cours MA : Gaza, une histoire dans la longue durée (UE-L15.02382, 6 ECTS, Faculty of Humanities)
- Travail de séminaire III BA : Nouvelles de Monde (UE-L15.02385, 6 ECTS, Faculty of Humanities)
- Cours MA : Suisse-Russie : Deux siècles de contacts et de ruptures (UE-L15.02387, 6 ECTS, Faculty of Humanities)
- Cours MA : Une histoire globale de la nourriture (UE-L15.02390, 6 ECTS, Faculty of Humanities)
- Cours BA / MA : À la conquête des marchés mondiaux : histoire du design et de la communication horlogère (1880-2020) (UE-L15.02392, 6 ECTS, Faculty of Humanities)
- MA-Vorlesung: Mythologien der 1980er Jahre / Mythologies des années 1980 (UE-L15.02420, 6 ECTS, Faculty of Humanities)
- MA-Vorlesung: Public History: Der lange Schatten der Waffen-SS, 1940-2026 (UE-L15.02421, 6 ECTS, Faculty of Humanities)
- Kurs: Einführung in die Wirtschaftsgeschichte: Kapitalismus oder Demokratie? Die neoliberale Ordnung im späten 20. und frühen 21. Jahrhundert (UE-L15.02443, 6 ECTS, Faculty of Humanities)
- MA-Vorlesung: Die 1950er Jahre: ein Jahrzehnt der Widersprüche (UE-L15.02444, 6 ECTS, Faculty of Humanities)
- MA-Exkursion: Contested Borderlands: Die Adriaregion zwischen Österreich-Ungarn, Italien und Jugoslawien (UE-L15.02445, 6 ECTS, Faculty of Humanities)
- Proséminaire complémentaire BA : (titre suivra) (UE-L15.02449, 6 ECTS, Faculty of Humanities)
- Cours propédeutique / Cours d'appronfondissement / Histoire de l'art des Temps modernes : Paragone : les arts en ordre de bataille (UE-L17.00751, 6 ECTS, Faculty of Humanities)
- Propädeutische Vorlesung / Vertiefungsvorlesung / Kunstgeschichte der Moderne und Gegenwart: Paris und die Moderne (UE-L17.00796, 6 ECTS, Faculty of Humanities)
- Proseminar / Kunstgeschichte des Mittelalters: Romanische Kunst: Denkmäler und Geschichten (UE-L17.01579, 6 ECTS, Faculty of Humanities)
- Proseminar / Kunstgeschichte der Moderne und Gegenwart: Elles font l’Abstraction (UE-L17.01588, 6 ECTS, Faculty of Humanities)
- Proséminaire / Histoire de l'art des Temps modernes : Nature morte : peindre les « choses » à l’époque moderne (UE-L17.01596, 6 ECTS, Faculty of Humanities)
- Proséminaire / Art et archéologie de l'Antiquité : La fabrique des monstres. Imaginer l’hybride en Grèce et à Rome (UE-L17.01628, 6 ECTS, Faculty of Humanities)
- Histoire de la musique (1910 à nos jours) (UE-L18.00314, 6 ECTS, Faculty of Humanities)
- Analyse musicale (pré 1650) : La musique à Rome à la Renaissance (UE-L18.00322, 6 ECTS, Faculty of Humanities)
- Analyse musicale post-1900 : Presse et musique (XIXe-XXe siècles). Jalons historiques, théorie, analyse (UE-L18.00370, 6 ECTS, Faculty of Humanities)
- Histoire de la musique (1650-1780) (UE-L18.00425, 6 ECTS, Faculty of Humanities)
- Séminaire 2 (XVIIe-XVIIIe siècles): Musique en Italie à l'époque moderne dans les récits de voyage (UE-L18.00465, 6 ECTS, Faculty of Humanities)
- Séminaire 1 (&gt;1600): La musique à Rome à la Renaissance (UE-L18.00466, 6 ECTS, Faculty of Humanities)
- Histoire de la musique 6 (1890-1960) (UE-L18.00474, 6 ECTS, Faculty of Humanities)
- Analyse 3 (1780-1914) (UE-L18.00486, 6 ECTS, Faculty of Humanities)
- Analyse 1 (&gt;1600) (UE-L18.00487, 6 ECTS, Faculty of Humanities)
- Proséminaire (=&gt; 1650) (UE-L18.00493, 6 ECTS, Faculty of Humanities)
- Proséminaire (1830 à nos jours) (UE-L18.00494, 6 ECTS, Faculty of Humanities)
- Analyse musicale (1650-1900): Musique en Italie à l'époque moderne dans les récits de voyage (UE-L18.00495, 6 ECTS, Faculty of Humanities)
- Statistik II (UE-L20.00019, 6 ECTS, Faculty of Humanities)
- Soziologie II (UE-L20.00036, 6 ECTS, Faculty of Humanities)
- Épistémologie générale (UE-L20.00330, 6 ECTS, Faculty of Humanities)
- Analyse d'un problème social (UE-L20.00337, 6 ECTS, Faculty of Humanities)
- Introduction à l'analyse de la santé et des politiques de santé publique (UE-L20.00338, 6 ECTS, Faculty of Humanities)
... 107 more result(s) not shown. Add filters to narrow the list.</t>
        </is>
      </c>
      <c r="AR32" s="11" t="n"/>
    </row>
    <row r="33">
      <c r="A33" s="11" t="n">
        <v>32</v>
      </c>
      <c r="B33" s="11" t="inlineStr">
        <is>
          <t>program_structure_filtering</t>
        </is>
      </c>
      <c r="C33" s="11" t="inlineStr">
        <is>
          <t>medium</t>
        </is>
      </c>
      <c r="D33" s="11" t="inlineStr">
        <is>
          <t>EN</t>
        </is>
      </c>
      <c r="E33" s="11" t="inlineStr">
        <is>
          <t>Show all courses taught in English.</t>
        </is>
      </c>
      <c r="F33" s="11" t="inlineStr">
        <is>
          <t>Exact values from DB.</t>
        </is>
      </c>
      <c r="G33" s="11" t="inlineStr">
        <is>
          <t>DB</t>
        </is>
      </c>
      <c r="H33" s="11" t="inlineStr">
        <is>
          <t>API /courses?language=English</t>
        </is>
      </c>
      <c r="I33" s="11" t="inlineStr">
        <is>
          <t>StudyProgram, consist_of, Course, programDocument</t>
        </is>
      </c>
      <c r="J33" s="11" t="inlineStr">
        <is>
          <t>course list</t>
        </is>
      </c>
      <c r="K33" s="11" t="inlineStr">
        <is>
          <t>Replace placeholders where needed.</t>
        </is>
      </c>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inlineStr">
        <is>
          <t>2026-05-25T01:18:59</t>
        </is>
      </c>
      <c r="AI33" s="11" t="n">
        <v>200</v>
      </c>
      <c r="AJ33" s="11" t="b">
        <v>1</v>
      </c>
      <c r="AK33" s="11" t="n">
        <v>836395.55</v>
      </c>
      <c r="AL33" s="11" t="n">
        <v>836427.26</v>
      </c>
      <c r="AM33" s="11" t="n"/>
      <c r="AN33" s="11" t="n">
        <v>836426.45</v>
      </c>
      <c r="AO33" s="11" t="inlineStr">
        <is>
          <t>get_courses</t>
        </is>
      </c>
      <c r="AP33" s="11" t="n">
        <v>0</v>
      </c>
      <c r="AQ33" s="11" t="inlineStr">
        <is>
          <t>Found 50 result(s):
- Moot Court ICC Mediation Competition (UE-DDR.00196, 6 ECTS, Faculty of Law)
- Summer School European Private Law (UE-DDR.00204, 3 ECTS, Faculty of Law)
- Moot Court Willem C. Vis International Commercial Arbitration Moot (UE-DDR.00219, 15 ECTS, Faculty of Law)
- Moot Court ELSA (UE-DDR.00228, 3 ECTS, Faculty of Law)
- Survey on International Organizations (American College) (UE-DDR.00291, 10 ECTS, Faculty of Law)
- International Arbitration (UE-DDR.00525, 5 ECTS, Faculty of Law)
- International and European Responsibility Law (UE-DDR.00596, 5 ECTS, Faculty of Law)
- International Criminal Law (UE-DDR.00673, 5 ECTS, Faculty of Law)
- Islamic and Jewish Law (UE-DDR.00732, 5 ECTS, Faculty of Law)
- Comparative Constitutional Law (UE-DDR.00776, 5 ECTS, Faculty of Law)
- LSGL Summer School (UE-DDR.00844, 4 ECTS, Faculty of Law)
- International Criminal Justice (UE-DDR.00950, 5 ECTS, Faculty of Law)
- ECUPL Summer School (UE-DDR.01526, 3 ECTS, Faculty of Law)
- Moot Court Willem C. Vis International Commercial Arbitration Moot (UE-DDR.01590, 12 ECTS, Faculty of Law)
- Comparative Contract Law (UE-DDR.01779, 5 ECTS, Faculty of Law)
- Global Justice and the Law (UE-DDR.02248, 5 ECTS, Faculty of Law)
- Summer courses of The Hague Academy of International Law: Public International Law (UE-DDR.02254, 3 ECTS, Faculty of Law)
- Summer courses of The Hague Academy of International Law: Private International Law (UE-DDR.02255, 3 ECTS, Faculty of Law)
- Winter courses of The Hague Academy of International Law (Public and Private Law) (UE-DDR.02256, 3 ECTS, Faculty of Law)
- The Liberal Society and its Discontents: Challenges of Religion, Diversity, and Integration (UE-DDR.02427, 5 ECTS, Faculty of Law)
- History of Justice and Judicial Institutions (UE-DDR.02429, 5 ECTS, Faculty of Law)
- International and European Refugee Law (UE-DDR.02453, 5 ECTS, Faculty of Law)
- Competition Law (UE-DDR.02461, 5 ECTS, Faculty of Law)
- Stockholm University Law Summer Programme (UE-DDR.02488, 2 ECTS, Faculty of Law)
- Migration, Human Rights and Ethics (UE-DDR.02748, 5 ECTS, Faculty of Law)
- International Security Studies (American College) (UE-DDR.02849, 10 ECTS, Faculty of Law)
- Global Environmental Justice (American College) (UE-DDR.02850, 10 ECTS, Faculty of Law)
- Criminology: Advanced seminar (UE-DDR.02892, 5 ECTS, Faculty of Law)
- Jessup Moot Court (UE-DDR.03020, 10 ECTS, Faculty of Law)
- The Theory of Monetary Policy (UE-EEP.00046, 4.5 ECTS, Faculty of Management, Economics and Social Sciences)
- Recent developments in monetary analysis (UE-EEP.00052, 4.5 ECTS, Faculty of Management, Economics and Social Sciences)
- Microeconomics of Competitiveness (MOC) (UE-EEP.00095, 4.5 ECTS, Faculty of Management, Economics and Social Sciences)
- Business and Human Rights (UE-EEP.00127, 3 ECTS, Faculty of Management, Economics and Social Sciences)
- Demography, Immigration and Labor Markets (UE-EEP.00131, 4.5 ECTS, Faculty of Management, Economics and Social Sciences)
- The Economics of Politics (UE-EEP.00135, 4.5 ECTS, Faculty of Management, Economics and Social Sciences)
- Policy and Impact Evaluation (UE-EEP.00143, 4.5 ECTS, Faculty of Management, Economics and Social Sciences)
- Empirical Public Economics (UE-EEP.00150, 4.5 ECTS, Faculty of Management, Economics and Social Sciences)
- Network Science &amp; Economics (UE-EEP.00328, 4.5 ECTS, Faculty of Management, Economics and Social Sciences)
- Professional Economic Ethics (UE-EEP.00331, 4.5 ECTS, Faculty of Management, Economics and Social Sciences)
- Global Economic Justice (UE-EEP.00334, 4.5 ECTS, Faculty of Management, Economics and Social Sciences)
- Behavioral Economics (UE-EEP.00354, 4.5 ECTS, Faculty of Management, Economics and Social Sciences)
- ECO08E: Applied Econometrics (UE-EEP.00358, 4.5 ECTS, Faculty of Management, Economics and Social Sciences)
- Advanced Microeconomics (UE-EEP.00495, 6 ECTS, Faculty of Management, Economics and Social Sciences)
- Econometric Methods and Applications (UE-EEP.00496, 6 ECTS, Faculty of Management, Economics and Social Sciences)
- Advanced Topics in Data Analytics and Machine Learning (UE-EEP.00517, 1.5 ECTS, Faculty of Management, Economics and Social Sciences)
- Organisational Economics (UE-EEP.00518, 4.5 ECTS, Faculty of Management, Economics and Social Sciences)
- Economic Growth: For and Against (UE-EEP.00557, 4.5 ECTS, Faculty of Management, Economics and Social Sciences)
- Stata Lab : Master your data (UE-EEP.00561, 4.5 ECTS, Faculty of Management, Economics and Social Sciences)
- Market Design and Platforms (UE-EEP.00564, 4.5 ECTS, Faculty of Management, Economics and Social Sciences)
- International Finance (UE-EGE.00013, 4.5 ECTS, Faculty of Management, Economics and Social Sciences)</t>
        </is>
      </c>
      <c r="AR33" s="11" t="n"/>
    </row>
    <row r="34">
      <c r="A34" s="11" t="n">
        <v>33</v>
      </c>
      <c r="B34" s="11" t="inlineStr">
        <is>
          <t>program_structure_filtering</t>
        </is>
      </c>
      <c r="C34" s="11" t="inlineStr">
        <is>
          <t>medium</t>
        </is>
      </c>
      <c r="D34" s="11" t="inlineStr">
        <is>
          <t>EN</t>
        </is>
      </c>
      <c r="E34" s="11" t="inlineStr">
        <is>
          <t>Show all courses offered in HS-2026.</t>
        </is>
      </c>
      <c r="F34" s="11" t="inlineStr">
        <is>
          <t>Exact values from DB.</t>
        </is>
      </c>
      <c r="G34" s="11" t="inlineStr">
        <is>
          <t>DB</t>
        </is>
      </c>
      <c r="H34" s="11" t="inlineStr">
        <is>
          <t>API /courses?semester=...</t>
        </is>
      </c>
      <c r="I34" s="11" t="inlineStr">
        <is>
          <t>StudyProgram, consist_of, Course, programDocument</t>
        </is>
      </c>
      <c r="J34" s="11" t="inlineStr">
        <is>
          <t>course list</t>
        </is>
      </c>
      <c r="K34" s="11" t="inlineStr">
        <is>
          <t>Replace placeholders where needed.</t>
        </is>
      </c>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inlineStr">
        <is>
          <t>2026-05-25T01:18:59</t>
        </is>
      </c>
      <c r="AI34" s="11" t="n">
        <v>200</v>
      </c>
      <c r="AJ34" s="11" t="b">
        <v>1</v>
      </c>
      <c r="AK34" s="11" t="n">
        <v>206003.2</v>
      </c>
      <c r="AL34" s="11" t="n">
        <v>205995.29</v>
      </c>
      <c r="AM34" s="11" t="n"/>
      <c r="AN34" s="11" t="n">
        <v>205994.28</v>
      </c>
      <c r="AO34" s="11" t="inlineStr">
        <is>
          <t>get_courses</t>
        </is>
      </c>
      <c r="AP34" s="11" t="n">
        <v>0</v>
      </c>
      <c r="AQ34" s="11" t="inlineStr">
        <is>
          <t>Found 50 result(s):
- Compétences documentaires en économie 1 (UE-EDK.00951, 0 ECTS, Faculty of Management, Economics and Social Sciences)
- The Theory of Monetary Policy (UE-EEP.00046, 4.5 ECTS, Faculty of Management, Economics and Social Sciences)
- Politiques des marchés et de la concurrence (UE-EEP.00098, 4.5 ECTS, Faculty of Management, Economics and Social Sciences)
- Business and Human Rights (UE-EEP.00127, 3 ECTS, Faculty of Management, Economics and Social Sciences)
- Demography, Immigration and Labor Markets (UE-EEP.00131, 4.5 ECTS, Faculty of Management, Economics and Social Sciences)
- The Economics of Politics (UE-EEP.00135, 4.5 ECTS, Faculty of Management, Economics and Social Sciences)
- Macroéconomie I (UE-EEP.00220, 6 ECTS, Faculty of Management, Economics and Social Sciences)
- Makroökonomie I (UE-EEP.00221, 6 ECTS, Faculty of Management, Economics and Social Sciences)
- ECO03F: Commerce international (UE-EEP.00338, 4.5 ECTS, Faculty of Management, Economics and Social Sciences)
- ECO05F: Économie publique – Approfondissements (UE-EEP.00340, 4.5 ECTS, Faculty of Management, Economics and Social Sciences)
- ECO06D: Wirtschaftspolitik: Schwerpunktthemen (UE-EEP.00341, 4.5 ECTS, Faculty of Management, Economics and Social Sciences)
- Behavioral Economics (UE-EEP.00354, 4.5 ECTS, Faculty of Management, Economics and Social Sciences)
- ECO01F: Histoire des faits économiques (UE-EEP.00355, 6 ECTS, Faculty of Management, Economics and Social Sciences)
- ECO01D: Wirtschaftsgeschichte (UE-EEP.00356, 6 ECTS, Faculty of Management, Economics and Social Sciences)
- ECO08E: Applied Econometrics (UE-EEP.00358, 4.5 ECTS, Faculty of Management, Economics and Social Sciences)
- Advanced Microeconomics (UE-EEP.00495, 6 ECTS, Faculty of Management, Economics and Social Sciences)
- Econometric Methods and Applications (UE-EEP.00496, 6 ECTS, Faculty of Management, Economics and Social Sciences)
- Advanced Topics in Data Analytics and Machine Learning (UE-EEP.00517, 1.5 ECTS, Faculty of Management, Economics and Social Sciences)
- ECO12D: Wirtschaftspolitik: Theorie und Anwendungen (UE-EEP.00526, 4.5 ECTS, Faculty of Management, Economics and Social Sciences)
- ECO13F : Introduction à l’économie des migrations (UE-EEP.00531, 4.5 ECTS, Faculty of Management, Economics and Social Sciences)
- Economic Growth: For and Against (UE-EEP.00557, 4.5 ECTS, Faculty of Management, Economics and Social Sciences)
- Stata Lab : Domptez vos données (UE-EEP.00560, 4.5 ECTS, Faculty of Management, Economics and Social Sciences)
- Stata Lab : Master your data (UE-EEP.00561, 4.5 ECTS, Faculty of Management, Economics and Social Sciences)
- Market Design and Platforms (UE-EEP.00564, 4.5 ECTS, Faculty of Management, Economics and Social Sciences)
- Théories et pratiques de l'organisation (UE-EGE.00006, 4.5 ECTS, Faculty of Management, Economics and Social Sciences)
- International Finance (UE-EGE.00013, 4.5 ECTS, Faculty of Management, Economics and Social Sciences)
- Strategic Value Creation (UE-EGE.00030, 3 ECTS, Faculty of Management, Economics and Social Sciences)
- Fundamentals of International Management (UE-EGE.00048, 4.5 ECTS, Faculty of Management, Economics and Social Sciences)
- Advanced Group Accounting (UE-EGE.00068, 4.5 ECTS, Faculty of Management, Economics and Social Sciences)
- Markt und Strategie von Nonprofit-Organisationen (UE-EGE.00073, 4.5 ECTS, Faculty of Management, Economics and Social Sciences)
- Case studies in international strategy (UE-EGE.00101, 4.5 ECTS, Faculty of Management, Economics and Social Sciences)
- International Accounting Standards (UE-EGE.00119, 4.5 ECTS, Faculty of Management, Economics and Social Sciences)
- Introduction à la gestion d'entreprise (UE-EGE.00135, 6 ECTS, Faculty of Management, Economics and Social Sciences)
- Einführung in die Betriebswirtschaftslehre (UE-EGE.00136, 6 ECTS, Faculty of Management, Economics and Social Sciences)
- Introduction à la comptabilité (UE-EGE.00137, 6 ECTS, Faculty of Management, Economics and Social Sciences)
- Unternehmensrechnung (UE-EGE.00138, 6 ECTS, Faculty of Management, Economics and Social Sciences)
- Droit I (UE-EGE.00139, 4.5 ECTS, Faculty of Management, Economics and Social Sciences)
- Recht I (UE-EGE.00140, 4.5 ECTS, Faculty of Management, Economics and Social Sciences)
- Risk Management and Financial Derivatives (UE-EGE.00160, 4.5 ECTS, Faculty of Management, Economics and Social Sciences)
- Advanced Managerial Accounting (UE-EGE.00162, 4.5 ECTS, Faculty of Management, Economics and Social Sciences)
- Philosophical Foundations of Economic Thought (UE-EGE.00245, 4.5 ECTS, Faculty of Management, Economics and Social Sciences)
- MAN06E: Introductory Course in Entrepreneurship (UE-EGE.00263, 4.5 ECTS, Faculty of Management, Economics and Social Sciences)
- International Taxation (UE-EGE.00268, 4.5 ECTS, Faculty of Management, Economics and Social Sciences)
- Management of Innovation (UE-EGE.00271, 4.5 ECTS, Faculty of Management, Economics and Social Sciences)
- MAN01F: Investissement et financement (UE-EGE.00273, 6 ECTS, Faculty of Management, Economics and Social Sciences)
- MAN01D: Investitions- und Finanzierungstheorie (UE-EGE.00274, 6 ECTS, Faculty of Management, Economics and Social Sciences)
- MAN02F: Marketing (UE-EGE.00275, 4.5 ECTS, Faculty of Management, Economics and Social Sciences)
- MAN02D: Marketing (UE-EGE.00276, 4.5 ECTS, Faculty of Management, Economics and Social Sciences)
- MAN05F: Gestion des ressources humaines (UE-EGE.00281, 4.5 ECTS, Faculty of Management, Economics and Social Sciences)
- MAN05D: Human Resource Management (UE-EGE.00282, 4.5 ECTS, Faculty of Management, Economics and Social Sciences)</t>
        </is>
      </c>
      <c r="AR34" s="11" t="n"/>
    </row>
    <row r="35">
      <c r="A35" s="11" t="n">
        <v>34</v>
      </c>
      <c r="B35" s="11" t="inlineStr">
        <is>
          <t>program_structure_filtering</t>
        </is>
      </c>
      <c r="C35" s="11" t="inlineStr">
        <is>
          <t>medium</t>
        </is>
      </c>
      <c r="D35" s="11" t="inlineStr">
        <is>
          <t>EN</t>
        </is>
      </c>
      <c r="E35" s="11" t="inlineStr">
        <is>
          <t>Which bachelor programs have 180 ECTS?</t>
        </is>
      </c>
      <c r="F35" s="11" t="inlineStr">
        <is>
          <t>Exact values from DB.</t>
        </is>
      </c>
      <c r="G35" s="11" t="inlineStr">
        <is>
          <t>DB</t>
        </is>
      </c>
      <c r="H35" s="11" t="inlineStr">
        <is>
          <t>API /programs?degree=Bachelor&amp;ects=180</t>
        </is>
      </c>
      <c r="I35" s="11" t="inlineStr">
        <is>
          <t>StudyProgram, consist_of, Course, programDocument</t>
        </is>
      </c>
      <c r="J35" s="11" t="inlineStr">
        <is>
          <t>program list</t>
        </is>
      </c>
      <c r="K35" s="11" t="inlineStr">
        <is>
          <t>Replace placeholders where needed.</t>
        </is>
      </c>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inlineStr">
        <is>
          <t>2026-05-25T01:18:59</t>
        </is>
      </c>
      <c r="AI35" s="11" t="n">
        <v>200</v>
      </c>
      <c r="AJ35" s="11" t="b">
        <v>1</v>
      </c>
      <c r="AK35" s="11" t="n">
        <v>60.88</v>
      </c>
      <c r="AL35" s="11" t="n">
        <v>32.51</v>
      </c>
      <c r="AM35" s="11" t="n"/>
      <c r="AN35" s="11" t="n">
        <v>30.35</v>
      </c>
      <c r="AO35" s="11" t="inlineStr">
        <is>
          <t>get_programs</t>
        </is>
      </c>
      <c r="AP35" s="11" t="n">
        <v>0</v>
      </c>
      <c r="AQ35" s="11" t="inlineStr">
        <is>
          <t>Found 13 result(s):
- **Business Informatics** — Bachelor, 180 ECTS, mono, id 11, Faculty of Management, Economics and Social Sciences
- **Economics** — Bachelor, 180 ECTS, mono, id 329, Faculty of Management, Economics and Social Sciences
- **French and German: Bilingualism and Cultural Exchange** — Bachelor, 180 ECTS, mono, id 270, Faculty of Humanities
- **Human Medicine** — Bachelor, 180 ECTS, mono, id 25, Faculty of Science and Medicine
- **Law** — Bachelor, 180 ECTS, mono, id 348, Faculty of Law
- **Management** — Bachelor, 180 ECTS, mono, id 335, Faculty of Management, Economics and Social Sciences
- **Part-time Law studies** — Bachelor, 180 ECTS, mono, id 342, Faculty of Law
- **Psychology** — Bachelor, 180 ECTS, mono, id 111, Faculty of Humanities
- **Special Education** — Bachelor, 180 ECTS, mono, id 138, Faculty of Education
- **Speech-Language Therapy** — Bachelor, 180 ECTS, mono, id 134, Faculty of Education
- **Sport Sciences and Motor Control** — Bachelor, 180 ECTS, mono, id 20, Faculty of Science and Medicine
- **Teacher Education for Primary Level** — Bachelor, 180 ECTS, mono, id 46, Faculty could not be matched
- **Theology** — Bachelor, 180 ECTS, mono, id 367, Faculty of Theology</t>
        </is>
      </c>
      <c r="AR35" s="11" t="n"/>
    </row>
    <row r="36">
      <c r="A36" s="11" t="n">
        <v>35</v>
      </c>
      <c r="B36" s="11" t="inlineStr">
        <is>
          <t>rag_document</t>
        </is>
      </c>
      <c r="C36" s="11" t="inlineStr">
        <is>
          <t>hard</t>
        </is>
      </c>
      <c r="D36" s="11" t="inlineStr">
        <is>
          <t>EN</t>
        </is>
      </c>
      <c r="E36" s="11" t="inlineStr">
        <is>
          <t>What does the study plan of History say about electives?</t>
        </is>
      </c>
      <c r="F36" s="11" t="inlineStr">
        <is>
          <t>Answer grounded in retrieved document text with correct source attribution.</t>
        </is>
      </c>
      <c r="G36" s="11" t="inlineStr">
        <is>
          <t>RAG</t>
        </is>
      </c>
      <c r="H36" s="11" t="inlineStr">
        <is>
          <t>RAG over study plan/regulation documents</t>
        </is>
      </c>
      <c r="I36" s="11" t="inlineStr">
        <is>
          <t>PDF/study plan/regulation</t>
        </is>
      </c>
      <c r="J36" s="11" t="inlineStr">
        <is>
          <t>elective rules</t>
        </is>
      </c>
      <c r="K36" s="11" t="inlineStr">
        <is>
          <t>Use for website-RAG vs hybrid fallback comparison.</t>
        </is>
      </c>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inlineStr">
        <is>
          <t>2026-05-25T01:18:59</t>
        </is>
      </c>
      <c r="AI36" s="11" t="n">
        <v>200</v>
      </c>
      <c r="AJ36" s="11" t="b">
        <v>1</v>
      </c>
      <c r="AK36" s="11" t="n">
        <v>223165.33</v>
      </c>
      <c r="AL36" s="11" t="n">
        <v>223170.75</v>
      </c>
      <c r="AM36" s="11" t="n"/>
      <c r="AN36" s="11" t="n">
        <v>223169.94</v>
      </c>
      <c r="AO36" s="11" t="inlineStr">
        <is>
          <t>get_program_courses_by_metadata</t>
        </is>
      </c>
      <c r="AP36" s="11" t="n">
        <v>0</v>
      </c>
      <c r="AQ36" s="11" t="inlineStr">
        <is>
          <t>get_program_courses_by_metadata: no matching results found.</t>
        </is>
      </c>
      <c r="AR36" s="11" t="n"/>
    </row>
    <row r="37">
      <c r="A37" s="11" t="n">
        <v>36</v>
      </c>
      <c r="B37" s="11" t="inlineStr">
        <is>
          <t>rag_document</t>
        </is>
      </c>
      <c r="C37" s="11" t="inlineStr">
        <is>
          <t>hard</t>
        </is>
      </c>
      <c r="D37" s="11" t="inlineStr">
        <is>
          <t>EN</t>
        </is>
      </c>
      <c r="E37" s="11" t="inlineStr">
        <is>
          <t>What does the regulation document say about admission requirements for Special Education?</t>
        </is>
      </c>
      <c r="F37" s="11" t="inlineStr">
        <is>
          <t>Answer grounded in retrieved document text with correct source attribution.</t>
        </is>
      </c>
      <c r="G37" s="11" t="inlineStr">
        <is>
          <t>RAG</t>
        </is>
      </c>
      <c r="H37" s="11" t="inlineStr">
        <is>
          <t>RAG over study plan/regulation documents</t>
        </is>
      </c>
      <c r="I37" s="11" t="inlineStr">
        <is>
          <t>PDF/study plan/regulation</t>
        </is>
      </c>
      <c r="J37" s="11" t="inlineStr">
        <is>
          <t>admission requirements</t>
        </is>
      </c>
      <c r="K37" s="11" t="inlineStr">
        <is>
          <t>Use for website-RAG vs hybrid fallback comparison.</t>
        </is>
      </c>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inlineStr">
        <is>
          <t>2026-05-25T01:18:59</t>
        </is>
      </c>
      <c r="AI37" s="11" t="n">
        <v>200</v>
      </c>
      <c r="AJ37" s="11" t="b">
        <v>1</v>
      </c>
      <c r="AK37" s="11" t="n">
        <v>297558.87</v>
      </c>
      <c r="AL37" s="11" t="n">
        <v>297544.35</v>
      </c>
      <c r="AM37" s="11" t="n"/>
      <c r="AN37" s="11" t="n">
        <v>297542.39</v>
      </c>
      <c r="AO37" s="11" t="inlineStr">
        <is>
          <t>get_program_courses_by_metadata, get_program_docs</t>
        </is>
      </c>
      <c r="AP37" s="11" t="n">
        <v>0</v>
      </c>
      <c r="AQ37" s="11" t="inlineStr">
        <is>
          <t>Found 100 result(s):
- **Problem solving en chimie générale / Problem Solving in der allgemeinen Chemie** — UE-SCH.01033, 2 ECTS, Mandatory, Biochemistry, program 120 ECTS
  - Section/description hint: Branches propédeutiques générales
- **Cancer immunology** — UE-SBL.10014, 1 ECTS, Mandatory, Biochemistry, program 120 ECTS
  - Section/description hint: UEs au niveau BSc et MSc :
- **Nuclear organization and chromatin dynamics** — UE-SBL.00130, 1 ECTS, Mandatory, Biology, program 30 ECTS
  - Section/description hint: 2.6.1 Description et objectif
- **Introduction to microscopy** — UE-SBL.00503, 1 ECTS, Mandatory, Biology, program 30 ECTS
  - Section/description hint: 2.6.1 Description et objectif
- **Cancer immunology** — UE-SBL.10014, 1 ECTS, Mandatory, Biology, program 30 ECTS
  - Section/description hint: 2.6.1 Description et objectif
- **Concepts généraux pour les enseignant.e.s en biologie / Allgemeine Konzepte für Biologielehrer_Innen / General concepts for biology teachers** — UE-SBL.00502, 1 ECTS, Mandatory, Biology, program 30 ECTS
  - Section/description hint: UE obligatoire
- **Meeresbiologie (Workshop)** — UE-SBL.00062, 3 ECTS, Mandatory, Biology, program 120 ECTS
  - Section/description hint: 4 Modalités d'évaluation
- **Travaux pratiques de biologie moléculaire / Praktikum Molekularbiologie** — UE-SBL.00065, 1 ECTS, Mandatory, Biology, program 120 ECTS
  - Section/description hint: 4 Modalités d'évaluation
- **Molekular- und Zellbiologie der Pflanzen (Praktikum)** — UE-SBL.00066, 1 ECTS, Mandatory, Biology, program 120 ECTS
  - Section/description hint: 4 Modalités d'évaluation
- **Gewebestammzellen und das Zytoskelett** — UE-SBL.00067, 1 ECTS, Mandatory, Biology, program 120 ECTS
  - Section/description hint: 4 Modalités d'évaluation
- **Nuclear organization and chromatin dynamics** — UE-SBL.00130, 1 ECTS, Mandatory, Biology, program 120 ECTS
  - Section/description hint: 4 Modalités d'évaluation
- **Visual communication of data** — UE-SBL.00427, 1 ECTS, Mandatory, Biology, program 120 ECTS
  - Section/description hint: 4 Modalités d'évaluation
- **Optogenetics and photopharmacology** — UE-SBL.00428, 1 ECTS, Mandatory, Biology, program 120 ECTS
  - Section/description hint: 4 Modalités d'évaluation
- **Animal models of regeneration** — UE-SBL.00429, 2 ECTS, Mandatory, Biology, program 120 ECTS
  - Section/description hint: 4 Modalités d'évaluation
- **Protein homeostasis: translation, quality control, degradation** — UE-SBL.00453, 1 ECTS, Mandatory, Biology, program 120 ECTS
  - Section/description hint: 4 Modalités d'évaluation
- **Concepts généraux pour les enseignant.e.s en biologie / Allgemeine Konzepte für Biologielehrer_Innen / General concepts for biology teachers** — UE-SBL.00502, 1 ECTS, Mandatory, Biology, program 120 ECTS
  - Section/description hint: 4 Modalités d'évaluation
- **Introduction to microscopy** — UE-SBL.00503, 1 ECTS, Mandatory, Biology, program 120 ECTS
  - Section/description hint: 4 Modalités d'évaluation
- **Biologie de la cellule / Zellbiologie** — UE-SBL.01501, 4 ECTS, Mandatory, Biology, program 120 ECTS
  - Section/description hint: 4 Modalités d'évaluation
- **Master thesis (3 semesters)** — UE-SBL.05001, 60 ECTS, Mandatory, Biology, program 120 ECTS
  - Section/description hint: 4 Modalités d'évaluation
- **Master thesis (2 semesters)** — UE-SBL.05002, 45 ECTS, Mandatory, Biology, program 120 ECTS
  - Section/description hint: 4 Modalités d'évaluation
- **Modelling human diseases in experimental genetic systems** — UE-SBL.10001, 2 ECTS, Mandatory, Biology, program 120 ECTS
  - Section/description hint: 4 Modalités d'évaluation
- **From bench to bedside** — UE-SBL.10002, 0.5 ECTS, Mandatory, Biology, program 120 ECTS
  - Section/description hint: 4 Modalités d'évaluation
- **Health-related topics in developmental biology** — UE-SBL.10003, 2 ECTS, Mandatory, Biology, program 120 ECTS
  - Section/description hint: 4 Modalités d'évaluation
- **Structure, function and diseases of lipid metabolism** — UE-SBL.10011, 1 ECTS, Mandatory, Biology, program 120 ECTS
  - Section/description hint: 4 Modalités d'évaluation
- **Zebrafish License Course, practical part** — UE-SBL.10013, 1 ECTS, Mandatory, Biology, program 120 ECTS
  - Section/description hint: 4 Modalités d'évaluation
- **Cancer immunology** — UE-SBL.10014, 1 ECTS, Mandatory, Biology, program 120 ECTS
  - Section/description hint: 4 Modalités d'évaluation
- **Journal club in molecular life sciences** — UE-SBL.10100, 3 ECTS, Mandatory, Biology, program 120 ECTS
  - Section/description hint: 4 Modalités d'évaluation
- **Journal club in molecular life sciences** — UE-SBL.10102, 2 ECTS, Mandatory, Biology, program 120 ECTS
  - Section/description hint: 4 Modalités d'évaluation
- **Research group meetings in molecular life sciences** — UE-SBL.10103, 3 ECTS, Mandatory, Biology, program 120 ECTS
  - Section/description hint: 4 Modalités d'évaluation
- **Research group meetings in molecular life sciences** — UE-SBL.10104, 2 ECTS, Mandatory, Biology, program 120 ECTS
  - Section/description hint: 4 Modalités d'évaluation
- **Research seminars in molecular life sciences** — UE-SBL.10105, 3 ECTS, Mandatory, Biology, program 120 ECTS
  - Section/description hint: 4 Modalités d'évaluation
- **Research internship** — UE-SBL.20038, 4 ECTS, Mandatory, Biology, program 120 ECTS
  - Section/description hint: 4 Modalités d'évaluation
- **Bases morphologiques et fonctionnelles – Systèmes Ia / Morphologische und funktionelle Grundlagen – Systeme Ia** — UE-SME.01202, 10 ECTS, Mandatory, Biomedical Sciences, program 120 ECTS
  - Section/description hint: Semestre 1 (automne)
- **Bases morphologiques et fonctionnelles – Systèmes Ib / Morphologische und funktionelle Grundlagen – Systeme Ib** — UE-SME.02202, 6 ECTS, Mandatory, Biomedical Sciences, program 120 ECTS
  - Section/description hint: Semestre 2 (printemps)
- **Biostatistique / Biostatistik** — UE-SME.02303, 2 ECTS, Mandatory, Biomedical Sciences, program 120 ECTS
  - Section/description hint: Semestre 2 (printemps)
- **Système cardiovasculaire – Sang II; Respiration / Herz- und Kreislaufsystem – Blut II; Atmung** — UE-SME.03203, 9.25 ECTS, Mandatory, Biomedical Sciences, program 120 ECTS
  - Section/description hint: Semestre 3 (automne)
- **Rein et voies urinaires - Nutrition et digestion / Niere und Harnweg - Ernährung und Verdauung** — UE-SME.03205, 8.25 ECTS, Mandatory, Biomedical Sciences, program 120 ECTS
  - Section/description hint: Semestre 3 (automne)
- **Histologie I (travaux pratiques) / Histologie I (Praktikum)** — UE-SMO.03201, 1.5 ECTS, Mandatory, Biomedical Sciences, program 120 ECTS
  - Section/description hint: Semestre 3 (automne)
- **Anatomie macroscopique : démonstrations / Makroskopische Anatomie: Demonstrationen** — UE-SMO.03202, 0.5 ECTS, Mandatory, Biomedical Sciences, program 120 ECTS
  - Section/description hint: Semestre 3 (automne)
- **Physiologie des systèmes I (travaux pratiques) / Systemphysiologie I (Praktikum)** — UE-SPY.03204, 2.75 ECTS, Mandatory, Biomedical Sciences, program 120 ECTS
  - Section/description hint: Semestre 3 (automne)
- **Scientific thinking and methodology** — UE-SME.04200, 1 ECTS, Mandatory, Biomedical Sciences, program 120 ECTS
  - Section/description hint: Semestre 4 (printemps)
- **Système nerveux et organes des sens / Nervensystem und Sinnesorgane** — UE-SME.04204, 6.5 ECTS, Mandatory, Biomedical Sciences, program 120 ECTS
  - Section/description hint: Semestre 4 (printemps)
- **Integration cardiovasculaire, respiratoire et rénale, système endocrinien; système génitaux I + II; système immunitaire I / Kardiovaskuläre, respiratorische und renale Integration; Endokrines System; Genitalsystem I + II; Immunsystem I** — UE-SME.04206, 8 ECTS, Mandatory, Biomedical Sciences, program 120 ECTS
  - Section/description hint: Semestre 4 (printemps)
- **Physiopathologie des systèmes (chapitres choisis) / Pathophysiologie der Organsysteme (ausgewählte Kapitel)** — UE-SME.04207, 3 ECTS, Mandatory, Biomedical Sciences, program 120 ECTS
  - Section/description hint: Semestre 4 (printemps)
- **Système nerveux central (démonstrations et travaux pratiques) / Zentrales Nervensystem (Demonstrationen und Praktika)** — UE-SMO.04202, 1 ECTS, Mandatory, Biomedical Sciences, program 120 ECTS
  - Section/description hint: Semestre 4 (printemps)
- **Histologie IIa (travaux pratiques) / Histologie IIa (Praktikum)** — UE-SMO.04203, 1.5 ECTS, Mandatory, Biomedical Sciences, program 120 ECTS
  - Section/description hint: Semestre 4 (printemps)
- **Physiologie des systèmes II (travaux pratiques) / Systemphysiologie II (Praktikum)** — UE-SPY.04205, 2.75 ECTS, Mandatory, Biomedical Sciences, program 120 ECTS
  - Section/description hint: Semestre 4 (printemps)
- **Proseminar: Medien, Kommunikation und wissenschaftliches Arbeiten: Gruppe 2** — UE-EKM.00769, 3 ECTS, Mandatory, Business Communication, program 60 ECTS
  - Section/description hint: Deutsch
- **Proseminar: Medien, Kommunikation und wissenschaftliches Arbeiten: Gruppe 3** — UE-EKM.00770, 3 ECTS, Mandatory, Business Communication, program 60 ECTS
  - Section/description hint: Deutsch
- **Proseminar: Medien, Kommunikation und wissenschaftliches Arbeiten: Gruppe 1** — UE-EKM.00771, 3 ECTS, Mandatory, Business Communication, program 60 ECTS
  - Section/description hint: Deutsch
- **Proséminaire : techniques de travail** — UE-EKM.01384, 3 ECTS, Mandatory, Business Communication, program 60 ECTS
  - Section/description hint: Deutsch
- **Proséminaire : techniques de travail** — UE-EKM.01387, 3 ECTS, Mandatory, Business Communication, program 60 ECTS
  - Section/description hint: Deutsch
- **Proséminaire : techniques de travail** — UE-EKM.01389, 3 ECTS, Mandatory, Business Communication, program 60 ECTS
  - Section/description hint: Deutsch
- **Proséminaire : techniques de travail** — UE-EKM.01391, 3 ECTS, Mandatory, Business Communication, program 60 ECTS
  - Section/description hint: Deutsch
- **Proséminaire : techniques de travail** — UE-EKM.01393, 3 ECTS, Mandatory, Business Communication, program 60 ECTS
  - Section/description hint: Deutsch
- **Proséminaire : techniques de travail** — UE-EKM.01395, 3 ECTS, Mandatory, Business Communication, program 60 ECTS
  - Section/description hint: Deutsch
- **Compétences documentaires en économie 1** — UE-EDK.00951, 0 ECTS, Mandatory, Business Informatics, program 180 ECTS
  - Section/description hint: Informationskompetenz in den Wirtschaftswissenschaften
- **Compétences documentaires en informatique de Gestion 2** — UE-EDK.00965, 0 ECTS, Mandatory, Business Informatics, program 180 ECTS
  - Section/description hint: Informationskompetenz in den Wirtschaftswissenschaften
- **Informationskompetenz Wirtschaftsinformatik** — UE-EDK.00969, 0 ECTS, Mandatory, Business Informatics, program 180 ECTS
  - Section/description hint: Informationskompetenz in den Wirtschaftswissenschaften
- **Analytical chemistry III (lectures)** — UE-SCH.04254, 3 ECTS, Mandatory, Chemistry, program 30 ECTS
  - Section/description hint: 2.4.1 Unités d'enseignement
- **Problem solving en chimie générale / Problem Solving in der allgemeinen Chemie** — UE-SCH.01033, 2 ECTS, Mandatory, Chemistry, program 120 ECTS
  - Section/description hint: Semestre 1 (automne)
- **Problem solving en chimie générale / Problem Solving in der allgemeinen Chemie** — UE-SCH.01033, 2 ECTS, Mandatory, Chemistry, program 150 ECTS
  - Section/description hint: 4 Modalités d'évaluation
- **Spektroskopie 1 (Vorlesung mit Ubungen) / Spectroscopy 1 ( lectures with exercises )** — UE-SCH.02151, 4 ECTS, Mandatory, Chemistry, program 150 ECTS
  - Section/description hint: 4 Modalités d'évaluation
- **Thermodynamique statistique (pour HES) / Statistiche Thermodynamik (für HES)** — UE-SCH.02350, 2.5 ECTS, Mandatory, Chemistry, program 150 ECTS
  - Section/description hint: 4 Modalités d'évaluation
- **Advanced organic chemistry I (lectures)** — UE-SCH.04144, 3 ECTS, Mandatory, Chemistry, program 150 ECTS
  - Section/description hint: 4 Modalités d'évaluation
- **Advanced organic chemistry II (lectures)** — UE-SCH.04145, 3 ECTS, Mandatory, Chemistry, program 150 ECTS
  - Section/description hint: 4 Modalités d'évaluation
- **Analytical chemistry III (lectures)** — UE-SCH.04254, 3 ECTS, Mandatory, Chemistry, program 150 ECTS
  - Section/description hint: 4 Modalités d'évaluation
- **Functional materials I (lectures)** — UE-SCH.04425, 3 ECTS, Mandatory, Chemistry, program 150 ECTS
  - Section/description hint: 4 Modalités d'évaluation
- **Functional materials II (lectures)** — UE-SCH.04426, 3 ECTS, Mandatory, Chemistry, program 150 ECTS
  - Section/description hint: 4 Modalités d'évaluation
- **Metals in materials and life (lecture)** — UE-SCH.04707, 3 ECTS, Mandatory, Chemistry, program 150 ECTS
  - Section/description hint: 4 Modalités d'évaluation
- **Proseminar: Medien, Kommunikation und wissenschaftliches Arbeiten: Gruppe 1** — UE-EKM.00771, 3 ECTS, Mandatory, Communication and Media Research, program 30 ECTS
  - Section/description hint: Methoden der empirischen Sozialforschung (ab : SA-2021)
- **Proseminar: Medien, Kommunikation und wissenschaftliches Arbeiten: Gruppe 2** — UE-EKM.00769, 3 ECTS, Mandatory, Communication and Media Research, program 30 ECTS
  - Section/description hint: Proseminar
- **Proseminar: Medien, Kommunikation und wissenschaftliches Arbeiten: Gruppe 3** — UE-EKM.00770, 3 ECTS, Mandatory, Communication and Media Research, program 30 ECTS
  - Section/description hint: Proseminar
- **Proséminaire : techniques de travail** — UE-EKM.01384, 3 ECTS, Mandatory, Communication and Media Research, program 30 ECTS
  - Section/description hint: Proseminar
- **Proséminaire : techniques de travail** — UE-EKM.01387, 3 ECTS, Mandatory, Communication and Media Research, program 30 ECTS
  - Section/description hint: Proseminar
- **Proséminaire : techniques de travail** — UE-EKM.01389, 3 ECTS, Mandatory, Communication and Media Research, program 30 ECTS
  - Section/description hint: Proseminar
- **Proséminaire : techniques de travail** — UE-EKM.01391, 3 ECTS, Mandatory, Communication and Media Research, program 30 ECTS
  - Section/description hint: Proseminar
- **Proséminaire : techniques de travail** — UE-EKM.01393, 3 ECTS, Mandatory, Communication and Media Research, program 30 ECTS
  - Section/description hint: Proseminar
- **Proséminaire : techniques de travail** — UE-EKM.01395, 3 ECTS, Mandatory, Communication and Media Research, program 30 ECTS
  - Section/description hint: Proseminar
- **Séminaire: Communication politique** — UE-EKM.01466, 3 ECTS, Mandatory, Communication and Media Research, program 30 ECTS
  - Section/description hint: Proseminar
- **Proseminar: Medien, Kommunikation und wissenschaftliches Arbeiten: Gruppe 2** — UE-EKM.00769, 3 ECTS, Mandatory, Communication and Media Research, program 60 ECTS
  - Section/description hint: Methoden der empirischen Sozialforschung (ab : SA-2021)
- **Proseminar: Medien, Kommunikation und wissenschaftliches Arbeiten: Gruppe 3** — UE-EKM.00770, 3 ECTS, Mandatory, Communication and Media Research, program 60 ECTS
  - Section/description hint: Methoden der empirischen Sozialforschung (ab : SA-2021)
- **Proseminar: Medien, Kommunikation und wissenschaftliches Arbeiten: Gruppe 1** — UE-EKM.00771, 3 ECTS, Mandatory, Communication and Media Research, program 60 ECTS
  - Section/description hint: Methoden der empirischen Sozialforschung (ab : SA-2021)
- **Proséminaire : techniques de travail** — UE-EKM.01384, 3 ECTS, Mandatory, Communication and Media Research, program 60 ECTS
  - Section/description hint: Methoden der empirischen Sozialforschung (ab : SA-2021)
- **Proséminaire : techniques de travail** — UE-EKM.01387, 3 ECTS, Mandatory, Communication and Media Research, program 60 ECTS
  - Section/description hint: Methoden der empirischen Sozialforschung (ab : SA-2021)
- **Proséminaire : techniques de travail** — UE-EKM.01389, 3 ECTS, Mandatory, Communication and Media Research, program 60 ECTS
  - Section/description hint: Methoden der empirischen Sozialforschung (ab : SA-2021)
- **Proséminaire : techniques de travail** — UE-EKM.01391, 3 ECTS, Mandatory, Communication and Media Research, program 60 ECTS
  - Section/description hint: Methoden der empirischen Sozialforschung (ab : SA-2021)
- **Proséminaire : techniques de travail** — UE-EKM.01393, 3 ECTS, Mandatory, Communication and Media Research, program 60 ECTS
  - Section/description hint: Methoden der empirischen Sozialforschung (ab : SA-2021)
- **Proséminaire : techniques de travail** — UE-EKM.01395, 3 ECTS, Mandatory, Communication and Media Research, program 60 ECTS
  - Section/description hint: Methoden der empirischen Sozialforschung (ab : SA-2021)
- **Proseminar: Medien, Kommunikation und wissenschaftliches Arbeiten: Gruppe 2** — UE-EKM.00769, 3 ECTS, Mandatory, Communication and Media Research, program 120 ECTS
  - Section/description hint: Deutsch
- **Proseminar: Medien, Kommunikation und wissenschaftliches Arbeiten: Gruppe 3** — UE-EKM.00770, 3 ECTS, Mandatory, Communication and Media Research, program 120 ECTS
  - Section/description hint: Deutsch
- **Proseminar: Medien, Kommunikation und wissenschaftliches Arbeiten: Gruppe 1** — UE-EKM.00771, 3 ECTS, Mandatory, Communication and Media Research, program 120 ECTS
  - Section/description hint: Deutsch
- **Proséminaire : techniques de travail** — UE-EKM.01384, 3 ECTS, Mandatory, Communication and Media Research, program 120 ECTS
  - Section/description hint: Deutsch
- **Proséminaire : techniques de travail** — UE-EKM.01387, 3 ECTS, Mandatory, Communication and Media Research, program 120 ECTS
  - Section/description hint: Deutsch
- **Proséminaire : techniques de travail** — UE-EKM.01389, 3 ECTS, Mandatory, Communication and Media Research, program 120 ECTS
  - Section/description hint: Deutsch
- **Proséminaire : techniques de travail** — UE-EKM.01391, 3 ECTS, Mandatory, Communication and Media Research, program 120 ECTS
  - Section/description hint: Deutsch
- **Proséminaire : techniques de travail** — UE-EKM.01393, 3 ECTS, Mandatory, Communication and Media Research, program 120 ECTS
  - Section/description hint: Deutsch
- **Proséminaire : techniques de travail** — UE-EKM.01395, 3 ECTS, Mandatory, Communication and Media Research, program 120 ECTS
  - Section/description hint: Deutsch
- **Séminaire: Communication politique** — UE-EKM.01466, 3 ECTS, Mandatory, Communication and Media Research, program 120 ECTS
  - Section/description hint: Deutsch
- **Proseminar: Medien, Kommunikation und wissenschaftliches Arbeiten: Gruppe 1** — UE-EKM.00771, 3 ECTS, Mandatory, Communication Studies, program 30 ECTS
  - Section/description hint: Methoden der empirischen Sozialforschung (ab : SA-2021)
get_program_docs failed: 500 Server Error: Internal Server Error for url: http://backend:3000/docs-api/program/None</t>
        </is>
      </c>
      <c r="AR37" s="11" t="n"/>
    </row>
    <row r="38">
      <c r="A38" s="11" t="n">
        <v>37</v>
      </c>
      <c r="B38" s="11" t="inlineStr">
        <is>
          <t>rag_document</t>
        </is>
      </c>
      <c r="C38" s="11" t="inlineStr">
        <is>
          <t>hard</t>
        </is>
      </c>
      <c r="D38" s="11" t="inlineStr">
        <is>
          <t>EN</t>
        </is>
      </c>
      <c r="E38" s="11" t="inlineStr">
        <is>
          <t>What does the study plan say about recommended semester structure for Political Science?</t>
        </is>
      </c>
      <c r="F38" s="11" t="inlineStr">
        <is>
          <t>Answer grounded in retrieved document text with correct source attribution.</t>
        </is>
      </c>
      <c r="G38" s="11" t="inlineStr">
        <is>
          <t>RAG</t>
        </is>
      </c>
      <c r="H38" s="11" t="inlineStr">
        <is>
          <t>RAG over study plan/regulation documents</t>
        </is>
      </c>
      <c r="I38" s="11" t="inlineStr">
        <is>
          <t>PDF/study plan/regulation</t>
        </is>
      </c>
      <c r="J38" s="11" t="inlineStr">
        <is>
          <t>semester structure</t>
        </is>
      </c>
      <c r="K38" s="11" t="inlineStr">
        <is>
          <t>Use for website-RAG vs hybrid fallback comparison.</t>
        </is>
      </c>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inlineStr">
        <is>
          <t>2026-05-25T01:18:59</t>
        </is>
      </c>
      <c r="AI38" s="11" t="n">
        <v>200</v>
      </c>
      <c r="AJ38" s="11" t="b">
        <v>1</v>
      </c>
      <c r="AK38" s="11" t="n">
        <v>223841.9</v>
      </c>
      <c r="AL38" s="11" t="n">
        <v>223838.42</v>
      </c>
      <c r="AM38" s="11" t="n"/>
      <c r="AN38" s="11" t="n">
        <v>223836.51</v>
      </c>
      <c r="AO38" s="11" t="inlineStr">
        <is>
          <t>get_program_courses_by_metadata</t>
        </is>
      </c>
      <c r="AP38" s="11" t="n">
        <v>0</v>
      </c>
      <c r="AQ38" s="11" t="inlineStr">
        <is>
          <t>get_program_courses_by_metadata: no matching results found.</t>
        </is>
      </c>
      <c r="AR38" s="11" t="n"/>
    </row>
    <row r="39">
      <c r="A39" s="11" t="n">
        <v>38</v>
      </c>
      <c r="B39" s="11" t="inlineStr">
        <is>
          <t>rag_document</t>
        </is>
      </c>
      <c r="C39" s="11" t="inlineStr">
        <is>
          <t>hard</t>
        </is>
      </c>
      <c r="D39" s="11" t="inlineStr">
        <is>
          <t>EN</t>
        </is>
      </c>
      <c r="E39" s="11" t="inlineStr">
        <is>
          <t>What learning outcomes or competencies are described for Communication Studies?</t>
        </is>
      </c>
      <c r="F39" s="11" t="inlineStr">
        <is>
          <t>Answer grounded in retrieved document text with correct source attribution.</t>
        </is>
      </c>
      <c r="G39" s="11" t="inlineStr">
        <is>
          <t>RAG</t>
        </is>
      </c>
      <c r="H39" s="11" t="inlineStr">
        <is>
          <t>RAG over study plan/regulation documents</t>
        </is>
      </c>
      <c r="I39" s="11" t="inlineStr">
        <is>
          <t>PDF/study plan/regulation</t>
        </is>
      </c>
      <c r="J39" s="11" t="inlineStr">
        <is>
          <t>learning outcomes/competencies</t>
        </is>
      </c>
      <c r="K39" s="11" t="inlineStr">
        <is>
          <t>Use for website-RAG vs hybrid fallback comparison.</t>
        </is>
      </c>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inlineStr">
        <is>
          <t>2026-05-25T01:18:59</t>
        </is>
      </c>
      <c r="AI39" s="11" t="n">
        <v>200</v>
      </c>
      <c r="AJ39" s="11" t="b">
        <v>1</v>
      </c>
      <c r="AK39" s="11" t="n">
        <v>1382260.48</v>
      </c>
      <c r="AL39" s="11" t="n">
        <v>1382332.45</v>
      </c>
      <c r="AM39" s="11" t="n"/>
      <c r="AN39" s="11" t="n">
        <v>1382330.44</v>
      </c>
      <c r="AO39" s="11" t="inlineStr">
        <is>
          <t>get_course_by_code</t>
        </is>
      </c>
      <c r="AP39" s="11" t="n">
        <v>8</v>
      </c>
      <c r="AQ39" s="11" t="inlineStr">
        <is>
          <t>Based on the provided text, it appears to be a list of courses offered in the field of Communication Studies at a university. The text is written in German and includes various sections such as "Methoden der empirischen Sozialforschung (DE)" and "Proseminar". 
To provide an answer with citations, I would need more context or specific questions about the content. However, based on the provided information, here are some general observations:
1. The courses are divided into sections such as "Methoden der empirischen Sozialforschung (DE)" and "Proseminar", which suggests that they are organized by topic or type.
2. Each course is listed with a unique code (e.g., EKM.01237) and includes information about the course title, instructors, semester, language of instruction, evaluation method, and number of credits.
3. Some courses have multiple entries, suggesting that they may be offered in different groups or sections.
Without specific questions or context, it is difficult to provide a more detailed answer with citations. If you could provide more information about what you are looking for, I would be happy to try and assist further.</t>
        </is>
      </c>
      <c r="AR39" s="11" t="n"/>
    </row>
    <row r="40">
      <c r="A40" s="11" t="n">
        <v>39</v>
      </c>
      <c r="B40" s="11" t="inlineStr">
        <is>
          <t>rag_document</t>
        </is>
      </c>
      <c r="C40" s="11" t="inlineStr">
        <is>
          <t>hard</t>
        </is>
      </c>
      <c r="D40" s="11" t="inlineStr">
        <is>
          <t>EN</t>
        </is>
      </c>
      <c r="E40" s="11" t="inlineStr">
        <is>
          <t>Which examination rules are mentioned in the regulation document for Economics?</t>
        </is>
      </c>
      <c r="F40" s="11" t="inlineStr">
        <is>
          <t>Answer grounded in retrieved document text with correct source attribution.</t>
        </is>
      </c>
      <c r="G40" s="11" t="inlineStr">
        <is>
          <t>RAG</t>
        </is>
      </c>
      <c r="H40" s="11" t="inlineStr">
        <is>
          <t>RAG over study plan/regulation documents</t>
        </is>
      </c>
      <c r="I40" s="11" t="inlineStr">
        <is>
          <t>PDF/study plan/regulation</t>
        </is>
      </c>
      <c r="J40" s="11" t="inlineStr">
        <is>
          <t>exam/regulation rules</t>
        </is>
      </c>
      <c r="K40" s="11" t="inlineStr">
        <is>
          <t>Use for website-RAG vs hybrid fallback comparison.</t>
        </is>
      </c>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inlineStr">
        <is>
          <t>2026-05-25T01:18:59</t>
        </is>
      </c>
      <c r="AI40" s="11" t="n">
        <v>500</v>
      </c>
      <c r="AJ40" s="11" t="b">
        <v>0</v>
      </c>
      <c r="AK40" s="11" t="n">
        <v>831580.79</v>
      </c>
      <c r="AL40" s="11" t="n"/>
      <c r="AM40" s="11" t="n"/>
      <c r="AN40" s="11" t="n"/>
      <c r="AO40" s="11" t="inlineStr"/>
      <c r="AP40" s="11" t="n">
        <v>0</v>
      </c>
      <c r="AQ40" s="11" t="inlineStr">
        <is>
          <t>Internal Server Error</t>
        </is>
      </c>
      <c r="AR40" s="11" t="inlineStr">
        <is>
          <t>Internal Server Error</t>
        </is>
      </c>
    </row>
    <row r="41">
      <c r="A41" s="11" t="n">
        <v>40</v>
      </c>
      <c r="B41" s="11" t="inlineStr">
        <is>
          <t>rag_document</t>
        </is>
      </c>
      <c r="C41" s="11" t="inlineStr">
        <is>
          <t>hard</t>
        </is>
      </c>
      <c r="D41" s="11" t="inlineStr">
        <is>
          <t>EN</t>
        </is>
      </c>
      <c r="E41" s="11" t="inlineStr">
        <is>
          <t>What does the document say about repeating failed exams?</t>
        </is>
      </c>
      <c r="F41" s="11" t="inlineStr">
        <is>
          <t>Answer grounded in retrieved document text with correct source attribution.</t>
        </is>
      </c>
      <c r="G41" s="11" t="inlineStr">
        <is>
          <t>RAG</t>
        </is>
      </c>
      <c r="H41" s="11" t="inlineStr">
        <is>
          <t>RAG over study plan/regulation documents</t>
        </is>
      </c>
      <c r="I41" s="11" t="inlineStr">
        <is>
          <t>PDF/study plan/regulation</t>
        </is>
      </c>
      <c r="J41" s="11" t="inlineStr">
        <is>
          <t>repeat exam rules</t>
        </is>
      </c>
      <c r="K41" s="11" t="inlineStr">
        <is>
          <t>Use for website-RAG vs hybrid fallback comparison.</t>
        </is>
      </c>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inlineStr">
        <is>
          <t>2026-05-25T01:18:59</t>
        </is>
      </c>
      <c r="AI41" s="11" t="n">
        <v>200</v>
      </c>
      <c r="AJ41" s="11" t="b">
        <v>1</v>
      </c>
      <c r="AK41" s="11" t="n">
        <v>1413938.6</v>
      </c>
      <c r="AL41" s="11" t="n">
        <v>1414008.25</v>
      </c>
      <c r="AM41" s="11" t="n"/>
      <c r="AN41" s="11" t="n">
        <v>1413998.16</v>
      </c>
      <c r="AO41" s="11" t="inlineStr">
        <is>
          <t>get_program_docs, get_course_by_code</t>
        </is>
      </c>
      <c r="AP41" s="11" t="n">
        <v>8</v>
      </c>
      <c r="AQ41" s="11" t="inlineStr">
        <is>
          <t>The provided text appears to be a collection of evaluation methods for various courses and research projects within the Faculty of Science and Medicine at the University of Geneva. The evaluations are based on different criteria, such as:
1. Written exams (e.g., SME.06302: SME.07300; Stages dans un groupe de recherche (partie B): Central nervous system regeneration and repair)
2. Oral presentations or exams (e.g., SBL.00504: SBL.10009; Basics in biostatistics: Advanced marine biology practical course)
3. Active participation in research groups, seminars, or journal clubs (e.g., SME.06302: SME.07214; Stages dans un groupe de recherche (partie B): Cancer/inflammation research journal club)
4. Continuous assessment (e.g., SME.06302: SME.07215; Stages dans un groupe de recherche (partie B): Hot topics in Cancer research, Metabolic health and Regenerative biomedicine)
The evaluations are often accompanied by a specific number of points or marks, which may indicate the weightage assigned to each evaluation method.
To answer the question "What is the evaluation method for [specific course or project]?" one would need to refer to the relevant section in the provided text. For example:
* For SME.06302: SME.07300; Stages dans un groupe de recherche (partie B): Central nervous system regeneration and repair, the evaluation method is a written exam with 75 minutes duration.
* For SBL.00504: SBL.10009; Basics in biostatistics: Advanced marine biology practical course, the evaluation method is an oral or written exam during the semester or exam session.
Please note that this text appears to be a collection of evaluation methods and does not provide a comprehensive overview of the courses or research projects themselves.</t>
        </is>
      </c>
      <c r="AR41" s="11" t="n"/>
    </row>
    <row r="42">
      <c r="A42" s="11" t="n">
        <v>41</v>
      </c>
      <c r="B42" s="11" t="inlineStr">
        <is>
          <t>rag_document</t>
        </is>
      </c>
      <c r="C42" s="11" t="inlineStr">
        <is>
          <t>hard</t>
        </is>
      </c>
      <c r="D42" s="11" t="inlineStr">
        <is>
          <t>EN</t>
        </is>
      </c>
      <c r="E42" s="11" t="inlineStr">
        <is>
          <t>What does the document say about recognition of external credits or mobility?</t>
        </is>
      </c>
      <c r="F42" s="11" t="inlineStr">
        <is>
          <t>Answer grounded in retrieved document text with correct source attribution.</t>
        </is>
      </c>
      <c r="G42" s="11" t="inlineStr">
        <is>
          <t>RAG</t>
        </is>
      </c>
      <c r="H42" s="11" t="inlineStr">
        <is>
          <t>RAG over study plan/regulation documents</t>
        </is>
      </c>
      <c r="I42" s="11" t="inlineStr">
        <is>
          <t>PDF/study plan/regulation</t>
        </is>
      </c>
      <c r="J42" s="11" t="inlineStr">
        <is>
          <t>mobility/credit recognition</t>
        </is>
      </c>
      <c r="K42" s="11" t="inlineStr">
        <is>
          <t>Use for website-RAG vs hybrid fallback comparison.</t>
        </is>
      </c>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inlineStr">
        <is>
          <t>2026-05-25T01:18:59</t>
        </is>
      </c>
      <c r="AI42" s="11" t="n">
        <v>200</v>
      </c>
      <c r="AJ42" s="11" t="b">
        <v>1</v>
      </c>
      <c r="AK42" s="11" t="n">
        <v>1300175.9</v>
      </c>
      <c r="AL42" s="11" t="n">
        <v>1300240.43</v>
      </c>
      <c r="AM42" s="11" t="n"/>
      <c r="AN42" s="11" t="n">
        <v>1300239.46</v>
      </c>
      <c r="AO42" s="11" t="inlineStr">
        <is>
          <t>get_program_courses_by_metadata</t>
        </is>
      </c>
      <c r="AP42" s="11" t="n">
        <v>8</v>
      </c>
      <c r="AQ42" s="11" t="inlineStr">
        <is>
          <t>I cannot provide information on how to recognize external credits or mobility. Is there anything else I can help you with?</t>
        </is>
      </c>
      <c r="AR42" s="11" t="n"/>
    </row>
    <row r="43">
      <c r="A43" s="11" t="n">
        <v>42</v>
      </c>
      <c r="B43" s="11" t="inlineStr">
        <is>
          <t>rag_document</t>
        </is>
      </c>
      <c r="C43" s="11" t="inlineStr">
        <is>
          <t>hard</t>
        </is>
      </c>
      <c r="D43" s="11" t="inlineStr">
        <is>
          <t>EN</t>
        </is>
      </c>
      <c r="E43" s="11" t="inlineStr">
        <is>
          <t>What does the study plan say about choosing minor programs?</t>
        </is>
      </c>
      <c r="F43" s="11" t="inlineStr">
        <is>
          <t>Answer grounded in retrieved document text with correct source attribution.</t>
        </is>
      </c>
      <c r="G43" s="11" t="inlineStr">
        <is>
          <t>RAG</t>
        </is>
      </c>
      <c r="H43" s="11" t="inlineStr">
        <is>
          <t>RAG over study plan/regulation documents</t>
        </is>
      </c>
      <c r="I43" s="11" t="inlineStr">
        <is>
          <t>PDF/study plan/regulation</t>
        </is>
      </c>
      <c r="J43" s="11" t="inlineStr">
        <is>
          <t>minor/elective rules</t>
        </is>
      </c>
      <c r="K43" s="11" t="inlineStr">
        <is>
          <t>Use for website-RAG vs hybrid fallback comparison.</t>
        </is>
      </c>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inlineStr">
        <is>
          <t>2026-05-25T01:18:59</t>
        </is>
      </c>
      <c r="AI43" s="11" t="n">
        <v>200</v>
      </c>
      <c r="AJ43" s="11" t="b">
        <v>1</v>
      </c>
      <c r="AK43" s="11" t="n">
        <v>47.7</v>
      </c>
      <c r="AL43" s="11" t="n">
        <v>38.58</v>
      </c>
      <c r="AM43" s="11" t="n"/>
      <c r="AN43" s="11" t="n">
        <v>37.64</v>
      </c>
      <c r="AO43" s="11" t="inlineStr">
        <is>
          <t>get_programs</t>
        </is>
      </c>
      <c r="AP43" s="11" t="n">
        <v>0</v>
      </c>
      <c r="AQ43" s="11" t="inlineStr">
        <is>
          <t>Found 158 result(s):
- **Archaeology** — Master, 30 ECTS, minor, id 188, Faculty of Humanities
- **Art History** — Bachelor, 30 ECTS, minor, id 199, Faculty of Humanities
- **Art History** — Bachelor, 60 ECTS, minor, id 200, Faculty of Humanities
- **Art History** — Master, 30 ECTS, minor, id 197, Faculty of Humanities
- **Biochemistry** — Bachelor, 30 ECTS, minor, id 103, Faculty of Science and Medicine
- **Biochemistry** — Bachelor, 60 ECTS, minor, id 104, Faculty of Science and Medicine
- **Biology** — Bachelor, 30 ECTS, minor, id 97, Faculty of Science and Medicine
- **Biology** — Bachelor, 60 ECTS, minor, id 98, Faculty of Science and Medicine
- **Biomedical Sciences** — Bachelor, 60 ECTS, minor, id 21,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Master, 30 ECTS, minor, id 7, Faculty of Management, Economics and Social Sciences
- **Chemistry** — Bachelor, 30 ECTS, minor, id 89, Faculty of Science and Medicine
- **Chemistry** — Bachelor, 60 ECTS, minor, id 90, Faculty of Science and Medicine
- **Chemistry** — Master, 30 ECTS, minor, id 86, Faculty of Science and Medicine
- **Classics** — Bachelor, 60 ECTS, minor, id 287, Faculty of Humanities
- **Classics** — Master, 30 ECTS, minor, id 285, Faculty of Humanities
- **Communication and Media Research** — Bachelor, 30 ECTS, minor, id 306, Faculty of Management, Economics and Social Sciences
- **Communication and Media Research** — Bachelor, 60 ECTS, minor, id 307, Faculty of Management, Economics and Social Sciences
- **Communication Studies** — Bachelor, 30 ECTS, minor, id 300, Faculty of Management, Economics and Social Sciences
- **Communication Studies** — Bachelor, 60 ECTS, minor, id 301, Faculty of Management, Economics and Social Sciences
- **Comparative Literature** — Master, 30 ECTS, minor, id 282, Faculty of Humanities
- **Computer Science** — Bachelor, 30 ECTS, minor, id 3, Faculty of Science and Medicine
- **Computer Science** — Bachelor, 60 ECTS, minor, id 4, Faculty of Science and Medicine
- **Computer Science** — Master, 30 ECTS, minor, id 1, Faculty of Science and Medicine
- **Contemporary History** — Bachelor, 30 ECTS, minor, id 205, Faculty of Humanities
- **Contemporary History** — Bachelor, 60 ECTS, minor, id 206, Faculty of Humanities
- **Contemporary History** — Master, 30 ECTS, minor, id 203, Faculty of Humanities
- **Culture, Politics and Religion in Pluralist Societies** — Master, 30 ECTS, minor, id 142, Faculty of Humanities
- **Data Analytics &amp; Economics** — Master, 30 ECTS, minor, id 51, Faculty of Management, Economics and Social Sciences
- **Digital Communication and Creative Media Production** — Master, 30 ECTS, minor, id 295, Faculty of Management, Economics and Social Sciences
- **Digital Media &amp; Communication for Social Impact** — Master, 30 ECTS, minor, id 298, Faculty of Management, Economics and Social Sciences
- **Digital Society** — Master, 30 ECTS, minor, id 38, Faculty of Humanities
- **Earth Sciences** — Bachelor, 30 ECTS, minor, id 80, Faculty of Science and Medicine
- **Earth Sciences** — Bachelor, 60 ECTS, minor, id 81, Faculty of Science and Medicine
- **Eastern European Studies** — Bachelor, 60 ECTS, minor, id 163, Faculty of Humanities
- **Eastern European Studies** — Master, 30 ECTS, minor, id 161, Faculty of Humanities
- **Economic and Legal Studies** — Bachelor, 60 ECTS, minor, id 322,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Master, 30 ECTS, minor, id 325, Faculty of Management, Economics and Social Sciences
- **Education Sciences** — Bachelor, 60 ECTS, minor, id 119, Faculty of Education
- **Education Sciences** — Master, 30 ECTS, minor, id 117, Faculty of Education
- **English Language and Literature** — Bachelor, 60 ECTS, minor, id 279, Faculty of Humanities
- **English Language and Literature** — Master, 30 ECTS, minor, id 277, Faculty of Humanities
- **Environmental Biology** — Master, 30 ECTS, minor, id 94, Faculty of Science and Medicine
- **Environmental Humanities and Sustainability Studies** — Master, 30 ECTS, minor, id 36, Interfaculty
- **Environmental Sciences and Humanities** — Bachelor, 30 ECTS, minor, id 76, Interfaculty
- **Environmental Sciences and Humanities** — Bachelor, 60 ECTS, minor, id 77, Interfaculty
- **Environmental Sciences and Humanities** — Master, 30 ECTS, minor, id 74, Interfaculty
- **Ethics and Economics** — Master, 30 ECTS, minor, id 313, Faculty of Management, Economics and Social Sciences
- **European Studies** — Master, 30 ECTS, minor, id 158, Faculty of Humanities
- **Family, Children and Youth Studies** — Master, 30 ECTS, minor, id 33, Interfaculty
- **Foreign Language Didactics** — Master, 30 ECTS, minor, id 222, Faculty of Humanities
- **French** — Bachelor, 60 ECTS, minor, id 274, Faculty of Humanities
- **French** — Master, 30 ECTS, minor, id 272, Faculty of Humanities
- **French as a Foreign Language** — Bachelor, 60 ECTS, minor, id 226, Faculty of Humanities
- **French as a Foreign Language / French as a Second Language** — Master, 30 ECTS, minor, id 224, Faculty of Humanities
- **French: Foundational Curriculum** — Master, 30 ECTS, minor, id 269, Faculty of Humanities
- **Gender, Society, Social Policy** — Master, 30 ECTS, minor, id 156, Faculty of Humanities
- **General and Swiss History of Modern Times** — Master, 30 ECTS, minor, id 209, Faculty of Humanities
- **Geography** — Bachelor, 30 ECTS, minor, id 70, Faculty of Science and Medicine
- **Geography** — Bachelor, 60 ECTS, minor, id 71, Faculty of Science and Medicine
- **Geography** — Master, 30 ECTS, minor, id 68, Faculty of Science and Medicine
- **German** — Bachelor, 50 ECTS, minor, id 266, Faculty of Humanities
- **German** — Bachelor, 60 ECTS, minor, id 267, Faculty of Humanities
- **German** — Master, 30 ECTS, minor, id 264, Faculty of Humanities
- **German as a Foreign Language** — Bachelor, 60 ECTS, minor, id 229, Faculty of Humanities
- **German as a Foreign Language / German as a Second Language** — Master, 30 ECTS, minor, id 227,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Master, 30 ECTS, minor, id 214, Faculty of Humanities
- **History of Modern Times** — Bachelor, 60 ECTS, minor, id 211, Faculty of Humanities
- **International and Comparative Social Policy** — Master, 30 ECTS, minor, id 155, Faculty of Humanities
- **Interreligious Studies** — Bachelor, 30 ECTS, minor, id 354, Faculty of Theology
- **Interreligious Studies** — Bachelor, 60 ECTS, minor, id 355, Faculty of Theology
- **Interreligious Studies** — Master, 30 ECTS, minor, id 352, Faculty of Theology
- **Islam and Society** — Master, 30 ECTS, minor, id 31, Interfaculty
- **Italian** — Bachelor, 30 ECTS, minor, id 254, Faculty of Humanities
- **Italian** — Bachelor, 60 ECTS, minor, id 255, Faculty of Humanities
- **Italian** — Master, 30 ECTS, minor, id 252, Faculty of Humanities
- **Italian [Double Degree]** — Master, 60 ECTS, minor, id 249,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Master, 30 ECTS, minor, id 339, Faculty of Law
- **Management** — Bachelor, 30 ECTS, minor, id 333, Faculty of Management, Economics and Social Sciences
- **Management** — Bachelor, 60 ECTS, minor, id 334, Faculty of Management, Economics and Social Sciences
- **Management** — Master, 30 ECTS, minor, id 331, Faculty of Management, Economics and Social Sciences
- **Mathematics** — Bachelor, 30 ECTS, minor, id 62, Faculty of Science and Medicine
- **Mathematics** — Bachelor, 60 ECTS, minor, id 63, Faculty of Science and Medicine
- **Mathematics** — Master, 30 ECTS, minor, id 60, Faculty of Science and Medicine
- **Medieval Studies** — Master, 30 ECTS, minor, id 29, Faculty of Humanities
- **Multilingualism Studies** — Master, 30 ECTS, minor, id 219, Faculty of Humanities
- **Musicology and History of Opera** — Bachelor, 30 ECTS, minor, id 193, Faculty of Humanities
- **Musicology and History of Opera** — Bachelor, 60 ECTS, minor, id 194, Faculty of Humanities
- **Musicology and History of Opera** — Master, 30 ECTS, minor, id 191, Faculty of Humanities
- **Part-time Law studies** — Bachelor, 30 ECTS, minor, id 341, Faculty of Law
- **Pedagogy / Psychology** — Bachelor, 60 ECTS, minor, id 114, Faculty of Education
- **Pedagogy / Psychology** — Master, 30 ECTS, minor, id 112, Faculty of Education
- **Philosophy** — Bachelor, 30 ECTS, minor, id 292, Faculty of Humanities
- **Philosophy** — Bachelor, 60 ECTS, minor, id 293, Faculty of Humanities
- **Philosophy** — Master, 30 ECTS, minor, id 290, Faculty of Humanities
- **Physics** — Bachelor, 30 ECTS, minor, id 54, Faculty of Science and Medicine
- **Physics** — Bachelor, 60 ECTS, minor, id 55, Faculty of Science and Medicine
- **Physics** — Master, 30 ECTS, minor, id 27, Faculty of Science and Medicine
- **Political Science** — Bachelor, 60 ECTS, minor, id 153, Faculty of Humanities
- **Psychology** — Bachelor, 30 ECTS, minor, id 109, Faculty of Humanities
- **Psychology** — Bachelor, 60 ECTS, minor, id 110, Faculty of Humanities
- **Psychology** — Master, 30 ECTS, minor, id 107, Faculty of Humanities
- **Religious studies** — Bachelor, 30 ECTS, minor, id 150, Faculty of Humanities
- **Religious studies** — Bachelor, 60 ECTS, minor, id 151, Faculty of Humanities
- **Remedial Education at School (DE)** — Master, 30 ECTS, minor, id 126, Faculty of Education
- **Remedial Education at School (FR)** — Master, 30 ECTS, minor, id 129, Faculty of Education
- **Rhaeto-Romance** — Bachelor, 30 ECTS, minor, id 243, Faculty of Humanities
- **Rhaeto-Romance** — Bachelor, 60 ECTS, minor, id 244, Faculty of Humanities
- **Rhaeto-Romance** — Master, 30 ECTS, minor, id 242, Faculty of Humanities
- **Slavic Studies** — Bachelor, 60 ECTS, minor, id 239, Faculty of Humanities
- **Slavic Studies** — Master, 30 ECTS, minor, id 237, Faculty of Humanities
- **Social Anthropology** — Bachelor, 30 ECTS, minor, id 144, Faculty of Humanities
- **Social Anthropology** — Bachelor, 60 ECTS, minor, id 145, Faculty of Humanities
- **Social Problems, Social Policy and Risk Prevention** — Master, 30 ECTS, minor, id 171, Faculty of Humanities
- **Social Sciences** — Doctorate, 30 ECTS, minor, id 297, Faculty of Management, Economics and Social Sciences
- **Social Work and Social Policy (DE)** — Bachelor, 60 ECTS, minor, id 168, Faculty of Humanities
- **Social Work and Social Policy (FR)** — Bachelor, 30 ECTS, minor, id 173, Faculty of Humanities
- **Social Work and Social Policy (FR)** — Bachelor, 60 ECTS, minor, id 174, Faculty of Humanities
- **Sociology (DE)** — Bachelor, 60 ECTS, minor, id 179, Faculty of Humanities
- **Sociology (FR)** — Bachelor, 30 ECTS, minor, id 184, Faculty of Humanities
- **Sociology (FR)** — Bachelor, 60 ECTS, minor, id 185, Faculty of Humanities
- **Sociology of Social Problems** — Master, 30 ECTS, minor, id 139, Faculty of Humanities
- **Sociology, Social Policy, Social Work** — Master, 30 ECTS, minor, id 166, Faculty of Humanities
- **Spanish** — Bachelor, 30 ECTS, minor, id 233, Faculty of Humanities
- **Spanish** — Bachelor, 60 ECTS, minor, id 234, Faculty of Humanities
- **Spanish** — Master, 30 ECTS, minor, id 231, Faculty of Humanities
- **Special Education** — Bachelor, 60 ECTS, minor, id 124, Faculty of Education
- **Special Education** — Master, 30 ECTS, minor, id 122, Faculty of Education
- **Sport Sciences** — Master, 30 ECTS, minor, id 15, Faculty of Science and Medicine
- **Sport Sciences and Motor Control** — Bachelor, 30 ECTS, minor, id 17, Faculty of Science and Medicine
- **Sport Sciences and Motor Control** — Bachelor, 60 ECTS, minor, id 18, Faculty of Science and Medicine
- **Teacher Education for Baccalaureate Schools** — Master, 60 ECTS, minor, id 41, Faculty of Education
- **Teacher Education for Secondary Level I** — Bachelor, 30 ECTS, minor, id 44, Faculty of Education
- **Theological Studies** — Bachelor, 60 ECTS, minor, id 360, Faculty of Theology
- **Theological Studies** — Master, 30 ECTS, minor, id 358, Faculty of Theology
- **Theology** — Bachelor, 30 ECTS, minor, id 365, Faculty of Theology
- **Theology** — Bachelor, 60 ECTS, minor, id 366, Faculty of Theology
- **Theology** — Master, 30 ECTS, minor, id 363, Faculty of Theology
- **Theology (Canonical License)** — Master, 60 ECTS, minor, id 350, Faculty of Theology</t>
        </is>
      </c>
      <c r="AR43" s="11" t="n"/>
    </row>
    <row r="44">
      <c r="A44" s="11" t="n">
        <v>43</v>
      </c>
      <c r="B44" s="11" t="inlineStr">
        <is>
          <t>multilingual</t>
        </is>
      </c>
      <c r="C44" s="11" t="inlineStr">
        <is>
          <t>medium</t>
        </is>
      </c>
      <c r="D44" s="11" t="inlineStr">
        <is>
          <t>DE</t>
        </is>
      </c>
      <c r="E44" s="11" t="inlineStr">
        <is>
          <t>Welche Bachelorprogramme kann ich an der Universität Freiburg studieren?</t>
        </is>
      </c>
      <c r="F44" s="11" t="inlineStr">
        <is>
          <t>Same factual answer as the equivalent English/German/French query; response language should match or be appropriate.</t>
        </is>
      </c>
      <c r="G44" s="11" t="inlineStr">
        <is>
          <t>Mixed</t>
        </is>
      </c>
      <c r="H44" s="11" t="inlineStr">
        <is>
          <t>API first, RAG fallback</t>
        </is>
      </c>
      <c r="I44" s="11" t="inlineStr">
        <is>
          <t>DB or PDF source</t>
        </is>
      </c>
      <c r="J44" s="11" t="inlineStr">
        <is>
          <t>program names</t>
        </is>
      </c>
      <c r="K44" s="11" t="inlineStr">
        <is>
          <t>Tests multilingual query understanding and response language consistency.</t>
        </is>
      </c>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inlineStr">
        <is>
          <t>2026-05-25T01:18:59</t>
        </is>
      </c>
      <c r="AI44" s="11" t="n">
        <v>200</v>
      </c>
      <c r="AJ44" s="11" t="b">
        <v>1</v>
      </c>
      <c r="AK44" s="11" t="n">
        <v>44.47</v>
      </c>
      <c r="AL44" s="11" t="n">
        <v>15.93</v>
      </c>
      <c r="AM44" s="11" t="n"/>
      <c r="AN44" s="11" t="n">
        <v>15.25</v>
      </c>
      <c r="AO44" s="11" t="inlineStr">
        <is>
          <t>get_programs</t>
        </is>
      </c>
      <c r="AP44" s="11" t="n">
        <v>0</v>
      </c>
      <c r="AQ44"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AR44" s="11" t="n"/>
    </row>
    <row r="45">
      <c r="A45" s="11" t="n">
        <v>44</v>
      </c>
      <c r="B45" s="11" t="inlineStr">
        <is>
          <t>multilingual</t>
        </is>
      </c>
      <c r="C45" s="11" t="inlineStr">
        <is>
          <t>medium</t>
        </is>
      </c>
      <c r="D45" s="11" t="inlineStr">
        <is>
          <t>DE</t>
        </is>
      </c>
      <c r="E45" s="11" t="inlineStr">
        <is>
          <t>Wie viele ECTS hat UE-L14.02281?</t>
        </is>
      </c>
      <c r="F45" s="11" t="inlineStr">
        <is>
          <t>Same factual answer as the equivalent English/German/French query; response language should match or be appropriate.</t>
        </is>
      </c>
      <c r="G45" s="11" t="inlineStr">
        <is>
          <t>Mixed</t>
        </is>
      </c>
      <c r="H45" s="11" t="inlineStr">
        <is>
          <t>API first, RAG fallback</t>
        </is>
      </c>
      <c r="I45" s="11" t="inlineStr">
        <is>
          <t>DB or PDF source</t>
        </is>
      </c>
      <c r="J45" s="11" t="inlineStr">
        <is>
          <t>ECTS</t>
        </is>
      </c>
      <c r="K45" s="11" t="inlineStr">
        <is>
          <t>Tests multilingual query understanding and response language consistency.</t>
        </is>
      </c>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inlineStr">
        <is>
          <t>2026-05-25T01:18:59</t>
        </is>
      </c>
      <c r="AI45" s="11" t="n">
        <v>200</v>
      </c>
      <c r="AJ45" s="11" t="b">
        <v>1</v>
      </c>
      <c r="AK45" s="11" t="n">
        <v>29.94</v>
      </c>
      <c r="AL45" s="11" t="n">
        <v>16.29</v>
      </c>
      <c r="AM45" s="11" t="n"/>
      <c r="AN45" s="11" t="n">
        <v>15.54</v>
      </c>
      <c r="AO45" s="11" t="inlineStr">
        <is>
          <t>get_course_by_code</t>
        </is>
      </c>
      <c r="AP45" s="11" t="n">
        <v>0</v>
      </c>
      <c r="AQ45" s="11" t="inlineStr">
        <is>
          <t>**Séminaire (travail BA). Biographies et autobiographies de l'époque moderne**
- Code: UE-L14.02281
- ECTS: 12
- Faculty: Faculty of Humanities
- Domain: History
- Mobility: True
- Soft skills: False</t>
        </is>
      </c>
      <c r="AR45" s="11" t="n"/>
    </row>
    <row r="46">
      <c r="A46" s="11" t="n">
        <v>45</v>
      </c>
      <c r="B46" s="11" t="inlineStr">
        <is>
          <t>multilingual</t>
        </is>
      </c>
      <c r="C46" s="11" t="inlineStr">
        <is>
          <t>medium</t>
        </is>
      </c>
      <c r="D46" s="11" t="inlineStr">
        <is>
          <t>DE</t>
        </is>
      </c>
      <c r="E46" s="11" t="inlineStr">
        <is>
          <t>Wann findet UE-SME.07105 im FS-2026 statt?</t>
        </is>
      </c>
      <c r="F46" s="11" t="inlineStr">
        <is>
          <t>Same factual answer as the equivalent English/German/French query; response language should match or be appropriate.</t>
        </is>
      </c>
      <c r="G46" s="11" t="inlineStr">
        <is>
          <t>Mixed</t>
        </is>
      </c>
      <c r="H46" s="11" t="inlineStr">
        <is>
          <t>API first, RAG fallback</t>
        </is>
      </c>
      <c r="I46" s="11" t="inlineStr">
        <is>
          <t>DB or PDF source</t>
        </is>
      </c>
      <c r="J46" s="11" t="inlineStr">
        <is>
          <t>date/time</t>
        </is>
      </c>
      <c r="K46" s="11" t="inlineStr">
        <is>
          <t>Tests multilingual query understanding and response language consistency.</t>
        </is>
      </c>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inlineStr">
        <is>
          <t>2026-05-25T01:18:59</t>
        </is>
      </c>
      <c r="AI46" s="11" t="n">
        <v>200</v>
      </c>
      <c r="AJ46" s="11" t="b">
        <v>1</v>
      </c>
      <c r="AK46" s="11" t="n">
        <v>840243.97</v>
      </c>
      <c r="AL46" s="11" t="n">
        <v>840282.23</v>
      </c>
      <c r="AM46" s="11" t="n"/>
      <c r="AN46" s="11" t="n">
        <v>840281.5</v>
      </c>
      <c r="AO46" s="11" t="inlineStr">
        <is>
          <t>get_course_by_code, get_courses</t>
        </is>
      </c>
      <c r="AP46" s="11" t="n">
        <v>0</v>
      </c>
      <c r="AQ46" s="11" t="inlineStr">
        <is>
          <t>**Tissue Degeneration and Regeneration journal club**
- Code: UE-SME.07105
- ECTS: 4
- Faculty: Faculty of Science and Medicine
- Domain: Medical Sciences
- Mobility: True
- Soft skills: False
- Description: In the Tissue Degeneration and Regeneration journal club researchers and students report and debate recently published articles.
Found 50 result(s):
- Tutorat droit administratif (spécial et procédure) (UE-DDR.00181, 4 ECTS, Faculty of Law)
- Verträge der Wirtschaft (UE-DDR.00376, 5 ECTS, Faculty of Law)
- Régimes matrimoniaux et droit des successions (UE-DDR.00381, 5 ECTS, Faculty of Law)
- Scheidungsrecht: besondere Aspekte (UE-DDR.00386, 5 ECTS, Faculty of Law)
- Droit privé de la construction (UE-DDR.00402, 5 ECTS, Faculty of Law)
- Haftung und Versicherung (UE-DDR.00407, 5 ECTS, Faculty of Law)
- Banken- und Finanzmarktrecht (UE-DDR.00413, 5 ECTS, Faculty of Law)
- Immaterialgüterrecht (UE-DDR.00424, 5 ECTS, Faculty of Law)
- Privates Baurecht (UE-DDR.00443, 5 ECTS, Faculty of Law)
- Droit de la protection des données (privé et public) (UE-DDR.00445, 5 ECTS, Faculty of Law)
- Einleitungsartikel des ZGB (UE-DDR.00447, 5 ECTS, Faculty of Law)
- Sociétés cotées (UE-DDR.00502, 5 ECTS, Faculty of Law)
- Bilaterale Verträge Schweiz-EU (UE-DDR.00504, 5 ECTS, Faculty of Law)
- International Arbitration (UE-DDR.00525, 5 ECTS, Faculty of Law)
- Seminar im Europarecht (Gr. Sankt Bernhard) (UE-DDR.00527, 5 ECTS, Faculty of Law)
- Le procès civil dans la pratique (UE-DDR.00533, 5 ECTS, Faculty of Law)
- Sanierung und Konkurs (UE-DDR.00537, 5 ECTS, Faculty of Law)
- Droit européen II / Introduction au droit privé européen (Master) (UE-DDR.00554, 3 ECTS, Faculty of Law)
- Droit européen II / Introduction au droit privé européen (UE-DDR.00555, 4 ECTS, Faculty of Law)
- Europarecht II / Einführung in das europäische Privatrecht (Master) (UE-DDR.00559, 3 ECTS, Faculty of Law)
- Europarecht II / Einführung in das europäische Privatrecht (UE-DDR.00560, 4 ECTS, Faculty of Law)
- Libre circulation des personnes dans l'UE (UE-DDR.00581, 5 ECTS, Faculty of Law)
- International and European Responsibility Law (UE-DDR.00596, 5 ECTS, Faculty of Law)
- Polen und die Shoa / Pologne et Shoa (UE-DDR.00603, 5 ECTS, Faculty of Law)
- Strafrechtliche Sanktionen (UE-DDR.00640, 5 ECTS, Faculty of Law)
- Entraide internationale (UE-DDR.00644, 5 ECTS, Faculty of Law)
- Sanctions pénales (UE-DDR.00646, 5 ECTS, Faculty of Law)
- Droit pénal économique (UE-DDR.00647, 5 ECTS, Faculty of Law)
- LCR / LStup (UE-DDR.00654, 5 ECTS, Faculty of Law)
- Jugendstrafrecht (UE-DDR.00666, 5 ECTS, Faculty of Law)
- International Criminal Law (UE-DDR.00673, 5 ECTS, Faculty of Law)
- Recht - Philosophie - Argumentation / Droit - Philosophie - Argumentation (UE-DDR.00674, 5 ECTS, Faculty of Law)
- Procédure pénale: approfondissements (UE-DDR.00683, 5 ECTS, Faculty of Law)
- Islamic and Jewish Law (UE-DDR.00732, 5 ECTS, Faculty of Law)
- Droit du divorce (UE-DDR.00734, 5 ECTS, Faculty of Law)
- Arbeitsrecht (UE-DDR.00758, 5 ECTS, Faculty of Law)
- Comparative Constitutional Law (UE-DDR.00776, 5 ECTS, Faculty of Law)
- Réglementation bancaire et financière II (UE-DDR.00783, 5 ECTS, Faculty of Law)
- Droit bancaire et financier (UE-DDR.00793, 5 ECTS, Faculty of Law)
- Résolution de conflits à l'amiable (UE-DDR.00810, 5 ECTS, Faculty of Law)
- Sachenrecht: Stockwerkeigentum (UE-DDR.00869, 5 ECTS, Faculty of Law)
- Droit de la concurrence (UE-DDR.00878, 5 ECTS, Faculty of Law)
- International Criminal Justice (UE-DDR.00950, 5 ECTS, Faculty of Law)
- Öffentliches Prozessrecht (UE-DDR.00984, 5 ECTS, Faculty of Law)
- Droit public approfondi: la liberté économique (UE-DDR.01407, 5 ECTS, Faculty of Law)
- Droit de l'avocat-e (UE-DDR.01527, 5 ECTS, Faculty of Law)
- Droit - Philosophie – Argumentation / Recht - Philosophie - Argumentation (UE-DDR.01691, 5 ECTS, Faculty of Law)
- Séminaire en droit européen (Gd-St-Bernard) (UE-DDR.01778, 5 ECTS, Faculty of Law)
- Comparative Contract Law (UE-DDR.01779, 5 ECTS, Faculty of Law)
- Werkvertragsrecht - Dogmatik und Vertragsgestaltungen (UE-DDR.02057, 5 ECTS, Faculty of Law)</t>
        </is>
      </c>
      <c r="AR46" s="11" t="n"/>
    </row>
    <row r="47">
      <c r="A47" s="11" t="n">
        <v>46</v>
      </c>
      <c r="B47" s="11" t="inlineStr">
        <is>
          <t>multilingual</t>
        </is>
      </c>
      <c r="C47" s="11" t="inlineStr">
        <is>
          <t>medium</t>
        </is>
      </c>
      <c r="D47" s="11" t="inlineStr">
        <is>
          <t>DE</t>
        </is>
      </c>
      <c r="E47" s="11" t="inlineStr">
        <is>
          <t>Welche Kurse sind im Studienprogramm Philosophie obligatorisch?</t>
        </is>
      </c>
      <c r="F47" s="11" t="inlineStr">
        <is>
          <t>Same factual answer as the equivalent English/German/French query; response language should match or be appropriate.</t>
        </is>
      </c>
      <c r="G47" s="11" t="inlineStr">
        <is>
          <t>Mixed</t>
        </is>
      </c>
      <c r="H47" s="11" t="inlineStr">
        <is>
          <t>API first, RAG fallback</t>
        </is>
      </c>
      <c r="I47" s="11" t="inlineStr">
        <is>
          <t>DB or PDF source</t>
        </is>
      </c>
      <c r="J47" s="11" t="inlineStr">
        <is>
          <t>mandatory courses</t>
        </is>
      </c>
      <c r="K47" s="11" t="inlineStr">
        <is>
          <t>Tests multilingual query understanding and response language consistency.</t>
        </is>
      </c>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inlineStr">
        <is>
          <t>2026-05-25T01:18:59</t>
        </is>
      </c>
      <c r="AI47" s="11" t="n">
        <v>200</v>
      </c>
      <c r="AJ47" s="11" t="b">
        <v>1</v>
      </c>
      <c r="AK47" s="11" t="n">
        <v>18.61</v>
      </c>
      <c r="AL47" s="11" t="n">
        <v>10.28</v>
      </c>
      <c r="AM47" s="11" t="n"/>
      <c r="AN47" s="11" t="n">
        <v>9.49</v>
      </c>
      <c r="AO47" s="11" t="inlineStr">
        <is>
          <t>get_program_courses_by_metadata</t>
        </is>
      </c>
      <c r="AP47" s="11" t="n">
        <v>0</v>
      </c>
      <c r="AQ47" s="11" t="inlineStr">
        <is>
          <t>get_program_courses_by_metadata: no matching results found.</t>
        </is>
      </c>
      <c r="AR47" s="11" t="n"/>
    </row>
    <row r="48">
      <c r="A48" s="11" t="n">
        <v>47</v>
      </c>
      <c r="B48" s="11" t="inlineStr">
        <is>
          <t>multilingual</t>
        </is>
      </c>
      <c r="C48" s="11" t="inlineStr">
        <is>
          <t>medium</t>
        </is>
      </c>
      <c r="D48" s="11" t="inlineStr">
        <is>
          <t>DE</t>
        </is>
      </c>
      <c r="E48" s="11" t="inlineStr">
        <is>
          <t>Welche Informationen enthält der Studienplan zu Wahlfächern?</t>
        </is>
      </c>
      <c r="F48" s="11" t="inlineStr">
        <is>
          <t>Same factual answer as the equivalent English/German/French query; response language should match or be appropriate.</t>
        </is>
      </c>
      <c r="G48" s="11" t="inlineStr">
        <is>
          <t>Mixed</t>
        </is>
      </c>
      <c r="H48" s="11" t="inlineStr">
        <is>
          <t>API first, RAG fallback</t>
        </is>
      </c>
      <c r="I48" s="11" t="inlineStr">
        <is>
          <t>DB or PDF source</t>
        </is>
      </c>
      <c r="J48" s="11" t="inlineStr">
        <is>
          <t>elective rules</t>
        </is>
      </c>
      <c r="K48" s="11" t="inlineStr">
        <is>
          <t>Tests multilingual query understanding and response language consistency.</t>
        </is>
      </c>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inlineStr">
        <is>
          <t>2026-05-25T01:18:59</t>
        </is>
      </c>
      <c r="AI48" s="11" t="n">
        <v>200</v>
      </c>
      <c r="AJ48" s="11" t="b">
        <v>1</v>
      </c>
      <c r="AK48" s="11" t="n">
        <v>235103.06</v>
      </c>
      <c r="AL48" s="11" t="n">
        <v>235109.7</v>
      </c>
      <c r="AM48" s="11" t="n"/>
      <c r="AN48" s="11" t="n">
        <v>235109.07</v>
      </c>
      <c r="AO48" s="11" t="inlineStr">
        <is>
          <t>get_program_courses_by_metadata</t>
        </is>
      </c>
      <c r="AP48" s="11" t="n">
        <v>2</v>
      </c>
      <c r="AQ48" s="11" t="inlineStr">
        <is>
          <t>Found 41 result(s):
- **ECO08E: Applied Econometrics** — UE-EEP.00358, 4.5 ECTS, Elective, Business Informatics, program 180 ECTS
  - Section/description hint: Wahlkurse min. 14 ECTS
- **Droit II** — UE-EGE.00149, 4.5 ECTS, Elective, Business Informatics, program 180 ECTS
  - Section/description hint: Wahlkurse min. 14 ECTS
- **Recht II** — UE-EGE.00150, 4.5 ECTS, Elective, Business Informatics, program 180 ECTS
  - Section/description hint: Wahlkurse min. 14 ECTS
- **Architecture d'ordinateur / Computerarchitektur** — UE-SIN.01022, 5 ECTS, Elective, Business Informatics, program 180 ECTS
  - Section/description hint: Wahlkurse - Typus A
- **Systems-oriented programming** — UE-SIN.02020, 5 ECTS, Elective, Business Informatics, program 180 ECTS
  - Section/description hint: Wahlkurse - Typus A
- **Robotique / Robotik** — UE-SIN.02022, 5 ECTS, Elective, Business Informatics, program 180 ECTS
  - Section/description hint: Wahlkurse - Typus A
- **Operating systems** — UE-SIN.04022, 5 ECTS, Elective, Business Informatics, program 180 ECTS
  - Section/description hint: Wahlkurse - Typus A
- **Programmation fonctionnelle et logique** — UE-SIN.05020, 5 ECTS, Elective, Business Informatics, program 180 ECTS
  - Section/description hint: Wahlkurse - Typus A
- **Formal Methods** — UE-SIN.06021, 5 ECTS, Elective, Business Informatics, program 180 ECTS
  - Section/description hint: Wahlkurse - Typus A
- **Microéconomie II** — UE-EEP.00160, 6 ECTS, Elective, Business Informatics, program 180 ECTS
  - Section/description hint: Wahlkurse - Typus B
- **Mikroökonomie II** — UE-EEP.00161, 6 ECTS, Elective, Business Informatics, program 180 ECTS
  - Section/description hint: Wahlkurse - Typus B
- **MAN06E: Introductory Course in Entrepreneurship** — UE-EGE.00263, 4.5 ECTS, Elective, Business Informatics, program 180 ECTS
  - Section/description hint: Wahlkurse - Typus B
- **MAN03F: Recherche Marketing** — UE-EGE.00277, 6 ECTS, Elective, Business Informatics, program 180 ECTS
  - Section/description hint: Wahlkurse - Typus B
- **MAN03D: Marketingforschung** — UE-EGE.00278, 6 ECTS, Elective, Business Informatics, program 180 ECTS
  - Section/description hint: Wahlkurse - Typus B
- **MAN05F: Gestion des ressources humaines** — UE-EGE.00281, 4.5 ECTS, Elective, Business Informatics, program 180 ECTS
  - Section/description hint: Wahlkurse - Typus B
- **MAN05D: Human Resource Management** — UE-EGE.00282, 4.5 ECTS, Elective, Business Informatics, program 180 ECTS
  - Section/description hint: Wahlkurse - Typus B
- **MAN08F: Management stratégique** — UE-EGE.00283, 4.5 ECTS, Elective, Business Informatics, program 180 ECTS
  - Section/description hint: Wahlkurse - Typus B
- **MAN09F: Comptabilité de gestion** — UE-EGE.00285, 4.5 ECTS, Elective, Business Informatics, program 180 ECTS
  - Section/description hint: Wahlkurse - Typus B
- **MAN09D: Controlling (d)** — UE-EGE.00286, 4.5 ECTS, Elective, Business Informatics, program 180 ECTS
  - Section/description hint: Wahlkurse - Typus B
- **MAN10F: Finance d'Entreprise** — UE-EGE.00287, 4.5 ECTS, Elective, Business Informatics, program 180 ECTS
  - Section/description hint: Wahlkurse - Typus B
- **MAN10D: Unternehmensfinanzierung** — UE-EGE.00288, 4.5 ECTS, Elective, Business Informatics, program 180 ECTS
  - Section/description hint: Wahlkurse - Typus B
- **MAN08E: Strategic Management** — UE-EGE.00485, 4.5 ECTS, Elective, Business Informatics, program 180 ECTS
  - Section/description hint: Wahlkurse - Typus B
- **MAN06E: Introductory Course in Entrepreneurship** — UE-EGE.00263, 4.5 ECTS, Elective, Economics, program 180 ECTS
  - Section/description hint: Seminararbeit oder Wahlkurse min. 6 ECTS
- **MAN04F: Comptabilité financière** — UE-EGE.00279, 4.5 ECTS, Elective, Economics, program 180 ECTS
  - Section/description hint: Seminararbeit oder Wahlkurse min. 6 ECTS
- **MAN04D: Bilanzierung** — UE-EGE.00280, 4.5 ECTS, Elective, Economics, program 180 ECTS
  - Section/description hint: Seminararbeit oder Wahlkurse min. 6 ECTS
- **MAN05F: Gestion des ressources humaines** — UE-EGE.00281, 4.5 ECTS, Elective, Economics, program 180 ECTS
  - Section/description hint: Seminararbeit oder Wahlkurse min. 6 ECTS
- **MAN05D: Human Resource Management** — UE-EGE.00282, 4.5 ECTS, Elective, Economics, program 180 ECTS
  - Section/description hint: Seminararbeit oder Wahlkurse min. 6 ECTS
- **MAN08F: Management stratégique** — UE-EGE.00283, 4.5 ECTS, Elective, Economics, program 180 ECTS
  - Section/description hint: Seminararbeit oder Wahlkurse min. 6 ECTS
- **MAN09F: Comptabilité de gestion** — UE-EGE.00285, 4.5 ECTS, Elective, Economics, program 180 ECTS
  - Section/description hint: Seminararbeit oder Wahlkurse min. 6 ECTS
- **MAN09D: Controlling (d)** — UE-EGE.00286, 4.5 ECTS, Elective, Economics, program 180 ECTS
  - Section/description hint: Seminararbeit oder Wahlkurse min. 6 ECTS
- **MAN08E: Strategic Management** — UE-EGE.00485, 4.5 ECTS, Elective, Economics, program 180 ECTS
  - Section/description hint: Seminararbeit oder Wahlkurse min. 6 ECTS
- **Operations Management (d)** — UE-EIG.00015, 6 ECTS, Elective, Economics, program 180 ECTS
  - Section/description hint: Seminararbeit oder Wahlkurse min. 6 ECTS
- **Info I: Sécurité informatique (f)** — UE-EIG.00049, 4.5 ECTS, Elective, Economics, program 180 ECTS
  - Section/description hint: Seminararbeit oder Wahlkurse min. 6 ECTS
- **Info II: Decision Support I (f)** — UE-EIG.00081, 4.5 ECTS, Elective, Economics, program 180 ECTS
  - Section/description hint: Seminararbeit oder Wahlkurse min. 6 ECTS
- **Info V: Decision support II (f)** — UE-EIG.00089, 4.5 ECTS, Elective, Economics, program 180 ECTS
  - Section/description hint: Seminararbeit oder Wahlkurse min. 6 ECTS
- **Information Systems Modeling** — UE-EIG.00132, 6 ECTS, Elective, Economics, program 180 ECTS
  - Section/description hint: Seminararbeit oder Wahlkurse min. 6 ECTS
- **Requirements Engineering for Information Systems** — UE-EIG.00229, 4.5 ECTS, Elective, Economics, program 180 ECTS
  - Section/description hint: Seminararbeit oder Wahlkurse min. 6 ECTS
- **Information Systems Development Project** — UE-EIG.00230, 4.5 ECTS, Elective, Economics, program 180 ECTS
  - Section/description hint: Seminararbeit oder Wahlkurse min. 6 ECTS
- **Introduction à la programmation / Einführung in die Programmierung** — UE-SIN.01023, 6 ECTS, Elective, Economics, program 180 ECTS
  - Section/description hint: Seminararbeit oder Wahlkurse min. 6 ECTS
- **Databases** — UE-SIN.03024, 6 ECTS, Elective, Economics, program 180 ECTS
  - Section/description hint: Seminararbeit oder Wahlkurse min. 6 ECTS
- **Machine learning** — UE-SIN.06022, 5 ECTS, Elective, Economics, program 180 ECTS
  - Section/description hint: Seminararbeit oder Wahlkurse min. 6 ECTS</t>
        </is>
      </c>
      <c r="AR48" s="11" t="n"/>
    </row>
    <row r="49">
      <c r="A49" s="11" t="n">
        <v>48</v>
      </c>
      <c r="B49" s="11" t="inlineStr">
        <is>
          <t>multilingual</t>
        </is>
      </c>
      <c r="C49" s="11" t="inlineStr">
        <is>
          <t>medium</t>
        </is>
      </c>
      <c r="D49" s="11" t="inlineStr">
        <is>
          <t>FR</t>
        </is>
      </c>
      <c r="E49" s="11" t="inlineStr">
        <is>
          <t>Quels programmes de bachelor puis-je étudier à l'Université de Fribourg ?</t>
        </is>
      </c>
      <c r="F49" s="11" t="inlineStr">
        <is>
          <t>Same factual answer as the equivalent English/German/French query; response language should match or be appropriate.</t>
        </is>
      </c>
      <c r="G49" s="11" t="inlineStr">
        <is>
          <t>Mixed</t>
        </is>
      </c>
      <c r="H49" s="11" t="inlineStr">
        <is>
          <t>API first, RAG fallback</t>
        </is>
      </c>
      <c r="I49" s="11" t="inlineStr">
        <is>
          <t>DB or PDF source</t>
        </is>
      </c>
      <c r="J49" s="11" t="inlineStr">
        <is>
          <t>program names</t>
        </is>
      </c>
      <c r="K49" s="11" t="inlineStr">
        <is>
          <t>Tests multilingual query understanding and response language consistency.</t>
        </is>
      </c>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inlineStr">
        <is>
          <t>2026-05-25T01:18:59</t>
        </is>
      </c>
      <c r="AI49" s="11" t="n">
        <v>200</v>
      </c>
      <c r="AJ49" s="11" t="b">
        <v>1</v>
      </c>
      <c r="AK49" s="11" t="n">
        <v>39.16</v>
      </c>
      <c r="AL49" s="11" t="n">
        <v>21.85</v>
      </c>
      <c r="AM49" s="11" t="n"/>
      <c r="AN49" s="11" t="n">
        <v>20.68</v>
      </c>
      <c r="AO49" s="11" t="inlineStr">
        <is>
          <t>get_programs</t>
        </is>
      </c>
      <c r="AP49" s="11" t="n">
        <v>0</v>
      </c>
      <c r="AQ49"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AR49" s="11" t="n"/>
    </row>
    <row r="50">
      <c r="A50" s="11" t="n">
        <v>49</v>
      </c>
      <c r="B50" s="11" t="inlineStr">
        <is>
          <t>multilingual</t>
        </is>
      </c>
      <c r="C50" s="11" t="inlineStr">
        <is>
          <t>medium</t>
        </is>
      </c>
      <c r="D50" s="11" t="inlineStr">
        <is>
          <t>FR</t>
        </is>
      </c>
      <c r="E50" s="11" t="inlineStr">
        <is>
          <t>Combien de crédits ECTS vaut UE-DDR.00451?</t>
        </is>
      </c>
      <c r="F50" s="11" t="inlineStr">
        <is>
          <t>Same factual answer as the equivalent English/German/French query; response language should match or be appropriate.</t>
        </is>
      </c>
      <c r="G50" s="11" t="inlineStr">
        <is>
          <t>Mixed</t>
        </is>
      </c>
      <c r="H50" s="11" t="inlineStr">
        <is>
          <t>API first, RAG fallback</t>
        </is>
      </c>
      <c r="I50" s="11" t="inlineStr">
        <is>
          <t>DB or PDF source</t>
        </is>
      </c>
      <c r="J50" s="11" t="inlineStr">
        <is>
          <t>ECTS</t>
        </is>
      </c>
      <c r="K50" s="11" t="inlineStr">
        <is>
          <t>Tests multilingual query understanding and response language consistency.</t>
        </is>
      </c>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inlineStr">
        <is>
          <t>2026-05-25T01:18:59</t>
        </is>
      </c>
      <c r="AI50" s="11" t="n">
        <v>200</v>
      </c>
      <c r="AJ50" s="11" t="b">
        <v>1</v>
      </c>
      <c r="AK50" s="11" t="n">
        <v>7940107.29</v>
      </c>
      <c r="AL50" s="11" t="n">
        <v>687135</v>
      </c>
      <c r="AM50" s="11" t="n"/>
      <c r="AN50" s="11" t="n">
        <v>687133.97</v>
      </c>
      <c r="AO50" s="11" t="inlineStr">
        <is>
          <t>get_course_by_code</t>
        </is>
      </c>
      <c r="AP50" s="11" t="n">
        <v>8</v>
      </c>
      <c r="AQ50" s="11" t="inlineStr">
        <is>
          <t>I cannot find the requested information in the provided documents. The code UE-DDR.00451 is not present in any of the tables or metadata.</t>
        </is>
      </c>
      <c r="AR50" s="11" t="n"/>
    </row>
    <row r="51">
      <c r="A51" s="11" t="n">
        <v>50</v>
      </c>
      <c r="B51" s="11" t="inlineStr">
        <is>
          <t>multilingual</t>
        </is>
      </c>
      <c r="C51" s="11" t="inlineStr">
        <is>
          <t>medium</t>
        </is>
      </c>
      <c r="D51" s="11" t="inlineStr">
        <is>
          <t>FR</t>
        </is>
      </c>
      <c r="E51" s="11" t="inlineStr">
        <is>
          <t>Quand a lieu le cours UE-DDR.00368 pendant HS-2026 ?</t>
        </is>
      </c>
      <c r="F51" s="11" t="inlineStr">
        <is>
          <t>Same factual answer as the equivalent English/German/French query; response language should match or be appropriate.</t>
        </is>
      </c>
      <c r="G51" s="11" t="inlineStr">
        <is>
          <t>Mixed</t>
        </is>
      </c>
      <c r="H51" s="11" t="inlineStr">
        <is>
          <t>API first, RAG fallback</t>
        </is>
      </c>
      <c r="I51" s="11" t="inlineStr">
        <is>
          <t>DB or PDF source</t>
        </is>
      </c>
      <c r="J51" s="11" t="inlineStr">
        <is>
          <t>date/time</t>
        </is>
      </c>
      <c r="K51" s="11" t="inlineStr">
        <is>
          <t>Tests multilingual query understanding and response language consistency.</t>
        </is>
      </c>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inlineStr">
        <is>
          <t>2026-05-25T01:18:59</t>
        </is>
      </c>
      <c r="AI51" s="11" t="n">
        <v>200</v>
      </c>
      <c r="AJ51" s="11" t="b">
        <v>1</v>
      </c>
      <c r="AK51" s="11" t="n">
        <v>925674.15</v>
      </c>
      <c r="AL51" s="11" t="n">
        <v>925721.52</v>
      </c>
      <c r="AM51" s="11" t="n"/>
      <c r="AN51" s="11" t="n">
        <v>925720.66</v>
      </c>
      <c r="AO51" s="11" t="inlineStr">
        <is>
          <t>get_course_by_code, get_courses</t>
        </is>
      </c>
      <c r="AP51" s="11" t="n">
        <v>0</v>
      </c>
      <c r="AQ51" s="11" t="inlineStr">
        <is>
          <t>**Zivilrecht III**
- Code: UE-DDR.00368
- ECTS: 9
- Faculty: Faculty of Law
- Domain: Law
- Description: Diese Vorlesung wird im akademischen Jahr 2025/26 gestreamt. Die dazugehörigen Übungen werden NICHT gestreamt. Im Herbstsemester wird das Familienvermögensrecht behandelt. Dazu gehören die allgemeinen vermögensrechtlichen Wirkungen der Ehe, der Vorsorgeausgleich, der eheliche, nacheheliche und der Kindesunterhalt sowie das Güterrecht. Thema des Frühlingssemesters ist das Erbrecht und dort insbesondere das Intestaterbrecht und die Ausgleichung, die Verfügungsinhalte und -formen, der Pflichtteilsschutz, die Grundzüge des Erbgangs sowie die erbrechtlichen Klagen.
Found 50 result(s):
- Compétences documentaires en économie 1 (UE-EDK.00951, 0 ECTS, Faculty of Management, Economics and Social Sciences)
- The Theory of Monetary Policy (UE-EEP.00046, 4.5 ECTS, Faculty of Management, Economics and Social Sciences)
- Politiques des marchés et de la concurrence (UE-EEP.00098, 4.5 ECTS, Faculty of Management, Economics and Social Sciences)
- Business and Human Rights (UE-EEP.00127, 3 ECTS, Faculty of Management, Economics and Social Sciences)
- Demography, Immigration and Labor Markets (UE-EEP.00131, 4.5 ECTS, Faculty of Management, Economics and Social Sciences)
- The Economics of Politics (UE-EEP.00135, 4.5 ECTS, Faculty of Management, Economics and Social Sciences)
- Macroéconomie I (UE-EEP.00220, 6 ECTS, Faculty of Management, Economics and Social Sciences)
- Makroökonomie I (UE-EEP.00221, 6 ECTS, Faculty of Management, Economics and Social Sciences)
- ECO03F: Commerce international (UE-EEP.00338, 4.5 ECTS, Faculty of Management, Economics and Social Sciences)
- ECO05F: Économie publique – Approfondissements (UE-EEP.00340, 4.5 ECTS, Faculty of Management, Economics and Social Sciences)
- ECO06D: Wirtschaftspolitik: Schwerpunktthemen (UE-EEP.00341, 4.5 ECTS, Faculty of Management, Economics and Social Sciences)
- Behavioral Economics (UE-EEP.00354, 4.5 ECTS, Faculty of Management, Economics and Social Sciences)
- ECO01F: Histoire des faits économiques (UE-EEP.00355, 6 ECTS, Faculty of Management, Economics and Social Sciences)
- ECO01D: Wirtschaftsgeschichte (UE-EEP.00356, 6 ECTS, Faculty of Management, Economics and Social Sciences)
- ECO08E: Applied Econometrics (UE-EEP.00358, 4.5 ECTS, Faculty of Management, Economics and Social Sciences)
- Advanced Microeconomics (UE-EEP.00495, 6 ECTS, Faculty of Management, Economics and Social Sciences)
- Econometric Methods and Applications (UE-EEP.00496, 6 ECTS, Faculty of Management, Economics and Social Sciences)
- Advanced Topics in Data Analytics and Machine Learning (UE-EEP.00517, 1.5 ECTS, Faculty of Management, Economics and Social Sciences)
- ECO12D: Wirtschaftspolitik: Theorie und Anwendungen (UE-EEP.00526, 4.5 ECTS, Faculty of Management, Economics and Social Sciences)
- ECO13F : Introduction à l’économie des migrations (UE-EEP.00531, 4.5 ECTS, Faculty of Management, Economics and Social Sciences)
- Economic Growth: For and Against (UE-EEP.00557, 4.5 ECTS, Faculty of Management, Economics and Social Sciences)
- Stata Lab : Domptez vos données (UE-EEP.00560, 4.5 ECTS, Faculty of Management, Economics and Social Sciences)
- Stata Lab : Master your data (UE-EEP.00561, 4.5 ECTS, Faculty of Management, Economics and Social Sciences)
- Market Design and Platforms (UE-EEP.00564, 4.5 ECTS, Faculty of Management, Economics and Social Sciences)
- Théories et pratiques de l'organisation (UE-EGE.00006, 4.5 ECTS, Faculty of Management, Economics and Social Sciences)
- International Finance (UE-EGE.00013, 4.5 ECTS, Faculty of Management, Economics and Social Sciences)
- Strategic Value Creation (UE-EGE.00030, 3 ECTS, Faculty of Management, Economics and Social Sciences)
- Fundamentals of International Management (UE-EGE.00048, 4.5 ECTS, Faculty of Management, Economics and Social Sciences)
- Advanced Group Accounting (UE-EGE.00068, 4.5 ECTS, Faculty of Management, Economics and Social Sciences)
- Markt und Strategie von Nonprofit-Organisationen (UE-EGE.00073, 4.5 ECTS, Faculty of Management, Economics and Social Sciences)
- Case studies in international strategy (UE-EGE.00101, 4.5 ECTS, Faculty of Management, Economics and Social Sciences)
- International Accounting Standards (UE-EGE.00119, 4.5 ECTS, Faculty of Management, Economics and Social Sciences)
- Introduction à la gestion d'entreprise (UE-EGE.00135, 6 ECTS, Faculty of Management, Economics and Social Sciences)
- Einführung in die Betriebswirtschaftslehre (UE-EGE.00136, 6 ECTS, Faculty of Management, Economics and Social Sciences)
- Introduction à la comptabilité (UE-EGE.00137, 6 ECTS, Faculty of Management, Economics and Social Sciences)
- Unternehmensrechnung (UE-EGE.00138, 6 ECTS, Faculty of Management, Economics and Social Sciences)
- Droit I (UE-EGE.00139, 4.5 ECTS, Faculty of Management, Economics and Social Sciences)
- Recht I (UE-EGE.00140, 4.5 ECTS, Faculty of Management, Economics and Social Sciences)
- Risk Management and Financial Derivatives (UE-EGE.00160, 4.5 ECTS, Faculty of Management, Economics and Social Sciences)
- Advanced Managerial Accounting (UE-EGE.00162, 4.5 ECTS, Faculty of Management, Economics and Social Sciences)
- Philosophical Foundations of Economic Thought (UE-EGE.00245, 4.5 ECTS, Faculty of Management, Economics and Social Sciences)
- MAN06E: Introductory Course in Entrepreneurship (UE-EGE.00263, 4.5 ECTS, Faculty of Management, Economics and Social Sciences)
- International Taxation (UE-EGE.00268, 4.5 ECTS, Faculty of Management, Economics and Social Sciences)
- Management of Innovation (UE-EGE.00271, 4.5 ECTS, Faculty of Management, Economics and Social Sciences)
- MAN01F: Investissement et financement (UE-EGE.00273, 6 ECTS, Faculty of Management, Economics and Social Sciences)
- MAN01D: Investitions- und Finanzierungstheorie (UE-EGE.00274, 6 ECTS, Faculty of Management, Economics and Social Sciences)
- MAN02F: Marketing (UE-EGE.00275, 4.5 ECTS, Faculty of Management, Economics and Social Sciences)
- MAN02D: Marketing (UE-EGE.00276, 4.5 ECTS, Faculty of Management, Economics and Social Sciences)
- MAN05F: Gestion des ressources humaines (UE-EGE.00281, 4.5 ECTS, Faculty of Management, Economics and Social Sciences)
- MAN05D: Human Resource Management (UE-EGE.00282, 4.5 ECTS, Faculty of Management, Economics and Social Sciences)</t>
        </is>
      </c>
      <c r="AR51" s="11" t="n"/>
    </row>
    <row r="52">
      <c r="A52" s="11" t="n">
        <v>51</v>
      </c>
      <c r="B52" s="11" t="inlineStr">
        <is>
          <t>multilingual</t>
        </is>
      </c>
      <c r="C52" s="11" t="inlineStr">
        <is>
          <t>medium</t>
        </is>
      </c>
      <c r="D52" s="11" t="inlineStr">
        <is>
          <t>FR</t>
        </is>
      </c>
      <c r="E52" s="11" t="inlineStr">
        <is>
          <t>Quels cours sont obligatoires dans le programme Marketing ?</t>
        </is>
      </c>
      <c r="F52" s="11" t="inlineStr">
        <is>
          <t>Same factual answer as the equivalent English/German/French query; response language should match or be appropriate.</t>
        </is>
      </c>
      <c r="G52" s="11" t="inlineStr">
        <is>
          <t>Mixed</t>
        </is>
      </c>
      <c r="H52" s="11" t="inlineStr">
        <is>
          <t>API first, RAG fallback</t>
        </is>
      </c>
      <c r="I52" s="11" t="inlineStr">
        <is>
          <t>DB or PDF source</t>
        </is>
      </c>
      <c r="J52" s="11" t="inlineStr">
        <is>
          <t>mandatory courses</t>
        </is>
      </c>
      <c r="K52" s="11" t="inlineStr">
        <is>
          <t>Tests multilingual query understanding and response language consistency.</t>
        </is>
      </c>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inlineStr">
        <is>
          <t>2026-05-25T01:18:59</t>
        </is>
      </c>
      <c r="AI52" s="11" t="n">
        <v>200</v>
      </c>
      <c r="AJ52" s="11" t="b">
        <v>1</v>
      </c>
      <c r="AK52" s="11" t="n">
        <v>298.55</v>
      </c>
      <c r="AL52" s="11" t="n">
        <v>283.7</v>
      </c>
      <c r="AM52" s="11" t="n"/>
      <c r="AN52" s="11" t="n">
        <v>282.61</v>
      </c>
      <c r="AO52" s="11" t="inlineStr">
        <is>
          <t>get_program_courses_by_metadata</t>
        </is>
      </c>
      <c r="AP52" s="11" t="n">
        <v>0</v>
      </c>
      <c r="AQ52" s="11" t="inlineStr">
        <is>
          <t>Found 500 result(s):
- **Corporate governance** — UE-EGE.00016, 4.5 ECTS, Mandatory, Accounting and Finance, program 120 ECTS
  - Section/description hint: Kernkurse
- **Advanced Group Accounting** — UE-EGE.00068, 4.5 ECTS, Mandatory, Accounting and Finance, program 120 ECTS
  - Section/description hint: Pflichtkurse
- **Management control systems** — UE-EGE.00113, 4.5 ECTS, Mandatory, Accounting and Finance, program 120 ECTS
  - Section/description hint: Pflichtkurse
- **International Accounting Standards** — UE-EGE.00119, 4.5 ECTS, Mandatory, Accounting and Finance, program 120 ECTS
  - Section/description hint: Pflichtkurse
- **Biomolécules et métabolisme / Biomoleküle und Stoffwechsel** — UE-SBC.02104, 6 ECTS, Mandatory, Biochemistry, program 120 ECTS
  - Section/description hint: 4 Modalités d'évaluation
- **Biochimie (travaux pratiques) / Biochemie (Praktikum)** — UE-SBC.03303, 2.5 ECTS, Mandatory, Biochemistry, program 120 ECTS
  - Section/description hint: 4 Modalités d'évaluation
- **Eukaryotic cell growth control** — UE-SBC.04202, 1.5 ECTS, Mandatory, Biochemistry, program 120 ECTS
  - Section/description hint: 4 Modalités d'évaluation
- **Genotyping (practical course)** — UE-SBC.04203, 2.5 ECTS, Mandatory, Biochemistry, program 120 ECTS
  - Section/description hint: 4 Modalités d'évaluation
- **Médecine moléculaire / Molekularmedizin** — UE-SBC.04503, 2 ECTS, Mandatory, Biochemistry, program 120 ECTS
  - Section/description hint: 4 Modalités d'évaluation
- **Introduction to protein structure and protein homology modelling** — UE-SBC.07104, 1.5 ECTS, Mandatory, Biochemistry, program 120 ECTS
  - Section/description hint: 4 Modalités d'évaluation
- **Introduction to docking of small molecules to large macromolecules and molecular graphics** — UE-SBC.07105, 1.5 ECTS, Mandatory, Biochemistry, program 120 ECTS
  - Section/description hint: 4 Modalités d'évaluation
- **Master thesis** — UE-SBC.07500, 30 ECTS, Mandatory, Biochemistry, program 120 ECTS
  - Section/description hint: 4 Modalités d'évaluation
- **Compléments de biologie moléculaire / Ergänzende Molekularbiologie** — UE-SBC.00113, 3 ECTS, Mandatory, Biochemistry, program 120 ECTS
  - Section/description hint: Biochimie obligatoire
- **Biochimie générale / Allgemeine Biochemie** — UE-SBC.00114, 3.5 ECTS, Mandatory, Biochemistry, program 120 ECTS
  - Section/description hint: Biochimie obligatoire
- **Fondements de biochimie / Grundlagen der Biochemie** — UE-SBC.00119, 6 ECTS, Mandatory, Biochemistry, program 120 ECTS
  - Section/description hint: Biochimie obligatoire
- **Problem solving en chimie générale / Problem Solving in der allgemeinen Chemie** — UE-SCH.01033, 2 ECTS, Mandatory, Biochemistry, program 120 ECTS
  - Section/description hint: Branches propédeutiques générales
- **Biologie générale I (cours) / Allgemeine Biologie I (Vorlesung)** — UE-SBL.00001, 5 ECTS, Mandatory, Biochemistry, program 120 ECTS
  - Section/description hint: Branches propédeutiques obligatoires
- **Biologie générale I (travaux pratiques) / Allgemeine Biologie I (Praktikum)** — UE-SBL.00003, 1 ECTS, Mandatory, Biochemistry, program 120 ECTS
  - Section/description hint: Branches propédeutiques obligatoires
- **Chimie générale (avec exercices) / Allgemeine Chemie (mit Übungen)** — UE-SCH.01014, 6 ECTS, Mandatory, Biochemistry, program 120 ECTS
  - Section/description hint: Branches propédeutiques obligatoires
- **Chimie générale (travaux pratiques)** — UE-SCH.01024, 3 ECTS, Mandatory, Biochemistry, program 120 ECTS
  - Section/description hint: Branches propédeutiques obligatoires
- **Chimie analytique** — UE-SCH.01054, 3 ECTS, Mandatory, Biochemistry, program 120 ECTS
  - Section/description hint: Branches propédeutiques obligatoires
- **Chimie des éléments / Chemie der Elemente** — UE-SCH.01067, 3 ECTS, Mandatory, Biochemistry, program 120 ECTS
  - Section/description hint: Branches propédeutiques obligatoires
- **Grundlagen der organischen Chemie / Basic organic chemistry** — UE-SCH.01072, 3 ECTS, Mandatory, Biochemistry, program 120 ECTS
  - Section/description hint: Branches propédeutiques obligatoires
- **Thermodynamique classique (avec exercices)** — UE-SCH.02312, 3 ECTS, Mandatory, Biochemistry, program 120 ECTS
  - Section/description hint: Choix obligatoire de 6 ECTS de chimie parmi les Unités d'enseignement suivantes :
- **Caractéristique photophysiques de la matière (cours avec exercices)** — UE-SCH.03219, 3 ECTS, Mandatory, Biochemistry, program 120 ECTS
  - Section/description hint: Choix obligatoire de 6 ECTS de chimie parmi les Unités d'enseignement suivantes :
- **Cancer immunology** — UE-SBL.10014, 1 ECTS, Mandatory, Biochemistry, program 120 ECTS
  - Section/description hint: UEs au niveau BSc et MSc :
- **Cinétique (pour Biochimistes) / Kinetik (für Biochemiker )** — UE-SCH.02339, 3 ECTS, Mandatory, Biochemistry, program 120 ECTS
  - Section/description hint: UEs obligatoires
- **Metagenomics data analysis** — UE-SBL.00425, 1 ECTS, Mandatory, Bioinformatics and Computational Biology, program 120 ECTS
  - Section/description hint: Module 'Genomics'
- **Classical models in biology (lecture)** — UE-SBL.06002, 3 ECTS, Mandatory, Bioinformatics and Computational Biology, program 120 ECTS
  - Section/description hint: Module 'Genomics'
- **Classical models in biology (exercises)** — UE-SBL.06003, 1 ECTS, Mandatory, Bioinformatics and Computational Biology, program 120 ECTS
  - Section/description hint: Module 'Genomics'
- **Evolutionary genomics** — UE-SBL.20034, 3 ECTS, Mandatory, Bioinformatics and Computational Biology, program 120 ECTS
  - Section/description hint: Module 'Genomics'
- **Organization and annotation of eukaryote genomes** — UE-SBL.30004, 3 ECTS, Mandatory, Bioinformatics and Computational Biology, program 120 ECTS
  - Section/description hint: Module 'Genomics'
- **Machine learning** — UE-SBL.30002, 5 ECTS, Mandatory, Bioinformatics and Computational Biology, program 120 ECTS
  - Section/description hint: Module 'Statistics'
- **Modèles stochastiques en bioinformatique / Stochastic models in bioinformatics** — UE-SMA.07010, 3 ECTS, Mandatory, Bioinformatics and Computational Biology, program 120 ECTS
  - Section/description hint: Module 'Statistics'
- **Experimental genetics** — UE-SBL.00114, 1 ECTS, Mandatory, Biology, program 30 ECTS
  - Section/description hint: 2.6.1 Description et objectif
- **The RNA world** — UE-SBL.00115, 1.5 ECTS, Mandatory, Biology, program 30 ECTS
  - Section/description hint: 2.6.1 Description et objectif
- **Neurogenetics** — UE-SBL.00117, 3 ECTS, Mandatory, Biology, program 30 ECTS
  - Section/description hint: 2.6.1 Description et objectif
- **Molecular genetics of model organism development** — UE-SBL.00119, 3 ECTS, Mandatory, Biology, program 30 ECTS
  - Section/description hint: 2.6.1 Description et objectif
- **Nuclear organization and chromatin dynamics** — UE-SBL.00130, 1 ECTS, Mandatory, Biology, program 30 ECTS
  - Section/description hint: 2.6.1 Description et objectif
- **Symbiosis: how plants and microbes communicate** — UE-SBL.00307, 1.5 ECTS, Mandatory, Biology, program 30 ECTS
  - Section/description hint: 2.6.1 Description et objectif
- **Plant development: the life of a sessile organism** — UE-SBL.00308, 1.5 ECTS, Mandatory, Biology, program 30 ECTS
  - Section/description hint: 2.6.1 Description et objectif
- **Plant biotechnology** — UE-SBL.00323, 3 ECTS, Mandatory, Biology, program 30 ECTS
  - Section/description hint: 2.6.1 Description et objectif
- **Cell fate and tissue regeneration** — UE-SBL.00414, 1 ECTS, Mandatory, Biology, program 30 ECTS
  - Section/description hint: 2.6.1 Description et objectif
- **Cell proliferation** — UE-SBL.00415, 1 ECTS, Mandatory, Biology, program 30 ECTS
  - Section/description hint: 2.6.1 Description et objectif
- **Biological rhythms** — UE-SBL.00416, 1 ECTS, Mandatory, Biology, program 30 ECTS
  - Section/description hint: 2.6.1 Description et objectif
- **Microbial metabolism and genetics** — UE-SBL.00418, 1 ECTS, Mandatory, Biology, program 30 ECTS
  - Section/description hint: 2.6.1 Description et objectif
- **Oceanography and Marine Ecosystems** — UE-SBL.00421, 1 ECTS, Mandatory, Biology, program 30 ECTS
  - Section/description hint: 2.6.1 Description et objectif
- **Introduction to microscopy** — UE-SBL.00503, 1 ECTS, Mandatory, Biology, program 30 ECTS
  - Section/description hint: 2.6.1 Description et objectif
- **Polar biology** — UE-SBL.10007, 1 ECTS, Mandatory, Biology, program 30 ECTS
  - Section/description hint: 2.6.1 Description et objectif
- **Cancer immunology** — UE-SBL.10014, 1 ECTS, Mandatory, Biology, program 30 ECTS
  - Section/description hint: 2.6.1 Description et objectif
- **Community ecology** — UE-SBL.20031, 3 ECTS, Mandatory, Biology, program 30 ECTS
  - Section/description hint: 2.6.1 Description et objectif
- **Population and evolutionary dynamics** — UE-SBL.20032, 3 ECTS, Mandatory, Biology, program 30 ECTS
  - Section/description hint: 2.6.1 Description et objectif
- **Structure and functions of host-associated microbiota** — UE-SBL.20035, 3 ECTS, Mandatory, Biology, program 30 ECTS
  - Section/description hint: 2.6.1 Description et objectif
- **Invasion biology** — UE-SBL.20037, 3 ECTS, Mandatory, Biology, program 30 ECTS
  - Section/description hint: 2.6.1 Description et objectif
- **Hormones et développement des plantes / Hormone und Entwicklung der Pflanzen** — UE-SBL.00045, 3 ECTS, Mandatory, Biology, program 30 ECTS
  - Section/description hint: 2.6.4 Prérequis pour la fréquentation des unités d ' enseignement de la BCo+30
- **Concepts généraux pour les enseignant.e.s en biologie / Allgemeine Konzepte für Biologielehrer_Innen / General concepts for biology teachers** — UE-SBL.00502, 1 ECTS, Mandatory, Biology, program 30 ECTS
  - Section/description hint: UE obligatoire
- **Chimie générale (avec exercices) / Allgemeine Chemie (mit Übungen)** — UE-SCH.01014, 6 ECTS, Mandatory, Biology, program 120 ECTS
  - Section/description hint: 1 ou 2 année : Mathématiques et chimie (obligatoire)
- **Grundlagen der organischen Chemie / Basic organic chemistry** — UE-SCH.01072, 3 ECTS, Mandatory, Biology, program 120 ECTS
  - Section/description hint: 1 ou 2 année : Mathématiques et chimie (obligatoire)
- **Statistique propédeutique (cours avec exercices)** — UE-SMA.00402, 3 ECTS, Mandatory, Biology, program 120 ECTS
  - Section/description hint: 1 ou 2 année : Mathématiques et chimie (obligatoire)
- **Biologie générale I (cours) / Allgemeine Biologie I (Vorlesung)** — UE-SBL.00001, 5 ECTS, Mandatory, Biology, program 120 ECTS
  - Section/description hint: 4 Modalités d'évaluation
- **Biologie générale II (cours) / Allgemeine Biologie II (Vorlesung)** — UE-SBL.00002, 5 ECTS, Mandatory, Biology, program 120 ECTS
  - Section/description hint: 4 Modalités d'évaluation
- **Biologie générale I (travaux pratiques) / Allgemeine Biologie I (Praktikum)** — UE-SBL.00003, 1 ECTS, Mandatory, Biology, program 120 ECTS
  - Section/description hint: 4 Modalités d'évaluation
- **Biologie générale II (travaux pratiques) / Allgemeine Biologie II (Praktikum)** — UE-SBL.00004, 1 ECTS, Mandatory, Biology, program 120 ECTS
  - Section/description hint: 4 Modalités d'évaluation
- **Ecologie / Ökologie** — UE-SBL.00013, 4 ECTS, Mandatory, Biology, program 120 ECTS
  - Section/description hint: 4 Modalités d'évaluation
- **Biologie moléculaire / Molekularbiologie** — UE-SBL.00014, 3 ECTS, Mandatory, Biology, program 120 ECTS
  - Section/description hint: 4 Modalités d'évaluation
- **Physiologie animale / Tierphysiologie** — UE-SBL.00015, 3 ECTS, Mandatory, Biology, program 120 ECTS
  - Section/description hint: 4 Modalités d'évaluation
- **Molekularbiologie der Pflanzen** — UE-SBL.00018, 3 ECTS, Mandatory, Biology, program 120 ECTS
  - Section/description hint: 4 Modalités d'évaluation
- **Méthodes de biologie moléculaire / Methoden der Molekularbiologie** — UE-SBL.00019, 3 ECTS, Mandatory, Biology, program 120 ECTS
  - Section/description hint: 4 Modalités d'évaluation
- **Neurobiologie** — UE-SBL.00020, 2 ECTS, Mandatory, Biology, program 120 ECTS
  - Section/description hint: 4 Modalités d'évaluation
- **Evolutionary Biology** — UE-SBL.00021, 3 ECTS, Mandatory, Biology, program 120 ECTS
  - Section/description hint: 4 Modalités d'évaluation
- **Travail de Bachelor (projet de recherche) / Bachelorarbeit (Forschungsprojekt) / Bachelor work (research project)** — UE-SBL.00031, 13 ECTS, Mandatory, Biology, program 120 ECTS
  - Section/description hint: 4 Modalités d'évaluation
- **Ecologie expérimentale / Experimentelle Ökologie** — UE-SBL.00037, 3 ECTS, Mandatory, Biology, program 120 ECTS
  - Section/description hint: 4 Modalités d'évaluation
- **Biologie des organismes I: Vertébrés** — UE-SBL.00040, 3 ECTS, Mandatory, Biology, program 120 ECTS
  - Section/description hint: 4 Modalités d'évaluation
- **Organismenbiologie II: Wirbellose Tiere** — UE-SBL.00041, 3 ECTS, Mandatory, Biology, program 120 ECTS
  - Section/description hint: 4 Modalités d'évaluation
- **Hormones et développement des plantes / Hormone und Entwicklung der Pflanzen** — UE-SBL.00045, 3 ECTS, Mandatory, Biology, program 120 ECTS
  - Section/description hint: 4 Modalités d'évaluation
- **Population genetics** — UE-SBL.00049, 3 ECTS, Mandatory, Biology, program 120 ECTS
  - Section/description hint: 4 Modalités d'évaluation
- **Physiologie et biologie cellulaire (travaux pratiques) / Physiologie und Zellbiologie (Praktikum)** — UE-SBL.00055, 1 ECTS, Mandatory, Biology, program 120 ECTS
  - Section/description hint: 4 Modalités d'évaluation
- **Biologie du développement** — UE-SBL.00057, 1.5 ECTS, Mandatory, Biology, program 120 ECTS
  - Section/description hint: 4 Modalités d'évaluation
- **Mécanismes de régénération / Mechanismen der Regeneration / Mechanisms of regeneration** — UE-SBL.00058, 1 ECTS, Mandatory, Biology, program 120 ECTS
  - Section/description hint: 4 Modalités d'évaluation
- **Diversité fonctionnelle des microorganismes** — UE-SBL.00061, 1.5 ECTS, Mandatory, Biology, program 120 ECTS
  - Section/description hint: 4 Modalités d'évaluation
- **Meeresbiologie (Workshop)** — UE-SBL.00062, 3 ECTS, Mandatory, Biology, program 120 ECTS
  - Section/description hint: 4 Modalités d'évaluation
- **Bases de bactériologie** — UE-SBL.00063, 1.5 ECTS, Mandatory, Biology, program 120 ECTS
  - Section/description hint: 4 Modalités d'évaluation
- **Canaux ioniques: fonctions et dysfonctions** — UE-SBL.00064, 1 ECTS, Mandatory, Biology, program 120 ECTS
  - Section/description hint: 4 Modalités d'évaluation
- **Travaux pratiques de biologie moléculaire / Praktikum Molekularbiologie** — UE-SBL.00065, 1 ECTS, Mandatory, Biology, program 120 ECTS
  - Section/description hint: 4 Modalités d'évaluation
- **Molekular- und Zellbiologie der Pflanzen (Praktikum)** — UE-SBL.00066, 1 ECTS, Mandatory, Biology, program 120 ECTS
  - Section/description hint: 4 Modalités d'évaluation
- **Gewebestammzellen und das Zytoskelett** — UE-SBL.00067, 1 ECTS, Mandatory, Biology, program 120 ECTS
  - Section/description hint: 4 Modalités d'évaluation
- **Phytopathologie et interactions plantes-pathogènes / Phytopathologie und Pflanzen-Pathogen Interaktionen** — UE-SBL.00068, 3 ECTS, Mandatory, Biology, program 120 ECTS
  - Section/description hint: 4 Modalités d'évaluation
- **Nutzpflanzen der Welt** — UE-SBL.00069, 3 ECTS, Mandatory, Biology, program 120 ECTS
  - Section/description hint: 4 Modalités d'évaluation
- **Research internship** — UE-SBL.00070, 3 ECTS, Mandatory, Biology, program 120 ECTS
  - Section/description hint: 4 Modalités d'évaluation
- **Métabolisme spécialisé : importance en écologie chimique et en santé humaine** — UE-SBL.00073, 1.5 ECTS, Mandatory, Biology, program 120 ECTS
  - Section/description hint: 4 Modalités d'évaluation
- **Biologie des organismes III: Champignons et plantes (cours et travaux pratiques / excursions) / Organismenbiologie III: Pilze und Pflanzen (Vorlesung und Praktikum / Exkursionen)** — UE-SBL.00074, 5 ECTS, Mandatory, Biology, program 120 ECTS
  - Section/description hint: 4 Modalités d'évaluation
- **Introduction to biostatistics** — UE-SBL.00075, 1.5 ECTS, Mandatory, Biology, program 120 ECTS
  - Section/description hint: 4 Modalités d'évaluation
- **Experimental genetics** — UE-SBL.00114, 1 ECTS, Mandatory, Biology, program 120 ECTS
  - Section/description hint: 4 Modalités d'évaluation
- **The RNA world** — UE-SBL.00115, 1.5 ECTS, Mandatory, Biology, program 120 ECTS
  - Section/description hint: 4 Modalités d'évaluation
- **Neurogenetics** — UE-SBL.00117, 3 ECTS, Mandatory, Biology, program 120 ECTS
  - Section/description hint: 4 Modalités d'évaluation
- **BENEFRI workshop "Frontiers in neurosciences"** — UE-SBL.00118, 1.5 ECTS, Mandatory, Biology, program 120 ECTS
  - Section/description hint: 4 Modalités d'évaluation
- **Molecular genetics of model organism development** — UE-SBL.00119, 3 ECTS, Mandatory, Biology, program 120 ECTS
  - Section/description hint: 4 Modalités d'évaluation
- **Cellular and genetic networks (BeFri)** — UE-SBL.00123, 3 ECTS, Mandatory, Biology, program 120 ECTS
  - Section/description hint: 4 Modalités d'évaluation
- **Light and fluorescence microscopy for Life Sciences** — UE-SBL.00125, 3 ECTS, Mandatory, Biology, program 120 ECTS
  - Section/description hint: 4 Modalités d'évaluation
- **Established and emerging organisms for marine science** — UE-SBL.00126, 6 ECTS, Mandatory, Biology, program 120 ECTS
  - Section/description hint: 4 Modalités d'évaluation
- **BeFri research colloquium in cell and developmental biology I** — UE-SBL.00127, 1.5 ECTS, Mandatory, Biology, program 120 ECTS
  - Section/description hint: 4 Modalités d'évaluation
- **BeFri research colloquium in cell and developmental biology II** — UE-SBL.00128, 1.5 ECTS, Mandatory, Biology, program 120 ECTS
  - Section/description hint: 4 Modalités d'évaluation
- **BeFri research retreat in cell and developmental biology** — UE-SBL.00129, 1 ECTS, Mandatory, Biology, program 120 ECTS
  - Section/description hint: 4 Modalités d'évaluation
- **Nuclear organization and chromatin dynamics** — UE-SBL.00130, 1 ECTS, Mandatory, Biology, program 120 ECTS
  - Section/description hint: 4 Modalités d'évaluation
- **Ecological field course** — UE-SBL.00205, 5 ECTS, Mandatory, Biology, program 120 ECTS
  - Section/description hint: 4 Modalités d'évaluation
- **Symbiosis: how plants and microbes communicate** — UE-SBL.00307, 1.5 ECTS, Mandatory, Biology, program 120 ECTS
  - Section/description hint: 4 Modalités d'évaluation
- **Plant development: the life of a sessile organism** — UE-SBL.00308, 1.5 ECTS, Mandatory, Biology, program 120 ECTS
  - Section/description hint: 4 Modalités d'évaluation
- **Plant biotechnology** — UE-SBL.00323, 3 ECTS, Mandatory, Biology, program 120 ECTS
  - Section/description hint: 4 Modalités d'évaluation
- **Scientific writing** — UE-SBL.00410, 3 ECTS, Mandatory, Biology, program 120 ECTS
  - Section/description hint: 4 Modalités d'évaluation
- **Signalling and transport** — UE-SBL.00411, 1 ECTS, Mandatory, Biology, program 120 ECTS
  - Section/description hint: 4 Modalités d'évaluation
- **Introduction to protein structure and function** — UE-SBL.00412, 1 ECTS, Mandatory, Biology, program 120 ECTS
  - Section/description hint: 4 Modalités d'évaluation
- **Cell fate and tissue regeneration** — UE-SBL.00414, 1 ECTS, Mandatory, Biology, program 120 ECTS
  - Section/description hint: 4 Modalités d'évaluation
- **Cell proliferation** — UE-SBL.00415, 1 ECTS, Mandatory, Biology, program 120 ECTS
  - Section/description hint: 4 Modalités d'évaluation
- **Biological rhythms** — UE-SBL.00416, 1 ECTS, Mandatory, Biology, program 120 ECTS
  - Section/description hint: 4 Modalités d'évaluation
- **Microbial metabolism and genetics** — UE-SBL.00418, 1 ECTS, Mandatory, Biology, program 120 ECTS
  - Section/description hint: 4 Modalités d'évaluation
- **Advanced imaging** — UE-SBL.00419, 1 ECTS, Mandatory, Biology, program 120 ECTS
  - Section/description hint: 4 Modalités d'évaluation
- **Career profiling in life sciences** — UE-SBL.00420, 1 ECTS, Mandatory, Biology, program 120 ECTS
  - Section/description hint: 4 Modalités d'évaluation
- **Oceanography and Marine Ecosystems** — UE-SBL.00421, 1 ECTS, Mandatory, Biology, program 120 ECTS
  - Section/description hint: 4 Modalités d'évaluation
- **Metagenomics data analysis** — UE-SBL.00425, 1 ECTS, Mandatory, Biology, program 120 ECTS
  - Section/description hint: 4 Modalités d'évaluation
- **Visual communication of data** — UE-SBL.00427, 1 ECTS, Mandatory, Biology, program 120 ECTS
  - Section/description hint: 4 Modalités d'évaluation
- **Optogenetics and photopharmacology** — UE-SBL.00428, 1 ECTS, Mandatory, Biology, program 120 ECTS
  - Section/description hint: 4 Modalités d'évaluation
- **Animal models of regeneration** — UE-SBL.00429, 2 ECTS, Mandatory, Biology, program 120 ECTS
  - Section/description hint: 4 Modalités d'évaluation
- **Seminars in biology** — UE-SBL.00431, 2 ECTS, Mandatory, Biology, program 120 ECTS
  - Section/description hint: 4 Modalités d'évaluation
- **Seminars in biology** — UE-SBL.00432, 1.5 ECTS, Mandatory, Biology, program 120 ECTS
  - Section/description hint: 4 Modalités d'évaluation
- **Introduction to mass spectrometry and proteomics** — UE-SBL.00451, 1 ECTS, Mandatory, Biology, program 120 ECTS
  - Section/description hint: 4 Modalités d'évaluation
- **Protéomique quantitative avancée / Quantitative Proteomik für Fortgeschrittene / Advanced quantitative proteomics** — UE-SBL.00452, 1 ECTS, Mandatory, Biology, program 120 ECTS
  - Section/description hint: 4 Modalités d'évaluation
- **Protein homeostasis: translation, quality control, degradation** — UE-SBL.00453, 1 ECTS, Mandatory, Biology, program 120 ECTS
  - Section/description hint: 4 Modalités d'évaluation
- **Concepts généraux pour les enseignant.e.s en biologie / Allgemeine Konzepte für Biologielehrer_Innen / General concepts for biology teachers** — UE-SBL.00502, 1 ECTS, Mandatory, Biology, program 120 ECTS
  - Section/description hint: 4 Modalités d'évaluation
- **Introduction to microscopy** — UE-SBL.00503, 1 ECTS, Mandatory, Biology, program 120 ECTS
  - Section/description hint: 4 Modalités d'évaluation
- **Fondements de génétique / Grundlagen der Genetik** — UE-SBL.01500, 3 ECTS, Mandatory, Biology, program 120 ECTS
  - Section/description hint: 4 Modalités d'évaluation
- **Biologie de la cellule / Zellbiologie** — UE-SBL.01501, 4 ECTS, Mandatory, Biology, program 120 ECTS
  - Section/description hint: 4 Modalités d'évaluation
- **Master thesis (3 semesters)** — UE-SBL.05001, 60 ECTS, Mandatory, Biology, program 120 ECTS
  - Section/description hint: 4 Modalités d'évaluation
- **Master thesis (2 semesters)** — UE-SBL.05002, 45 ECTS, Mandatory, Biology, program 120 ECTS
  - Section/description hint: 4 Modalités d'évaluation
- **Classical models in biology (lecture)** — UE-SBL.06002, 3 ECTS, Mandatory, Biology, program 120 ECTS
  - Section/description hint: 4 Modalités d'évaluation
- **Classical models in biology (exercises)** — UE-SBL.06003, 1 ECTS, Mandatory, Biology, program 120 ECTS
  - Section/description hint: 4 Modalités d'évaluation
- **Modelling human diseases in experimental genetic systems** — UE-SBL.10001, 2 ECTS, Mandatory, Biology, program 120 ECTS
  - Section/description hint: 4 Modalités d'évaluation
- **From bench to bedside** — UE-SBL.10002, 0.5 ECTS, Mandatory, Biology, program 120 ECTS
  - Section/description hint: 4 Modalités d'évaluation
- **Health-related topics in developmental biology** — UE-SBL.10003, 2 ECTS, Mandatory, Biology, program 120 ECTS
  - Section/description hint: 4 Modalités d'évaluation
- **Ethics in stem cell research** — UE-SBL.10004, 1 ECTS, Mandatory, Biology, program 120 ECTS
  - Section/description hint: 4 Modalités d'évaluation
- **Polar biology** — UE-SBL.10007, 1 ECTS, Mandatory, Biology, program 120 ECTS
  - Section/description hint: 4 Modalités d'évaluation
- **Omics approaches in marine sciences** — UE-SBL.10008, 1 ECTS, Mandatory, Biology, program 120 ECTS
  - Section/description hint: 4 Modalités d'évaluation
- **Advanced marine biology practical course** — UE-SBL.10009, 4 ECTS, Mandatory, Biology, program 120 ECTS
  - Section/description hint: 4 Modalités d'évaluation
- **Structure, function and diseases of lipid metabolism** — UE-SBL.10011, 1 ECTS, Mandatory, Biology, program 120 ECTS
  - Section/description hint: 4 Modalités d'évaluation
- **Zebrafish License Course, practical part** — UE-SBL.10013, 1 ECTS, Mandatory, Biology, program 120 ECTS
  - Section/description hint: 4 Modalités d'évaluation
- **Cancer immunology** — UE-SBL.10014, 1 ECTS, Mandatory, Biology, program 120 ECTS
  - Section/description hint: 4 Modalités d'évaluation
- **Journal club in molecular life sciences** — UE-SBL.10100, 3 ECTS, Mandatory, Biology, program 120 ECTS
  - Section/description hint: 4 Modalités d'évaluation
- **Journal club in molecular life sciences** — UE-SBL.10102, 2 ECTS, Mandatory, Biology, program 120 ECTS
  - Section/description hint: 4 Modalités d'évaluation
- **Research group meetings in molecular life sciences** — UE-SBL.10103, 3 ECTS, Mandatory, Biology, program 120 ECTS
  - Section/description hint: 4 Modalités d'évaluation
- **Research group meetings in molecular life sciences** — UE-SBL.10104, 2 ECTS, Mandatory, Biology, program 120 ECTS
  - Section/description hint: 4 Modalités d'évaluation
- **Research seminars in molecular life sciences** — UE-SBL.10105, 3 ECTS, Mandatory, Biology, program 120 ECTS
  - Section/description hint: 4 Modalités d'évaluation
- **Biostatistics II - multivariate analysis** — UE-SBL.20002, 3 ECTS, Mandatory, Biology, program 120 ECTS
  - Section/description hint: 4 Modalités d'évaluation
- **Methods in plant pathogen interactions** — UE-SBL.20003, 4 ECTS, Mandatory, Biology, program 120 ECTS
  - Section/description hint: 4 Modalités d'évaluation
- **Introduction to metabolomics: data acquisition and processing** — UE-SBL.20004, 2 ECTS, Mandatory, Biology, program 120 ECTS
  - Section/description hint: 4 Modalités d'évaluation
- **Critical reading** — UE-SBL.20005, 3 ECTS, Mandatory, Biology, program 120 ECTS
  - Section/description hint: 4 Modalités d'évaluation
- **Community ecology** — UE-SBL.20031, 3 ECTS, Mandatory, Biology, program 120 ECTS
  - Section/description hint: 4 Modalités d'évaluation
- **Population and evolutionary dynamics** — UE-SBL.20032, 3 ECTS, Mandatory, Biology, program 120 ECTS
  - Section/description hint: 4 Modalités d'évaluation
- **Evolutionary genomics** — UE-SBL.20034, 3 ECTS, Mandatory, Biology, program 120 ECTS
  - Section/description hint: 4 Modalités d'évaluation
- **Structure and functions of host-associated microbiota** — UE-SBL.20035, 3 ECTS, Mandatory, Biology, program 120 ECTS
  - Section/description hint: 4 Modalités d'évaluation
- **Invasion biology** — UE-SBL.20037, 3 ECTS, Mandatory, Biology, program 120 ECTS
  - Section/description hint: 4 Modalités d'évaluation
- **Research internship** — UE-SBL.20038, 4 ECTS, Mandatory, Biology, program 120 ECTS
  - Section/description hint: 4 Modalités d'évaluation
- **Research seminars in environmental biology (4 sem.)** — UE-SBL.20081, 5 ECTS, Mandatory, Biology, program 120 ECTS
  - Section/description hint: 4 Modalités d'évaluation
- **Research seminars in environmental biology (3 sem.)** — UE-SBL.20082, 4 ECTS, Mandatory, Biology, program 120 ECTS
  - Section/description hint: 4 Modalités d'évaluation
- **Research group meetings in environmental biology (4 sem.)** — UE-SBL.20083, 3 ECTS, Mandatory, Biology, program 120 ECTS
  - Section/description hint: 4 Modalités d'évaluation
- **Research group meetings in environmental Biology (3 sem.)** — UE-SBL.20084, 2 ECTS, Mandatory, Biology, program 120 ECTS
  - Section/description hint: 4 Modalités d'évaluation
- **Machine learning** — UE-SBL.30002, 5 ECTS, Mandatory, Biology, program 120 ECTS
  - Section/description hint: 4 Modalités d'évaluation
- **Organization and annotation of eukaryote genomes** — UE-SBL.30004, 3 ECTS, Mandatory, Biology, program 120 ECTS
  - Section/description hint: 4 Modalités d'évaluation
- **Fondements de biochimie / Grundlagen der Biochemie** — UE-SBC.00119, 6 ECTS, Mandatory, Biology, program 120 ECTS
  - Section/description hint: Branches propédeutiques générales
- **Biologie cellulaire / Zellbiologie** — UE-SBC.00106, 4 ECTS, Mandatory, Biology, program 120 ECTS
  - Section/description hint: Organismes et travail de Bachelor
- **Basic bioinformatics and genomics** — UE-SBC.07004, 2 ECTS, Mandatory, Biology, program 120 ECTS
  - Section/description hint: Organismes et travail de Bachelor
- **Microbiologie générale et médicale** — UE-SME.05103, 3 ECTS, Mandatory, Biology, program 120 ECTS
  - Section/description hint: Organismes et travail de Bachelor
- **Biologie générale I (cours) / Allgemeine Biologie I (Vorlesung)** — UE-SBL.00001, 5 ECTS, Mandatory, Biomedical Sciences, program 120 ECTS
  - Section/description hint: Semestre 1 (automne)
- **Biologie générale I (travaux pratiques) / Allgemeine Biologie I (Praktikum)** — UE-SBL.00003, 1 ECTS, Mandatory, Biomedical Sciences, program 120 ECTS
  - Section/description hint: Semestre 1 (automne)
- **Chimie générale (avec exercices) / Allgemeine Chemie (mit Übungen)** — UE-SCH.01014, 6 ECTS, Mandatory, Biomedical Sciences, program 120 ECTS
  - Section/description hint: Semestre 1 (automne)
- **Analyse propédeutique I (cours avec exercices)** — UE-SMA.00103, 3 ECTS, Mandatory, Biomedical Sciences, program 120 ECTS
  - Section/description hint: Semestre 1 (automne)
- **Bases morphologiques et fonctionnelles – Systèmes Ia / Morphologische und funktionelle Grundlagen – Systeme Ia** — UE-SME.01202, 10 ECTS, Mandatory, Biomedical Sciences, program 120 ECTS
  - Section/description hint: Semestre 1 (automne)
- **Physique propédeutique I pour sciences biomédicales (travaux pratiques) / Propädeutische Physik I für biomedizinische Wissenschaften (Praktikum) / Introductory physics I for biomedical sciences (practical course)** — UE-SPH.01013, 1 ECTS, Mandatory, Biomedical Sciences, program 120 ECTS
  - Section/description hint: Semestre 1 (automne)
- **Physique propédeutique I (cours et exercices)** — UE-SPH.01103, 5 ECTS, Mandatory, Biomedical Sciences, program 120 ECTS
  - Section/description hint: Semestre 1 (automne)
- **Fondements de biochimie / Grundlagen der Biochemie** — UE-SBC.00119, 6 ECTS, Mandatory, Biomedical Sciences, program 120 ECTS
  - Section/description hint: Semestre 2 (printemps)
- **Chimie générale (travaux pratiques)** — UE-SCH.01024, 3 ECTS, Mandatory, Biomedical Sciences, program 120 ECTS
  - Section/description hint: Semestre 2 (printemps)
- **Grundlagen der organischen Chemie / Basic organic chemistry** — UE-SCH.01072, 3 ECTS, Mandatory, Biomedical Sciences, program 120 ECTS
  - Section/description hint: Semestre 2 (printemps)
- **Analyse propédeutique II (cours avec exercices)** — UE-SMA.00104, 3 ECTS, Mandatory, Biomedical Sciences, program 120 ECTS
  - Section/description hint: Semestre 2 (printemps)
- **Bases morphologiques et fonctionnelles – Systèmes Ib / Morphologische und funktionelle Grundlagen – Systeme Ib** — UE-SME.02202, 6 ECTS, Mandatory, Biomedical Sciences, program 120 ECTS
  - Section/description hint: Semestre 2 (printemps)
- **Biostatistique / Biostatistik** — UE-SME.02303, 2 ECTS, Mandatory, Biomedical Sciences, program 120 ECTS
  - Section/description hint: Semestre 2 (printemps)
- **Physique propédeutique II pour sciences biomédicales (travaux pratiques) / Propädeutische Physik II für biomedizinische Wissenschaften (Praktikum) / Introductory physics II for biomedical sciences (practical course)** — UE-SPH.01014, 1 ECTS, Mandatory, Biomedical Sciences, program 120 ECTS
  - Section/description hint: Semestre 2 (printemps)
- **Propädeutische Physik II (Vorlesung und Übungen)** — UE-SPH.01203, 5 ECTS, Mandatory, Biomedical Sciences, program 120 ECTS
  - Section/description hint: Semestre 2 (printemps)
- **Biochimie générale / Allgemeine Biochemie** — UE-SBC.00114, 3.5 ECTS, Mandatory, Biomedical Sciences, program 120 ECTS
  - Section/description hint: Semestre 3 (automne)
- **Biologie moléculaire / Molekularbiologie** — UE-SBL.00014, 3 ECTS, Mandatory, Biomedical Sciences, program 120 ECTS
  - Section/description hint: Semestre 3 (automne)
- **Système cardiovasculaire – Sang II; Respiration / Herz- und Kreislaufsystem – Blut II; Atmung** — UE-SME.03203, 9.25 ECTS, Mandatory, Biomedical Sciences, program 120 ECTS
  - Section/description hint: Semestre 3 (automne)
- **Rein et voies urinaires - Nutrition et di</t>
        </is>
      </c>
      <c r="AR52" s="11" t="n"/>
    </row>
    <row r="53">
      <c r="A53" s="11" t="n">
        <v>52</v>
      </c>
      <c r="B53" s="11" t="inlineStr">
        <is>
          <t>multilingual</t>
        </is>
      </c>
      <c r="C53" s="11" t="inlineStr">
        <is>
          <t>medium</t>
        </is>
      </c>
      <c r="D53" s="11" t="inlineStr">
        <is>
          <t>FR</t>
        </is>
      </c>
      <c r="E53" s="11" t="inlineStr">
        <is>
          <t>Que dit le plan d'études sur les cours à option ?</t>
        </is>
      </c>
      <c r="F53" s="11" t="inlineStr">
        <is>
          <t>Same factual answer as the equivalent English/German/French query; response language should match or be appropriate.</t>
        </is>
      </c>
      <c r="G53" s="11" t="inlineStr">
        <is>
          <t>Mixed</t>
        </is>
      </c>
      <c r="H53" s="11" t="inlineStr">
        <is>
          <t>API first, RAG fallback</t>
        </is>
      </c>
      <c r="I53" s="11" t="inlineStr">
        <is>
          <t>DB or PDF source</t>
        </is>
      </c>
      <c r="J53" s="11" t="inlineStr">
        <is>
          <t>elective rules</t>
        </is>
      </c>
      <c r="K53" s="11" t="inlineStr">
        <is>
          <t>Tests multilingual query understanding and response language consistency.</t>
        </is>
      </c>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inlineStr">
        <is>
          <t>2026-05-25T01:18:59</t>
        </is>
      </c>
      <c r="AI53" s="11" t="n">
        <v>200</v>
      </c>
      <c r="AJ53" s="11" t="b">
        <v>1</v>
      </c>
      <c r="AK53" s="11" t="n">
        <v>213.98</v>
      </c>
      <c r="AL53" s="11" t="n">
        <v>189.53</v>
      </c>
      <c r="AM53" s="11" t="n"/>
      <c r="AN53" s="11" t="n">
        <v>188.02</v>
      </c>
      <c r="AO53" s="11" t="inlineStr">
        <is>
          <t>get_program_courses_by_metadata</t>
        </is>
      </c>
      <c r="AP53" s="11" t="n">
        <v>0</v>
      </c>
      <c r="AQ53" s="11" t="inlineStr">
        <is>
          <t>Found 500 result(s):
- **Policy and Impact Evaluation** — UE-EEP.00143, 4.5 ECTS, Elective, Accounting and Finance, program 120 ECTS
  - Section/description hint: DAT: Data Analytics
- **Econometric Methods and Applications** — UE-EEP.00496, 6 ECTS, Elective, Accounting and Finance, program 120 ECTS
  - Section/description hint: DAT: Data Analytics
- **Databases** — UE-SIN.03024, 6 ECTS, Elective, Accounting and Finance, program 120 ECTS
  - Section/description hint: DAT: Data Analytics
- **Machine learning** — UE-SIN.08022, 5 ECTS, Elective, Accounting and Finance, program 120 ECTS
  - Section/description hint: DAT: Data Analytics
- **ECO08E: Applied Econometrics** — UE-EEP.00358, 4.5 ECTS, Elective, Accounting and Finance, program 120 ECTS
  - Section/description hint: Wahlkurse
- **The audit profession and the public interest** — UE-EGE.00027, 4.5 ECTS, Elective, Accounting and Finance, program 120 ECTS
  - Section/description hint: Wahlkurse
- **Théorie de l'information comptable** — UE-EGE.00114, 4.5 ECTS, Elective, Accounting and Finance, program 120 ECTS
  - Section/description hint: Wahlkurse
- **Statistique bayésienne** — UE-EIG.00027, 4.5 ECTS, Elective, Accounting and Finance, program 120 ECTS
  - Section/description hint: Wahlkurse
- **Machine learning** — UE-SBL.30002, 5 ECTS, Elective, Accounting and Finance, program 120 ECTS
  - Section/description hint: Wahlkurse
- **Programmation scientifique** — UE-SIN.00120, 6 ECTS, Elective, Accounting and Finance, program 120 ECTS
  - Section/description hint: Wahlkurse
- **Social media analytics** — UE-SIN.08609, 5 ECTS, Elective, Accounting and Finance, program 120 ECTS
  - Section/description hint: Wahlkurse
- **Data analysis and statistics with the R programming language** — UE-SME.07700, 3 ECTS, Elective, Accounting and Finance, program 120 ECTS
  - Section/description hint: Wahlkurse
- **Recent developments in monetary analysis** — UE-EEP.00052, 4.5 ECTS, Elective, Accounting and Finance, program 120 ECTS
  - Section/description hint: Wahlkurse WISO auf Master-Niveau in Volkswirtschaftslehre
- **Evaluation des dommages et Politiques environnementales** — UE-EEP.00063, 4.5 ECTS, Elective, Accounting and Finance, program 120 ECTS
  - Section/description hint: Wahlkurse WISO auf Master-Niveau in Volkswirtschaftslehre
- **Microeconomics of Competitiveness (MOC)** — UE-EEP.00095, 4.5 ECTS, Elective, Accounting and Finance, program 120 ECTS
  - Section/description hint: Wahlkurse WISO auf Master-Niveau in Volkswirtschaftslehre
- **Politiques des marchés et de la concurrence** — UE-EEP.00098, 4.5 ECTS, Elective, Accounting and Finance, program 120 ECTS
  - Section/description hint: Wahlkurse WISO auf Master-Niveau in Volkswirtschaftslehre
- **Steuerpolitik - Theorie und Anwendung auf die Schweiz** — UE-EEP.00099, 4.5 ECTS, Elective, Accounting and Finance, program 120 ECTS
  - Section/description hint: Wahlkurse WISO auf Master-Niveau in Volkswirtschaftslehre
- **Business and Human Rights** — UE-EEP.00127, 3 ECTS, Elective, Accounting and Finance, program 120 ECTS
  - Section/description hint: Wahlkurse WISO auf Master-Niveau in Volkswirtschaftslehre
- **Demography, Immigration and Labor Markets** — UE-EEP.00131, 4.5 ECTS, Elective, Accounting and Finance, program 120 ECTS
  - Section/description hint: Wahlkurse WISO auf Master-Niveau in Volkswirtschaftslehre
- **The Economics of Politics** — UE-EEP.00135, 4.5 ECTS, Elective, Accounting and Finance, program 120 ECTS
  - Section/description hint: Wahlkurse WISO auf Master-Niveau in Volkswirtschaftslehre
- **Intégration européenne** — UE-EEP.00175, 4.5 ECTS, Elective, Accounting and Finance, program 120 ECTS
  - Section/description hint: Wahlkurse WISO auf Master-Niveau in Volkswirtschaftslehre
- **Aide, microcrédit et autres instruments de développement** — UE-EEP.00321, 4.5 ECTS, Elective, Accounting and Finance, program 120 ECTS
  - Section/description hint: Wahlkurse WISO auf Master-Niveau in Volkswirtschaftslehre
- **Network Science &amp; Economics** — UE-EEP.00328, 4.5 ECTS, Elective, Accounting and Finance, program 120 ECTS
  - Section/description hint: Wahlkurse WISO auf Master-Niveau in Volkswirtschaftslehre
- **Professional Economic Ethics** — UE-EEP.00331, 4.5 ECTS, Elective, Accounting and Finance, program 120 ECTS
  - Section/description hint: Wahlkurse WISO auf Master-Niveau in Volkswirtschaftslehre
- **Global Economic Justice** — UE-EEP.00334, 4.5 ECTS, Elective, Accounting and Finance, program 120 ECTS
  - Section/description hint: Wahlkurse WISO auf Master-Niveau in Volkswirtschaftslehre
- **Advanced Microeconomics** — UE-EEP.00495, 6 ECTS, Elective, Accounting and Finance, program 120 ECTS
  - Section/description hint: Wahlkurse WISO auf Master-Niveau in Volkswirtschaftslehre
- **Advanced Topics in Data Analytics and Machine Learning** — UE-EEP.00517, 1.5 ECTS, Elective, Accounting and Finance, program 120 ECTS
  - Section/description hint: Wahlkurse WISO auf Master-Niveau in Volkswirtschaftslehre
- **Organisational Economics** — UE-EEP.00518, 4.5 ECTS, Elective, Accounting and Finance, program 120 ECTS
  - Section/description hint: Wahlkurse WISO auf Master-Niveau in Volkswirtschaftslehre
- **Changement climatique dans les pays en développement** — UE-EEP.00532, 4.5 ECTS, Elective, Accounting and Finance, program 120 ECTS
  - Section/description hint: Wahlkurse WISO auf Master-Niveau in Volkswirtschaftslehre
- **Aktuelle Probleme der Finanz- und Wirtschaftspolitik (FS 26)** — UE-EEP.00554, 4.5 ECTS, Elective, Accounting and Finance, program 120 ECTS
  - Section/description hint: Wahlkurse WISO auf Master-Niveau in Volkswirtschaftslehre
- **Economic Growth: For and Against** — UE-EEP.00557, 4.5 ECTS, Elective, Accounting and Finance, program 120 ECTS
  - Section/description hint: Wahlkurse WISO auf Master-Niveau in Volkswirtschaftslehre
- **Communication, organisation et transformation digitale** — UE-EKM.00064, 3 ECTS, Elective, Accounting and Finance, program 120 ECTS
  - Section/description hint: WISO-Wahlfach im Masterstudiengang Kommunikations- und Medienwissenschaften
- **Master lecture Media Use and Effects** — UE-EKM.00596, 3 ECTS, Elective, Accounting and Finance, program 120 ECTS
  - Section/description hint: WISO-Wahlfach im Masterstudiengang Kommunikations- und Medienwissenschaften
- **Séminaire Master : Digitalisation et communication** — UE-EKM.00696, 3 ECTS, Elective, Accounting and Finance, program 120 ECTS
  - Section/description hint: WISO-Wahlfach im Masterstudiengang Kommunikations- und Medienwissenschaften
- **Lecture Strategic Communication Management** — UE-EKM.00715, 3 ECTS, Elective, Accounting and Finance, program 120 ECTS
  - Section/description hint: WISO-Wahlfach im Masterstudiengang Kommunikations- und Medienwissenschaften
- **Democracy, media, and technology** — UE-EKM.00957, 3 ECTS, Elective, Accounting and Finance, program 120 ECTS
  - Section/description hint: WISO-Wahlfach im Masterstudiengang Kommunikations- und Medienwissenschaften
- **Corporate Social Responsibility and Social Impact** — UE-EKM.00989, 3 ECTS, Elective, Accounting and Finance, program 120 ECTS
  - Section/description hint: WISO-Wahlfach im Masterstudiengang Kommunikations- und Medienwissenschaften
- **Séminaire Communication en contexte politique** — UE-EKM.01025, 3 ECTS, Elective, Accounting and Finance, program 120 ECTS
  - Section/description hint: WISO-Wahlfach im Masterstudiengang Kommunikations- und Medienwissenschaften
- **Klassiker revisited: Mythen, Pionierstudien, Schlüsselwerke** — UE-EKM.01249, 3 ECTS, Elective, Accounting and Finance, program 120 ECTS
  - Section/description hint: WISO-Wahlfach im Masterstudiengang Kommunikations- und Medienwissenschaften
- **Comparing Media Structures** — UE-EKM.01250, 3 ECTS, Elective, Accounting and Finance, program 120 ECTS
  - Section/description hint: WISO-Wahlfach im Masterstudiengang Kommunikations- und Medienwissenschaften
- **Nouveaux médias, médias et usagers** — UE-EKM.01306, 3 ECTS, Elective, Accounting and Finance, program 120 ECTS
  - Section/description hint: WISO-Wahlfach im Masterstudiengang Kommunikations- und Medienwissenschaften
- **Master seminar: Rethinking Mental Health Representations in Entertainment Media—The Perspective of Caregivers and Experts** — UE-EKM.01472, 3 ECTS, Elective, Accounting and Finance, program 120 ECTS
  - Section/description hint: WISO-Wahlfach im Masterstudiengang Kommunikations- und Medienwissenschaften
- **Masterseminar: Politische Skandale und Krisen: Journalistische Praktiken und Kommunikationsstrategien** — UE-EKM.01478, 3 ECTS, Elective, Accounting and Finance, program 120 ECTS
  - Section/description hint: WISO-Wahlfach im Masterstudiengang Kommunikations- und Medienwissenschaften
- **Strategic Value Creation** — UE-EGE.00030, 3 ECTS, Elective, Accounting and Finance, program 120 ECTS
  - Section/description hint: WISO-Wahlkurse auf Master-Niveau in Wirtschaftsinformatik
- **Fundamentals of International Management** — UE-EGE.00048, 4.5 ECTS, Elective, Accounting and Finance, program 120 ECTS
  - Section/description hint: WISO-Wahlkurse auf Master-Niveau in Wirtschaftsinformatik
- **Compétences managériales** — UE-EGE.00060, 4.5 ECTS, Elective, Accounting and Finance, program 120 ECTS
  - Section/description hint: WISO-Wahlkurse auf Master-Niveau in Wirtschaftsinformatik
- **Strategische Neuausrichtung einer Organisation** — UE-EGE.00098, 4.5 ECTS, Elective, Accounting and Finance, program 120 ECTS
  - Section/description hint: WISO-Wahlkurse auf Master-Niveau in Wirtschaftsinformatik
- **Case studies in international strategy** — UE-EGE.00101, 4.5 ECTS, Elective, Accounting and Finance, program 120 ECTS
  - Section/description hint: WISO-Wahlkurse auf Master-Niveau in Wirtschaftsinformatik
- **Marketing Durable** — UE-EGE.00108, 4.5 ECTS, Elective, Accounting and Finance, program 120 ECTS
  - Section/description hint: WISO-Wahlkurse auf Master-Niveau in Wirtschaftsinformatik
- **Intercultural Business Projects** — UE-EGE.00250, 4.5 ECTS, Elective, Accounting and Finance, program 120 ECTS
  - Section/description hint: WISO-Wahlkurse auf Master-Niveau in Wirtschaftsinformatik
- **Organisational Change and Crisis Management in Nonprofit Organisations** — UE-EGE.00251, 4.5 ECTS, Elective, Accounting and Finance, program 120 ECTS
  - Section/description hint: WISO-Wahlkurse auf Master-Niveau in Wirtschaftsinformatik
- **Nouveaux trends de l'innovation** — UE-EGE.00255, 4.5 ECTS, Elective, Accounting and Finance, program 120 ECTS
  - Section/description hint: WISO-Wahlkurse auf Master-Niveau in Wirtschaftsinformatik
- **Winning Consulting Projects** — UE-EGE.00257, 3 ECTS, Elective, Accounting and Finance, program 120 ECTS
  - Section/description hint: WISO-Wahlkurse auf Master-Niveau in Wirtschaftsinformatik
- **International Services Marketing** — UE-EGE.00262, 4.5 ECTS, Elective, Accounting and Finance, program 120 ECTS
  - Section/description hint: WISO-Wahlkurse auf Master-Niveau in Wirtschaftsinformatik
- **Digital Commerce in B2C and B2B Markets** — UE-EGE.00269, 4.5 ECTS, Elective, Accounting and Finance, program 120 ECTS
  - Section/description hint: WISO-Wahlkurse auf Master-Niveau in Wirtschaftsinformatik
- **Seminar in Social Entrepreneurship** — UE-EGE.00306, 3 ECTS, Elective, Accounting and Finance, program 120 ECTS
  - Section/description hint: WISO-Wahlkurse auf Master-Niveau in Wirtschaftsinformatik
- **Collaborative Value Creation in Ecosystems** — UE-EGE.00453, 4.5 ECTS, Elective, Accounting and Finance, program 120 ECTS
  - Section/description hint: WISO-Wahlkurse auf Master-Niveau in Wirtschaftsinformatik
- **Leadership styles, contexts and success factors** — UE-EGE.00471, 4.5 ECTS, Elective, Accounting and Finance, program 120 ECTS
  - Section/description hint: WISO-Wahlkurse auf Master-Niveau in Wirtschaftsinformatik
- **Customer-Centric Innovation** — UE-EGE.00472, 4.5 ECTS, Elective, Accounting and Finance, program 120 ECTS
  - Section/description hint: WISO-Wahlkurse auf Master-Niveau in Wirtschaftsinformatik
- **Developing an Innovation Strategy** — UE-EGE.00473, 4.5 ECTS, Elective, Accounting and Finance, program 120 ECTS
  - Section/description hint: WISO-Wahlkurse auf Master-Niveau in Wirtschaftsinformatik
- **Renouvellement stratégique d’une organisation** — UE-EGE.00477, 4.5 ECTS, Elective, Accounting and Finance, program 120 ECTS
  - Section/description hint: WISO-Wahlkurse auf Master-Niveau in Wirtschaftsinformatik
- **Ethical Leadership and Organizational Culture** — UE-EGE.00483, 4.5 ECTS, Elective, Accounting and Finance, program 120 ECTS
  - Section/description hint: WISO-Wahlkurse auf Master-Niveau in Wirtschaftsinformatik
- **Advanced Seminar in Strategic International Management** — UE-EGE.00486, 4.5 ECTS, Elective, Accounting and Finance, program 120 ECTS
  - Section/description hint: WISO-Wahlkurse auf Master-Niveau in Wirtschaftsinformatik
- **Strategic Management of privately-owned Family Businesses** — UE-EGE.00491, 4.5 ECTS, Elective, Accounting and Finance, program 120 ECTS
  - Section/description hint: WISO-Wahlkurse auf Master-Niveau in Wirtschaftsinformatik
- **Digitalization and Information Systems** — UE-EIG.00131, 4.5 ECTS, Elective, Accounting and Finance, program 120 ECTS
  - Section/description hint: WISO-Wahlkurse auf Master-Niveau in Wirtschaftsinformatik
- **Choice-based optimization and its application to revenue management** — UE-EIG.00244, 4.5 ECTS, Elective, Accounting and Finance, program 120 ECTS
  - Section/description hint: WISO-Wahlkurse auf Master-Niveau in Wirtschaftsinformatik
- **Basic bioinformatics and genomics** — UE-SBC.07004, 2 ECTS, Elective, Biochemistry, program 120 ECTS
  - Section/description hint: 3.8.2 Liste des conditions pour la fréquentation des unités d'enseignement de biochimie
- **Integration cardiovasculaire, respiratoire et rénale, système endocrinien; système génitaux I + II; système immunitaire I / Kardiovaskuläre, respiratorische und renale Integration; Endokrines System; Genitalsystem I + II; Immunsystem I** — UE-SME.04206, 8 ECTS, Elective, Biochemistry, program 120 ECTS
  - Section/description hint: 3.8.2 Liste des conditions pour la fréquentation des unités d'enseignement de biochimie
- **Méthodes de biochimie / Methoden in Biochemie / Methods in Biochemistry** — UE-SBC.00009, 1.5 ECTS, Elective, Biochemistry, program 120 ECTS
  - Section/description hint: À choix (jusqu'à 30 ECTS)
- **Biochimie pour débutants (travaux pratiques) / Biochemie für Anfänger (Praktikum)** — UE-SBC.00047, 3 ECTS, Elective, Biochemistry, program 120 ECTS
  - Section/description hint: À choix (jusqu'à 30 ECTS)
- **Biologie cellulaire / Zellbiologie** — UE-SBC.00106, 4 ECTS, Elective, Biochemistry, program 120 ECTS
  - Section/description hint: À choix (jusqu'à 30 ECTS)
- **Génétique moléculaire humaine / Molekulare Humangenetik** — UE-SBC.00115, 1.5 ECTS, Elective, Biochemistry, program 120 ECTS
  - Section/description hint: À choix (jusqu'à 30 ECTS)
- **Stage de laboratoire en Biochimie I / Laborpraktikum in Biochemie I / Biochemistry laboratory rotation I** — UE-SBC.00120, 5 ECTS, Elective, Biochemistry, program 120 ECTS
  - Section/description hint: À choix (jusqu'à 30 ECTS)
- **Stage de laboratoire en Biochimie II / Laborpraktikum in Biochemie II / Biochemistry laboratory rotation II** — UE-SBC.00121, 5 ECTS, Elective, Biochemistry, program 120 ECTS
  - Section/description hint: À choix (jusqu'à 30 ECTS)
- **Yeast Genetics, Cell- and Molecular Biology** — UE-SBC.00125, 1.5 ECTS, Elective, Biochemistry, program 120 ECTS
  - Section/description hint: À choix (jusqu'à 30 ECTS)
- **Introduction to bioinformatics and genomics (course with exercises)** — UE-SBC.07003, 4.5 ECTS, Elective, Biochemistry, program 120 ECTS
  - Section/description hint: À choix (jusqu'à 30 ECTS)
- **Advanced bioinformatics and genomics** — UE-SBC.07005, 2.5 ECTS, Elective, Biochemistry, program 120 ECTS
  - Section/description hint: À choix (jusqu'à 30 ECTS)
- **Biologie générale II (cours) / Allgemeine Biologie II (Vorlesung)** — UE-SBL.00002, 5 ECTS, Elective, Biochemistry, program 120 ECTS
  - Section/description hint: À choix (jusqu'à 30 ECTS)
- **Biologie générale II (travaux pratiques) / Allgemeine Biologie II (Praktikum)** — UE-SBL.00004, 1 ECTS, Elective, Biochemistry, program 120 ECTS
  - Section/description hint: À choix (jusqu'à 30 ECTS)
- **Biologie moléculaire / Molekularbiologie** — UE-SBL.00014, 3 ECTS, Elective, Biochemistry, program 120 ECTS
  - Section/description hint: À choix (jusqu'à 30 ECTS)
- **Méthodes de biologie moléculaire / Methoden der Molekularbiologie** — UE-SBL.00019, 3 ECTS, Elective, Biochemistry, program 120 ECTS
  - Section/description hint: À choix (jusqu'à 30 ECTS)
- **Neurobiologie** — UE-SBL.00020, 2 ECTS, Elective, Biochemistry, program 120 ECTS
  - Section/description hint: À choix (jusqu'à 30 ECTS)
- **Biologie du développement** — UE-SBL.00057, 1.5 ECTS, Elective, Biochemistry, program 120 ECTS
  - Section/description hint: À choix (jusqu'à 30 ECTS)
- **Instrumentalanalyse (Praktikum für Zusatzfach) / Instrumental analysis (practical course for minor)** — UE-SCH.00244, 5 ECTS, Elective, Biochemistry, program 120 ECTS
  - Section/description hint: À choix (jusqu'à 30 ECTS)
- **Präparative Methoden (Vorlesung)** — UE-SCH.02212, 3 ECTS, Elective, Biochemistry, program 120 ECTS
  - Section/description hint: À choix (jusqu'à 30 ECTS)
- **Präparative Methoden (Übungen)** — UE-SCH.02222, 2 ECTS, Elective, Biochemistry, program 120 ECTS
  - Section/description hint: À choix (jusqu'à 30 ECTS)
- **Organische Instrumentalanalyse (mit Übungen) / Organic instrumental analysis (with exercises)** — UE-SCH.02252, 5 ECTS, Elective, Biochemistry, program 120 ECTS
  - Section/description hint: À choix (jusqu'à 30 ECTS)
- **Microbiologie générale et médicale** — UE-SME.05103, 3 ECTS, Elective, Biochemistry, program 120 ECTS
  - Section/description hint: À choix (jusqu'à 30 ECTS)
- **Immunologie I** — UE-SME.05305, 1.5 ECTS, Elective, Biochemistry, program 120 ECTS
  - Section/description hint: À choix (jusqu'à 30 ECTS)
- **Microbiologie clinique spécialisée** — UE-SME.06104, 2.5 ECTS, Elective, Biochemistry, program 120 ECTS
  - Section/description hint: À choix (jusqu'à 30 ECTS)
- **Microbiologie (travaux pratiques)** — UE-SME.06309, 1 ECTS, Elective, Biochemistry, program 120 ECTS
  - Section/description hint: À choix (jusqu'à 30 ECTS)
- **Immunologie II / Immunology II** — UE-SME.06312, 2 ECTS, Elective, Biochemistry, program 120 ECTS
  - Section/description hint: À choix (jusqu'à 30 ECTS)
- **Chimie analytique (travaux pratiques) / Analytische Chemie (Praktikum) / Analytical chemistry (practical course )** — UE-SCH.01084, 4 ECTS, Elective, Biochemistry, program 120 ECTS
  - Section/description hint: À choix (jusqu'à 60 ECTS)
- **Introduction à la chimie des complexes** — UE-SCH.02120, 3 ECTS, Elective, Biochemistry, program 120 ECTS
  - Section/description hint: À choix (jusqu'à 60 ECTS)
- **Analyse instrumentale (travaux pratiques) / Instrumentalanalyse (Praktikum) / Instrumental analysis (practical course)** — UE-SCH.02274, 8 ECTS, Elective, Biochemistry, program 120 ECTS
  - Section/description hint: À choix (jusqu'à 60 ECTS)
- **Physiologie et physiopathologie des grandes régulations, partie I / Physiologie und Pathophysiologie der grossen Regulationssysteme, Teil I** — UE-SPY.00110, 3 ECTS, Elective, Biochemistry, program 120 ECTS
  - Section/description hint: À choix (jusqu'à 60 ECTS)
- **Physiologie et physiopathologie des grandes régulations, partie II / Physiologie und Pathophysiologie der grossen Regulationssysteme, Teil II** — UE-SPY.00111, 3 ECTS, Elective, Biochemistry, program 120 ECTS
  - Section/description hint: À choix (jusqu'à 60 ECTS)
- **Physiologie animale / Tierphysiologie** — UE-SBL.00015, 3 ECTS, Elective, Biochemistry, program 120 ECTS
  - Section/description hint: UE à choix (jusqu'à 60 ECTS)
- **Mécanismes de régénération / Mechanismen der Regeneration / Mechanisms of regeneration** — UE-SBL.00058, 1 ECTS, Elective, Biochemistry, program 120 ECTS
  - Section/description hint: UE à choix (jusqu'à 60 ECTS)
- **Instrumentalanalyse (Ergänzendes Praktikum für Zusatzfach) / Instrumental analysis (practical course supplement for minor)** — UE-SCH.00246, 3 ECTS, Elective, Biochemistry, program 120 ECTS
  - Section/description hint: UE à choix (jusqu'à 60 ECTS)
- **Introduction to protein structure and protein homology modelling** — UE-SBC.07104, 1.5 ECTS, Elective, Bioinformatics and Computational Biology, program 120 ECTS
  - Section/description hint: Module 'Elective Courses' (suggestions only)
- **Introduction to docking of small molecules to large macromolecules and molecular graphics** — UE-SBC.07105, 1.5 ECTS, Elective, Bioinformatics and Computational Biology, program 120 ECTS
  - Section/description hint: Module 'Elective Courses' (suggestions only)
- **Molecular genetics of model organism development** — UE-SBL.00119, 3 ECTS, Elective, Bioinformatics and Computational Biology, program 120 ECTS
  - Section/description hint: Module 'Elective Courses' (suggestions only)
- **Structure and functions of host-associated microbiota** — UE-SBL.20035, 3 ECTS, Elective, Bioinformatics and Computational Biology, program 120 ECTS
  - Section/description hint: Module 'Elective Courses' (suggestions only)
- **Méthodes de biochimie / Methoden in Biochemie / Methods in Biochemistry** — UE-SBC.00009, 1.5 ECTS, Elective, Biology, program 30 ECTS
  - Section/description hint: Partie 2 : Cours à choix enseignés en français ou en allemand* :
- **Biologie cellulaire / Zellbiologie** — UE-SBC.00106, 4 ECTS, Elective, Biology, program 30 ECTS
  - Section/description hint: Partie 2 : Cours à choix enseignés en français ou en allemand* :
- **Compléments de biologie moléculaire / Ergänzende Molekularbiologie** — UE-SBC.00113, 3 ECTS, Elective, Biology, program 30 ECTS
  - Section/description hint: Partie 2 : Cours à choix enseignés en français ou en allemand* :
- **Biochimie générale / Allgemeine Biochemie** — UE-SBC.00114, 3.5 ECTS, Elective, Biology, program 30 ECTS
  - Section/description hint: Partie 2 : Cours à choix enseignés en français ou en allemand* :
- **Génétique moléculaire humaine / Molekulare Humangenetik** — UE-SBC.00115, 1.5 ECTS, Elective, Biology, program 30 ECTS
  - Section/description hint: Partie 2 : Cours à choix enseignés en français ou en allemand* :
- **Fondements de biochimie / Grundlagen der Biochemie** — UE-SBC.00119, 6 ECTS, Elective, Biology, program 30 ECTS
  - Section/description hint: Partie 2 : Cours à choix enseignés en français ou en allemand* :
- **Yeast Genetics, Cell- and Molecular Biology** — UE-SBC.00125, 1.5 ECTS, Elective, Biology, program 30 ECTS
  - Section/description hint: Partie 2 : Cours à choix enseignés en français ou en allemand* :
- **Introduction to bioinformatics and genomics (course with exercises)** — UE-SBC.07003, 4.5 ECTS, Elective, Biology, program 30 ECTS
  - Section/description hint: Partie 2 : Cours à choix enseignés en français ou en allemand* :
- **Biologie moléculaire / Molekularbiologie** — UE-SBL.00014, 3 ECTS, Elective, Biology, program 30 ECTS
  - Section/description hint: Partie 2 : Cours à choix enseignés en français ou en allemand* :
- **Physiologie animale / Tierphysiologie** — UE-SBL.00015, 3 ECTS, Elective, Biology, program 30 ECTS
  - Section/description hint: Partie 2 : Cours à choix enseignés en français ou en allemand* :
- **Molekularbiologie der Pflanzen** — UE-SBL.00018, 3 ECTS, Elective, Biology, program 30 ECTS
  - Section/description hint: Partie 2 : Cours à choix enseignés en français ou en allemand* :
- **Méthodes de biologie moléculaire / Methoden der Molekularbiologie** — UE-SBL.00019, 3 ECTS, Elective, Biology, program 30 ECTS
  - Section/description hint: Partie 2 : Cours à choix enseignés en français ou en allemand* :
- **Neurobiologie** — UE-SBL.00020, 2 ECTS, Elective, Biology, program 30 ECTS
  - Section/description hint: Partie 2 : Cours à choix enseignés en français ou en allemand* :
- **Evolutionary Biology** — UE-SBL.00021, 3 ECTS, Elective, Biology, program 30 ECTS
  - Section/description hint: Partie 2 : Cours à choix enseignés en français ou en allemand* :
- **Ecologie expérimentale / Experimentelle Ökologie** — UE-SBL.00037, 3 ECTS, Elective, Biology, program 30 ECTS
  - Section/description hint: Partie 2 : Cours à choix enseignés en français ou en allemand* :
- **Population genetics** — UE-SBL.00049, 3 ECTS, Elective, Biology, program 30 ECTS
  - Section/description hint: Partie 2 : Cours à choix enseignés en français ou en allemand* :
- **Biologie du développement** — UE-SBL.00057, 1.5 ECTS, Elective, Biology, program 30 ECTS
  - Section/description hint: Partie 2 : Cours à choix enseignés en français ou en allemand* :
- **Diversité fonctionnelle des microorganismes** — UE-SBL.00061, 1.5 ECTS, Elective, Biology, program 30 ECTS
  - Section/description hint: Partie 2 : Cours à choix enseignés en français ou en allemand* :
- **Bases de bactériologie** — UE-SBL.00063, 1.5 ECTS, Elective, Biology, program 30 ECTS
  - Section/description hint: Partie 2 : Cours à choix enseignés en français ou en allemand* :
- **Phytopathologie et interactions plantes-pathogènes / Phytopathologie und Pflanzen-Pathogen Interaktionen** — UE-SBL.00068, 3 ECTS, Elective, Biology, program 30 ECTS
  - Section/description hint: Partie 2 : Cours à choix enseignés en français ou en allemand* :
- **Métabolisme spécialisé : importance en écologie chimique et en santé humaine** — UE-SBL.00073, 1.5 ECTS, Elective, Biology, program 30 ECTS
  - Section/description hint: Partie 2 : Cours à choix enseignés en français ou en allemand* :
- **Introduction to biostatistics** — UE-SBL.00075, 1.5 ECTS, Elective, Biology, program 30 ECTS
  - Section/description hint: Partie 2 : Cours à choix enseignés en français ou en allemand* :
- **Chimie générale (avec exercices) / Allgemeine Chemie (mit Übungen)** — UE-SCH.01014, 6 ECTS, Elective, Biology, program 30 ECTS
  - Section/description hint: Partie 2 : Cours à choix enseignés en français ou en allemand* :
- **Grundlagen der organischen Chemie / Basic organic chemistry** — UE-SCH.01072, 3 ECTS, Elective, Biology, program 30 ECTS
  - Section/description hint: Partie 2 : Cours à choix enseignés en français ou en allemand* :
- **Philosophie et éthique des sciences** — UE-SFS.00001, 3 ECTS, Elective, Biology, program 30 ECTS
  - Section/description hint: Partie 2 : Cours à choix enseignés en français ou en allemand* :
- **Sciences et société** — UE-SFS.00002, 3 ECTS, Elective, Biology, program 30 ECTS
  - Section/description hint: Partie 2 : Cours à choix enseignés en français ou en allemand* :
- **Physiologie et physiopathologie des grandes régulations, partie I / Physiologie und Pathophysiologie der grossen Regulationssysteme, Teil I** — UE-SPY.00110, 3 ECTS, Elective, Biology, program 30 ECTS
  - Section/description hint: Partie 2 : Cours à choix enseignés en français ou en allemand* :
- **Physiologie et physiopathologie des grandes régulations, partie II / Physiologie und Pathophysiologie der grossen Regulationssysteme, Teil II** — UE-SPY.00111, 3 ECTS, Elective, Biology, program 30 ECTS
  - Section/description hint: Partie 2 : Cours à choix enseignés en français ou en allemand* :
- **Cours de base des sciences de l'environnement: Ecologie / Grundkurs Umweltwissenschaften: Ökologie** — UE-SSE.00101, 3 ECTS, Elective, Biology, program 30 ECTS
  - Section/description hint: Partie 2 : Cours à choix enseignés en français ou en allemand* :
- **Grundkurs Umweltwissenschaften: Umweltethik** — UE-SSE.00104, 3 ECTS, Elective, Biology, program 30 ECTS
  - Section/description hint: Partie 2 : Cours à choix enseignés en français ou en allemand* :
- **Méthodes de biochimie / Methoden in Biochemie / Methods in Biochemistry** — UE-SBC.00009, 1.5 ECTS, Elective, Biology, program 120 ECTS
  - Section/description hint: S emestre d'automne
- **Biochimie pour débutants (travaux pratiques) / Biochemie für Anfänger (Praktikum)** — UE-SBC.00047, 3 ECTS, Elective, Biology, program 120 ECTS
  - Section/description hint: S emestre d'automne
- **Compléments de biologie moléculaire / Ergänzende Molekularbiologie** — UE-SBC.00113, 3 ECTS, Elective, Biology, program 120 ECTS
  - Section/description hint: S emestre d'automne
- **Biochimie générale / Allgemeine Biochemie** — UE-SBC.00114, 3.5 ECTS, Elective, Biology, program 120 ECTS
  - Section/description hint: S emestre d'automne
- **Génétique moléculaire humaine / Molekulare Humangenetik** — UE-SBC.00115, 1.5 ECTS, Elective, Biology, program 120 ECTS
  - Section/description hint: S emestre d'automne
- **Yeast Genetics, Cell- and Molecular Biology** — UE-SBC.00125, 1.5 ECTS, Elective, Biology, program 120 ECTS
  - Section/description hint: S emestre d'automne
- **Introduction to bioinformatics and genomics (course with exercises)** — UE-SBC.07003, 4.5 ECTS, Elective, Biology, program 120 ECTS
  - Section/description hint: S emestre d'automne
- **Advanced bioinformatics and genomics** — UE-SBC.07005, 2.5 ECTS, Elective, Biology, program 120 ECTS
  - Section/description hint: S emestre d'automne
- **Philosophie et éthique des sciences** — UE-SFS.00001, 3 ECTS, Elective, Biology, program 120 ECTS
  - Section/description hint: S emestre d'automne
- **Sciences et société** — UE-SFS.00002, 3 ECTS, Elective, Biology, program 120 ECTS
  - Section/description hint: S emestre d'automne
- **Actualités de la médecine régénérative / Aktuelles zur regenerativen Medizin** — UE-SME.04300, 1 ECTS, Elective, Biology, program 120 ECTS
  - Section/description hint: S emestre d'automne
- **Immunologie I** — UE-SME.05305, 1.5 ECTS, Elective, Biology, program 120 ECTS
  - Section/description hint: S emestre d'automne
- **Microbiologie clinique spécialisée** — UE-SME.06104, 2.5 ECTS, Elective, Biology, program 120 ECTS
  - Section/description hint: S emestre d'automne
- **Microbiologie (travaux pratiques)** — UE-SME.06309, 1 ECTS, Elective, Biology, program 120 ECTS
  - Section/description hint: S emestre d'automne
- **Immunologie II / Immunology II** — UE-SME.06312, 2 ECTS, Elective, Biology, program 120 ECTS
  - Section/description hint: S emestre d'automne
- **Anatomie fonctionnelle des systèmes du corps humain / Funktionelle Anatomie der menschlichen Körpersysteme** — UE-SMO.00007, 3 ECTS, Elective, Biology, program 120 ECTS
  - Section/description hint: S emestre d'automne
- **Neuroanatomie humaine fonctionnelle / Funktionelle Neuroanatomie des Menschen** — UE-SMO.00008, 3 ECTS, Elective, Biology, program 120 ECTS
  - Section/description hint: S emestre d'automne
- **Anatomie descriptive / Deskriptive Anatomie** — UE-SMO.00630, 3 ECTS, Elective, Biology, program 120 ECTS
  - Section/description hint: S emestre d'automne
- **Neuroanatomie (travaux pratiques) / Neuroanatomie (Praktikum)** — UE-SMO.04002, 1.5 ECTS, Elective, Biology, program 120 ECTS
  - Section/description hint: S emestre d'automne
- **Physiologie et physiopathologie des grandes régulations, partie I / Physiologie und Pathophysiologie der grossen Regulationssysteme, Teil I** — UE-SPY.00110, 3 ECTS, Elective, Biology, program 120 ECTS
  - Section/description hint: S emestre d'automne
- **Physiologie et physiopathologie des grandes régulations, partie II / Physiologie und Pathophysiologie der grossen Regulationssysteme, Teil II** — UE-SPY.00111, 3 ECTS, Elective, Biology, program 120 ECTS
  - Section/description hint: S emestre d'automne
- **Neurobiologie I (deutsch)** — UE-SPY.01001, 3 ECTS, Elective, Biology, program 120 ECTS
  - Section/description hint: S emestre d'automne
- **Neurobiologie II (deutsch)** — UE-SPY.02001, 3 ECTS, Elective, Biology, program 120 ECTS
  - Section/description hint: S emestre d'automne
- **Neurobiologie II (français)** — UE-SPY.02011, 3 ECTS, Elective, Biology, program 120 ECTS
  - Section/description hint: S emestre d'automne
- **Cours de base des sciences de l'environnement: Ecologie / Grundkurs Umweltwissenschaften: Ökologie** — UE-SSE.00101, 3 ECTS, Elective, Biology, program 120 ECTS
  - Section/description hint: Semestre d'automne
- **Cours de base des sciences de l'environnement: Economie et droit de l'environnement / Grundkurs Umweltwissenschaften: Umweltökonomie und -Recht** — UE-SSE.00102, 3 ECTS, Elective, Biology, program 120 ECTS
  - Section/description hint: Semestre d'automne
- **Environnement et habitat : une approche anthropologique** — UE-SSE.00130, 3 ECTS, Elective, Biology, program 120 ECTS
  - Section/description hint: Semestre d'automne
- **Les enjeux du développement durable II / Brennpunkte nachhaltiger Entwick</t>
        </is>
      </c>
      <c r="AR53" s="11" t="n"/>
    </row>
    <row r="54">
      <c r="A54" s="11" t="n">
        <v>53</v>
      </c>
      <c r="B54" s="11" t="inlineStr">
        <is>
          <t>multilingual</t>
        </is>
      </c>
      <c r="C54" s="11" t="inlineStr">
        <is>
          <t>medium</t>
        </is>
      </c>
      <c r="D54" s="11" t="inlineStr">
        <is>
          <t>EN</t>
        </is>
      </c>
      <c r="E54" s="11" t="inlineStr">
        <is>
          <t>What courses are Pflichtkurse in Theological Studies?</t>
        </is>
      </c>
      <c r="F54" s="11" t="inlineStr">
        <is>
          <t>Same factual answer as the equivalent English/German/French query; response language should match or be appropriate.</t>
        </is>
      </c>
      <c r="G54" s="11" t="inlineStr">
        <is>
          <t>Mixed</t>
        </is>
      </c>
      <c r="H54" s="11" t="inlineStr">
        <is>
          <t>API first, RAG fallback</t>
        </is>
      </c>
      <c r="I54" s="11" t="inlineStr">
        <is>
          <t>DB or PDF source</t>
        </is>
      </c>
      <c r="J54" s="11" t="inlineStr">
        <is>
          <t>mandatory courses</t>
        </is>
      </c>
      <c r="K54" s="11" t="inlineStr">
        <is>
          <t>Tests multilingual query understanding and response language consistency.</t>
        </is>
      </c>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inlineStr">
        <is>
          <t>2026-05-25T01:18:59</t>
        </is>
      </c>
      <c r="AI54" s="11" t="n">
        <v>200</v>
      </c>
      <c r="AJ54" s="11" t="b">
        <v>1</v>
      </c>
      <c r="AK54" s="11" t="n">
        <v>207.02</v>
      </c>
      <c r="AL54" s="11" t="n">
        <v>192.6</v>
      </c>
      <c r="AM54" s="11" t="n"/>
      <c r="AN54" s="11" t="n">
        <v>191.54</v>
      </c>
      <c r="AO54" s="11" t="inlineStr">
        <is>
          <t>get_program_courses_by_metadata</t>
        </is>
      </c>
      <c r="AP54" s="11" t="n">
        <v>0</v>
      </c>
      <c r="AQ54" s="11" t="inlineStr">
        <is>
          <t>Found 500 result(s):
- **Corporate governance** — UE-EGE.00016, 4.5 ECTS, Mandatory, Accounting and Finance, program 120 ECTS
  - Section/description hint: Kernkurse
- **Advanced Group Accounting** — UE-EGE.00068, 4.5 ECTS, Mandatory, Accounting and Finance, program 120 ECTS
  - Section/description hint: Pflichtkurse
- **Management control systems** — UE-EGE.00113, 4.5 ECTS, Mandatory, Accounting and Finance, program 120 ECTS
  - Section/description hint: Pflichtkurse
- **International Accounting Standards** — UE-EGE.00119, 4.5 ECTS, Mandatory, Accounting and Finance, program 120 ECTS
  - Section/description hint: Pflichtkurse
- **Biomolécules et métabolisme / Biomoleküle und Stoffwechsel** — UE-SBC.02104, 6 ECTS, Mandatory, Biochemistry, program 120 ECTS
  - Section/description hint: 4 Modalités d'évaluation
- **Biochimie (travaux pratiques) / Biochemie (Praktikum)** — UE-SBC.03303, 2.5 ECTS, Mandatory, Biochemistry, program 120 ECTS
  - Section/description hint: 4 Modalités d'évaluation
- **Eukaryotic cell growth control** — UE-SBC.04202, 1.5 ECTS, Mandatory, Biochemistry, program 120 ECTS
  - Section/description hint: 4 Modalités d'évaluation
- **Genotyping (practical course)** — UE-SBC.04203, 2.5 ECTS, Mandatory, Biochemistry, program 120 ECTS
  - Section/description hint: 4 Modalités d'évaluation
- **Médecine moléculaire / Molekularmedizin** — UE-SBC.04503, 2 ECTS, Mandatory, Biochemistry, program 120 ECTS
  - Section/description hint: 4 Modalités d'évaluation
- **Introduction to protein structure and protein homology modelling** — UE-SBC.07104, 1.5 ECTS, Mandatory, Biochemistry, program 120 ECTS
  - Section/description hint: 4 Modalités d'évaluation
- **Introduction to docking of small molecules to large macromolecules and molecular graphics** — UE-SBC.07105, 1.5 ECTS, Mandatory, Biochemistry, program 120 ECTS
  - Section/description hint: 4 Modalités d'évaluation
- **Master thesis** — UE-SBC.07500, 30 ECTS, Mandatory, Biochemistry, program 120 ECTS
  - Section/description hint: 4 Modalités d'évaluation
- **Compléments de biologie moléculaire / Ergänzende Molekularbiologie** — UE-SBC.00113, 3 ECTS, Mandatory, Biochemistry, program 120 ECTS
  - Section/description hint: Biochimie obligatoire
- **Biochimie générale / Allgemeine Biochemie** — UE-SBC.00114, 3.5 ECTS, Mandatory, Biochemistry, program 120 ECTS
  - Section/description hint: Biochimie obligatoire
- **Fondements de biochimie / Grundlagen der Biochemie** — UE-SBC.00119, 6 ECTS, Mandatory, Biochemistry, program 120 ECTS
  - Section/description hint: Biochimie obligatoire
- **Problem solving en chimie générale / Problem Solving in der allgemeinen Chemie** — UE-SCH.01033, 2 ECTS, Mandatory, Biochemistry, program 120 ECTS
  - Section/description hint: Branches propédeutiques générales
- **Biologie générale I (cours) / Allgemeine Biologie I (Vorlesung)** — UE-SBL.00001, 5 ECTS, Mandatory, Biochemistry, program 120 ECTS
  - Section/description hint: Branches propédeutiques obligatoires
- **Biologie générale I (travaux pratiques) / Allgemeine Biologie I (Praktikum)** — UE-SBL.00003, 1 ECTS, Mandatory, Biochemistry, program 120 ECTS
  - Section/description hint: Branches propédeutiques obligatoires
- **Chimie générale (avec exercices) / Allgemeine Chemie (mit Übungen)** — UE-SCH.01014, 6 ECTS, Mandatory, Biochemistry, program 120 ECTS
  - Section/description hint: Branches propédeutiques obligatoires
- **Chimie générale (travaux pratiques)** — UE-SCH.01024, 3 ECTS, Mandatory, Biochemistry, program 120 ECTS
  - Section/description hint: Branches propédeutiques obligatoires
- **Chimie analytique** — UE-SCH.01054, 3 ECTS, Mandatory, Biochemistry, program 120 ECTS
  - Section/description hint: Branches propédeutiques obligatoires
- **Chimie des éléments / Chemie der Elemente** — UE-SCH.01067, 3 ECTS, Mandatory, Biochemistry, program 120 ECTS
  - Section/description hint: Branches propédeutiques obligatoires
- **Grundlagen der organischen Chemie / Basic organic chemistry** — UE-SCH.01072, 3 ECTS, Mandatory, Biochemistry, program 120 ECTS
  - Section/description hint: Branches propédeutiques obligatoires
- **Thermodynamique classique (avec exercices)** — UE-SCH.02312, 3 ECTS, Mandatory, Biochemistry, program 120 ECTS
  - Section/description hint: Choix obligatoire de 6 ECTS de chimie parmi les Unités d'enseignement suivantes :
- **Caractéristique photophysiques de la matière (cours avec exercices)** — UE-SCH.03219, 3 ECTS, Mandatory, Biochemistry, program 120 ECTS
  - Section/description hint: Choix obligatoire de 6 ECTS de chimie parmi les Unités d'enseignement suivantes :
- **Cancer immunology** — UE-SBL.10014, 1 ECTS, Mandatory, Biochemistry, program 120 ECTS
  - Section/description hint: UEs au niveau BSc et MSc :
- **Cinétique (pour Biochimistes) / Kinetik (für Biochemiker )** — UE-SCH.02339, 3 ECTS, Mandatory, Biochemistry, program 120 ECTS
  - Section/description hint: UEs obligatoires
- **Metagenomics data analysis** — UE-SBL.00425, 1 ECTS, Mandatory, Bioinformatics and Computational Biology, program 120 ECTS
  - Section/description hint: Module 'Genomics'
- **Classical models in biology (lecture)** — UE-SBL.06002, 3 ECTS, Mandatory, Bioinformatics and Computational Biology, program 120 ECTS
  - Section/description hint: Module 'Genomics'
- **Classical models in biology (exercises)** — UE-SBL.06003, 1 ECTS, Mandatory, Bioinformatics and Computational Biology, program 120 ECTS
  - Section/description hint: Module 'Genomics'
- **Evolutionary genomics** — UE-SBL.20034, 3 ECTS, Mandatory, Bioinformatics and Computational Biology, program 120 ECTS
  - Section/description hint: Module 'Genomics'
- **Organization and annotation of eukaryote genomes** — UE-SBL.30004, 3 ECTS, Mandatory, Bioinformatics and Computational Biology, program 120 ECTS
  - Section/description hint: Module 'Genomics'
- **Machine learning** — UE-SBL.30002, 5 ECTS, Mandatory, Bioinformatics and Computational Biology, program 120 ECTS
  - Section/description hint: Module 'Statistics'
- **Modèles stochastiques en bioinformatique / Stochastic models in bioinformatics** — UE-SMA.07010, 3 ECTS, Mandatory, Bioinformatics and Computational Biology, program 120 ECTS
  - Section/description hint: Module 'Statistics'
- **Experimental genetics** — UE-SBL.00114, 1 ECTS, Mandatory, Biology, program 30 ECTS
  - Section/description hint: 2.6.1 Description et objectif
- **The RNA world** — UE-SBL.00115, 1.5 ECTS, Mandatory, Biology, program 30 ECTS
  - Section/description hint: 2.6.1 Description et objectif
- **Neurogenetics** — UE-SBL.00117, 3 ECTS, Mandatory, Biology, program 30 ECTS
  - Section/description hint: 2.6.1 Description et objectif
- **Molecular genetics of model organism development** — UE-SBL.00119, 3 ECTS, Mandatory, Biology, program 30 ECTS
  - Section/description hint: 2.6.1 Description et objectif
- **Nuclear organization and chromatin dynamics** — UE-SBL.00130, 1 ECTS, Mandatory, Biology, program 30 ECTS
  - Section/description hint: 2.6.1 Description et objectif
- **Symbiosis: how plants and microbes communicate** — UE-SBL.00307, 1.5 ECTS, Mandatory, Biology, program 30 ECTS
  - Section/description hint: 2.6.1 Description et objectif
- **Plant development: the life of a sessile organism** — UE-SBL.00308, 1.5 ECTS, Mandatory, Biology, program 30 ECTS
  - Section/description hint: 2.6.1 Description et objectif
- **Plant biotechnology** — UE-SBL.00323, 3 ECTS, Mandatory, Biology, program 30 ECTS
  - Section/description hint: 2.6.1 Description et objectif
- **Cell fate and tissue regeneration** — UE-SBL.00414, 1 ECTS, Mandatory, Biology, program 30 ECTS
  - Section/description hint: 2.6.1 Description et objectif
- **Cell proliferation** — UE-SBL.00415, 1 ECTS, Mandatory, Biology, program 30 ECTS
  - Section/description hint: 2.6.1 Description et objectif
- **Biological rhythms** — UE-SBL.00416, 1 ECTS, Mandatory, Biology, program 30 ECTS
  - Section/description hint: 2.6.1 Description et objectif
- **Microbial metabolism and genetics** — UE-SBL.00418, 1 ECTS, Mandatory, Biology, program 30 ECTS
  - Section/description hint: 2.6.1 Description et objectif
- **Oceanography and Marine Ecosystems** — UE-SBL.00421, 1 ECTS, Mandatory, Biology, program 30 ECTS
  - Section/description hint: 2.6.1 Description et objectif
- **Introduction to microscopy** — UE-SBL.00503, 1 ECTS, Mandatory, Biology, program 30 ECTS
  - Section/description hint: 2.6.1 Description et objectif
- **Polar biology** — UE-SBL.10007, 1 ECTS, Mandatory, Biology, program 30 ECTS
  - Section/description hint: 2.6.1 Description et objectif
- **Cancer immunology** — UE-SBL.10014, 1 ECTS, Mandatory, Biology, program 30 ECTS
  - Section/description hint: 2.6.1 Description et objectif
- **Community ecology** — UE-SBL.20031, 3 ECTS, Mandatory, Biology, program 30 ECTS
  - Section/description hint: 2.6.1 Description et objectif
- **Population and evolutionary dynamics** — UE-SBL.20032, 3 ECTS, Mandatory, Biology, program 30 ECTS
  - Section/description hint: 2.6.1 Description et objectif
- **Structure and functions of host-associated microbiota** — UE-SBL.20035, 3 ECTS, Mandatory, Biology, program 30 ECTS
  - Section/description hint: 2.6.1 Description et objectif
- **Invasion biology** — UE-SBL.20037, 3 ECTS, Mandatory, Biology, program 30 ECTS
  - Section/description hint: 2.6.1 Description et objectif
- **Hormones et développement des plantes / Hormone und Entwicklung der Pflanzen** — UE-SBL.00045, 3 ECTS, Mandatory, Biology, program 30 ECTS
  - Section/description hint: 2.6.4 Prérequis pour la fréquentation des unités d ' enseignement de la BCo+30
- **Concepts généraux pour les enseignant.e.s en biologie / Allgemeine Konzepte für Biologielehrer_Innen / General concepts for biology teachers** — UE-SBL.00502, 1 ECTS, Mandatory, Biology, program 30 ECTS
  - Section/description hint: UE obligatoire
- **Chimie générale (avec exercices) / Allgemeine Chemie (mit Übungen)** — UE-SCH.01014, 6 ECTS, Mandatory, Biology, program 120 ECTS
  - Section/description hint: 1 ou 2 année : Mathématiques et chimie (obligatoire)
- **Grundlagen der organischen Chemie / Basic organic chemistry** — UE-SCH.01072, 3 ECTS, Mandatory, Biology, program 120 ECTS
  - Section/description hint: 1 ou 2 année : Mathématiques et chimie (obligatoire)
- **Statistique propédeutique (cours avec exercices)** — UE-SMA.00402, 3 ECTS, Mandatory, Biology, program 120 ECTS
  - Section/description hint: 1 ou 2 année : Mathématiques et chimie (obligatoire)
- **Biologie générale I (cours) / Allgemeine Biologie I (Vorlesung)** — UE-SBL.00001, 5 ECTS, Mandatory, Biology, program 120 ECTS
  - Section/description hint: 4 Modalités d'évaluation
- **Biologie générale II (cours) / Allgemeine Biologie II (Vorlesung)** — UE-SBL.00002, 5 ECTS, Mandatory, Biology, program 120 ECTS
  - Section/description hint: 4 Modalités d'évaluation
- **Biologie générale I (travaux pratiques) / Allgemeine Biologie I (Praktikum)** — UE-SBL.00003, 1 ECTS, Mandatory, Biology, program 120 ECTS
  - Section/description hint: 4 Modalités d'évaluation
- **Biologie générale II (travaux pratiques) / Allgemeine Biologie II (Praktikum)** — UE-SBL.00004, 1 ECTS, Mandatory, Biology, program 120 ECTS
  - Section/description hint: 4 Modalités d'évaluation
- **Ecologie / Ökologie** — UE-SBL.00013, 4 ECTS, Mandatory, Biology, program 120 ECTS
  - Section/description hint: 4 Modalités d'évaluation
- **Biologie moléculaire / Molekularbiologie** — UE-SBL.00014, 3 ECTS, Mandatory, Biology, program 120 ECTS
  - Section/description hint: 4 Modalités d'évaluation
- **Physiologie animale / Tierphysiologie** — UE-SBL.00015, 3 ECTS, Mandatory, Biology, program 120 ECTS
  - Section/description hint: 4 Modalités d'évaluation
- **Molekularbiologie der Pflanzen** — UE-SBL.00018, 3 ECTS, Mandatory, Biology, program 120 ECTS
  - Section/description hint: 4 Modalités d'évaluation
- **Méthodes de biologie moléculaire / Methoden der Molekularbiologie** — UE-SBL.00019, 3 ECTS, Mandatory, Biology, program 120 ECTS
  - Section/description hint: 4 Modalités d'évaluation
- **Neurobiologie** — UE-SBL.00020, 2 ECTS, Mandatory, Biology, program 120 ECTS
  - Section/description hint: 4 Modalités d'évaluation
- **Evolutionary Biology** — UE-SBL.00021, 3 ECTS, Mandatory, Biology, program 120 ECTS
  - Section/description hint: 4 Modalités d'évaluation
- **Travail de Bachelor (projet de recherche) / Bachelorarbeit (Forschungsprojekt) / Bachelor work (research project)** — UE-SBL.00031, 13 ECTS, Mandatory, Biology, program 120 ECTS
  - Section/description hint: 4 Modalités d'évaluation
- **Ecologie expérimentale / Experimentelle Ökologie** — UE-SBL.00037, 3 ECTS, Mandatory, Biology, program 120 ECTS
  - Section/description hint: 4 Modalités d'évaluation
- **Biologie des organismes I: Vertébrés** — UE-SBL.00040, 3 ECTS, Mandatory, Biology, program 120 ECTS
  - Section/description hint: 4 Modalités d'évaluation
- **Organismenbiologie II: Wirbellose Tiere** — UE-SBL.00041, 3 ECTS, Mandatory, Biology, program 120 ECTS
  - Section/description hint: 4 Modalités d'évaluation
- **Hormones et développement des plantes / Hormone und Entwicklung der Pflanzen** — UE-SBL.00045, 3 ECTS, Mandatory, Biology, program 120 ECTS
  - Section/description hint: 4 Modalités d'évaluation
- **Population genetics** — UE-SBL.00049, 3 ECTS, Mandatory, Biology, program 120 ECTS
  - Section/description hint: 4 Modalités d'évaluation
- **Physiologie et biologie cellulaire (travaux pratiques) / Physiologie und Zellbiologie (Praktikum)** — UE-SBL.00055, 1 ECTS, Mandatory, Biology, program 120 ECTS
  - Section/description hint: 4 Modalités d'évaluation
- **Biologie du développement** — UE-SBL.00057, 1.5 ECTS, Mandatory, Biology, program 120 ECTS
  - Section/description hint: 4 Modalités d'évaluation
- **Mécanismes de régénération / Mechanismen der Regeneration / Mechanisms of regeneration** — UE-SBL.00058, 1 ECTS, Mandatory, Biology, program 120 ECTS
  - Section/description hint: 4 Modalités d'évaluation
- **Diversité fonctionnelle des microorganismes** — UE-SBL.00061, 1.5 ECTS, Mandatory, Biology, program 120 ECTS
  - Section/description hint: 4 Modalités d'évaluation
- **Meeresbiologie (Workshop)** — UE-SBL.00062, 3 ECTS, Mandatory, Biology, program 120 ECTS
  - Section/description hint: 4 Modalités d'évaluation
- **Bases de bactériologie** — UE-SBL.00063, 1.5 ECTS, Mandatory, Biology, program 120 ECTS
  - Section/description hint: 4 Modalités d'évaluation
- **Canaux ioniques: fonctions et dysfonctions** — UE-SBL.00064, 1 ECTS, Mandatory, Biology, program 120 ECTS
  - Section/description hint: 4 Modalités d'évaluation
- **Travaux pratiques de biologie moléculaire / Praktikum Molekularbiologie** — UE-SBL.00065, 1 ECTS, Mandatory, Biology, program 120 ECTS
  - Section/description hint: 4 Modalités d'évaluation
- **Molekular- und Zellbiologie der Pflanzen (Praktikum)** — UE-SBL.00066, 1 ECTS, Mandatory, Biology, program 120 ECTS
  - Section/description hint: 4 Modalités d'évaluation
- **Gewebestammzellen und das Zytoskelett** — UE-SBL.00067, 1 ECTS, Mandatory, Biology, program 120 ECTS
  - Section/description hint: 4 Modalités d'évaluation
- **Phytopathologie et interactions plantes-pathogènes / Phytopathologie und Pflanzen-Pathogen Interaktionen** — UE-SBL.00068, 3 ECTS, Mandatory, Biology, program 120 ECTS
  - Section/description hint: 4 Modalités d'évaluation
- **Nutzpflanzen der Welt** — UE-SBL.00069, 3 ECTS, Mandatory, Biology, program 120 ECTS
  - Section/description hint: 4 Modalités d'évaluation
- **Research internship** — UE-SBL.00070, 3 ECTS, Mandatory, Biology, program 120 ECTS
  - Section/description hint: 4 Modalités d'évaluation
- **Métabolisme spécialisé : importance en écologie chimique et en santé humaine** — UE-SBL.00073, 1.5 ECTS, Mandatory, Biology, program 120 ECTS
  - Section/description hint: 4 Modalités d'évaluation
- **Biologie des organismes III: Champignons et plantes (cours et travaux pratiques / excursions) / Organismenbiologie III: Pilze und Pflanzen (Vorlesung und Praktikum / Exkursionen)** — UE-SBL.00074, 5 ECTS, Mandatory, Biology, program 120 ECTS
  - Section/description hint: 4 Modalités d'évaluation
- **Introduction to biostatistics** — UE-SBL.00075, 1.5 ECTS, Mandatory, Biology, program 120 ECTS
  - Section/description hint: 4 Modalités d'évaluation
- **Experimental genetics** — UE-SBL.00114, 1 ECTS, Mandatory, Biology, program 120 ECTS
  - Section/description hint: 4 Modalités d'évaluation
- **The RNA world** — UE-SBL.00115, 1.5 ECTS, Mandatory, Biology, program 120 ECTS
  - Section/description hint: 4 Modalités d'évaluation
- **Neurogenetics** — UE-SBL.00117, 3 ECTS, Mandatory, Biology, program 120 ECTS
  - Section/description hint: 4 Modalités d'évaluation
- **BENEFRI workshop "Frontiers in neurosciences"** — UE-SBL.00118, 1.5 ECTS, Mandatory, Biology, program 120 ECTS
  - Section/description hint: 4 Modalités d'évaluation
- **Molecular genetics of model organism development** — UE-SBL.00119, 3 ECTS, Mandatory, Biology, program 120 ECTS
  - Section/description hint: 4 Modalités d'évaluation
- **Cellular and genetic networks (BeFri)** — UE-SBL.00123, 3 ECTS, Mandatory, Biology, program 120 ECTS
  - Section/description hint: 4 Modalités d'évaluation
- **Light and fluorescence microscopy for Life Sciences** — UE-SBL.00125, 3 ECTS, Mandatory, Biology, program 120 ECTS
  - Section/description hint: 4 Modalités d'évaluation
- **Established and emerging organisms for marine science** — UE-SBL.00126, 6 ECTS, Mandatory, Biology, program 120 ECTS
  - Section/description hint: 4 Modalités d'évaluation
- **BeFri research colloquium in cell and developmental biology I** — UE-SBL.00127, 1.5 ECTS, Mandatory, Biology, program 120 ECTS
  - Section/description hint: 4 Modalités d'évaluation
- **BeFri research colloquium in cell and developmental biology II** — UE-SBL.00128, 1.5 ECTS, Mandatory, Biology, program 120 ECTS
  - Section/description hint: 4 Modalités d'évaluation
- **BeFri research retreat in cell and developmental biology** — UE-SBL.00129, 1 ECTS, Mandatory, Biology, program 120 ECTS
  - Section/description hint: 4 Modalités d'évaluation
- **Nuclear organization and chromatin dynamics** — UE-SBL.00130, 1 ECTS, Mandatory, Biology, program 120 ECTS
  - Section/description hint: 4 Modalités d'évaluation
- **Ecological field course** — UE-SBL.00205, 5 ECTS, Mandatory, Biology, program 120 ECTS
  - Section/description hint: 4 Modalités d'évaluation
- **Symbiosis: how plants and microbes communicate** — UE-SBL.00307, 1.5 ECTS, Mandatory, Biology, program 120 ECTS
  - Section/description hint: 4 Modalités d'évaluation
- **Plant development: the life of a sessile organism** — UE-SBL.00308, 1.5 ECTS, Mandatory, Biology, program 120 ECTS
  - Section/description hint: 4 Modalités d'évaluation
- **Plant biotechnology** — UE-SBL.00323, 3 ECTS, Mandatory, Biology, program 120 ECTS
  - Section/description hint: 4 Modalités d'évaluation
- **Scientific writing** — UE-SBL.00410, 3 ECTS, Mandatory, Biology, program 120 ECTS
  - Section/description hint: 4 Modalités d'évaluation
- **Signalling and transport** — UE-SBL.00411, 1 ECTS, Mandatory, Biology, program 120 ECTS
  - Section/description hint: 4 Modalités d'évaluation
- **Introduction to protein structure and function** — UE-SBL.00412, 1 ECTS, Mandatory, Biology, program 120 ECTS
  - Section/description hint: 4 Modalités d'évaluation
- **Cell fate and tissue regeneration** — UE-SBL.00414, 1 ECTS, Mandatory, Biology, program 120 ECTS
  - Section/description hint: 4 Modalités d'évaluation
- **Cell proliferation** — UE-SBL.00415, 1 ECTS, Mandatory, Biology, program 120 ECTS
  - Section/description hint: 4 Modalités d'évaluation
- **Biological rhythms** — UE-SBL.00416, 1 ECTS, Mandatory, Biology, program 120 ECTS
  - Section/description hint: 4 Modalités d'évaluation
- **Microbial metabolism and genetics** — UE-SBL.00418, 1 ECTS, Mandatory, Biology, program 120 ECTS
  - Section/description hint: 4 Modalités d'évaluation
- **Advanced imaging** — UE-SBL.00419, 1 ECTS, Mandatory, Biology, program 120 ECTS
  - Section/description hint: 4 Modalités d'évaluation
- **Career profiling in life sciences** — UE-SBL.00420, 1 ECTS, Mandatory, Biology, program 120 ECTS
  - Section/description hint: 4 Modalités d'évaluation
- **Oceanography and Marine Ecosystems** — UE-SBL.00421, 1 ECTS, Mandatory, Biology, program 120 ECTS
  - Section/description hint: 4 Modalités d'évaluation
- **Metagenomics data analysis** — UE-SBL.00425, 1 ECTS, Mandatory, Biology, program 120 ECTS
  - Section/description hint: 4 Modalités d'évaluation
- **Visual communication of data** — UE-SBL.00427, 1 ECTS, Mandatory, Biology, program 120 ECTS
  - Section/description hint: 4 Modalités d'évaluation
- **Optogenetics and photopharmacology** — UE-SBL.00428, 1 ECTS, Mandatory, Biology, program 120 ECTS
  - Section/description hint: 4 Modalités d'évaluation
- **Animal models of regeneration** — UE-SBL.00429, 2 ECTS, Mandatory, Biology, program 120 ECTS
  - Section/description hint: 4 Modalités d'évaluation
- **Seminars in biology** — UE-SBL.00431, 2 ECTS, Mandatory, Biology, program 120 ECTS
  - Section/description hint: 4 Modalités d'évaluation
- **Seminars in biology** — UE-SBL.00432, 1.5 ECTS, Mandatory, Biology, program 120 ECTS
  - Section/description hint: 4 Modalités d'évaluation
- **Introduction to mass spectrometry and proteomics** — UE-SBL.00451, 1 ECTS, Mandatory, Biology, program 120 ECTS
  - Section/description hint: 4 Modalités d'évaluation
- **Protéomique quantitative avancée / Quantitative Proteomik für Fortgeschrittene / Advanced quantitative proteomics** — UE-SBL.00452, 1 ECTS, Mandatory, Biology, program 120 ECTS
  - Section/description hint: 4 Modalités d'évaluation
- **Protein homeostasis: translation, quality control, degradation** — UE-SBL.00453, 1 ECTS, Mandatory, Biology, program 120 ECTS
  - Section/description hint: 4 Modalités d'évaluation
- **Concepts généraux pour les enseignant.e.s en biologie / Allgemeine Konzepte für Biologielehrer_Innen / General concepts for biology teachers** — UE-SBL.00502, 1 ECTS, Mandatory, Biology, program 120 ECTS
  - Section/description hint: 4 Modalités d'évaluation
- **Introduction to microscopy** — UE-SBL.00503, 1 ECTS, Mandatory, Biology, program 120 ECTS
  - Section/description hint: 4 Modalités d'évaluation
- **Fondements de génétique / Grundlagen der Genetik** — UE-SBL.01500, 3 ECTS, Mandatory, Biology, program 120 ECTS
  - Section/description hint: 4 Modalités d'évaluation
- **Biologie de la cellule / Zellbiologie** — UE-SBL.01501, 4 ECTS, Mandatory, Biology, program 120 ECTS
  - Section/description hint: 4 Modalités d'évaluation
- **Master thesis (3 semesters)** — UE-SBL.05001, 60 ECTS, Mandatory, Biology, program 120 ECTS
  - Section/description hint: 4 Modalités d'évaluation
- **Master thesis (2 semesters)** — UE-SBL.05002, 45 ECTS, Mandatory, Biology, program 120 ECTS
  - Section/description hint: 4 Modalités d'évaluation
- **Classical models in biology (lecture)** — UE-SBL.06002, 3 ECTS, Mandatory, Biology, program 120 ECTS
  - Section/description hint: 4 Modalités d'évaluation
- **Classical models in biology (exercises)** — UE-SBL.06003, 1 ECTS, Mandatory, Biology, program 120 ECTS
  - Section/description hint: 4 Modalités d'évaluation
- **Modelling human diseases in experimental genetic systems** — UE-SBL.10001, 2 ECTS, Mandatory, Biology, program 120 ECTS
  - Section/description hint: 4 Modalités d'évaluation
- **From bench to bedside** — UE-SBL.10002, 0.5 ECTS, Mandatory, Biology, program 120 ECTS
  - Section/description hint: 4 Modalités d'évaluation
- **Health-related topics in developmental biology** — UE-SBL.10003, 2 ECTS, Mandatory, Biology, program 120 ECTS
  - Section/description hint: 4 Modalités d'évaluation
- **Ethics in stem cell research** — UE-SBL.10004, 1 ECTS, Mandatory, Biology, program 120 ECTS
  - Section/description hint: 4 Modalités d'évaluation
- **Polar biology** — UE-SBL.10007, 1 ECTS, Mandatory, Biology, program 120 ECTS
  - Section/description hint: 4 Modalités d'évaluation
- **Omics approaches in marine sciences** — UE-SBL.10008, 1 ECTS, Mandatory, Biology, program 120 ECTS
  - Section/description hint: 4 Modalités d'évaluation
- **Advanced marine biology practical course** — UE-SBL.10009, 4 ECTS, Mandatory, Biology, program 120 ECTS
  - Section/description hint: 4 Modalités d'évaluation
- **Structure, function and diseases of lipid metabolism** — UE-SBL.10011, 1 ECTS, Mandatory, Biology, program 120 ECTS
  - Section/description hint: 4 Modalités d'évaluation
- **Zebrafish License Course, practical part** — UE-SBL.10013, 1 ECTS, Mandatory, Biology, program 120 ECTS
  - Section/description hint: 4 Modalités d'évaluation
- **Cancer immunology** — UE-SBL.10014, 1 ECTS, Mandatory, Biology, program 120 ECTS
  - Section/description hint: 4 Modalités d'évaluation
- **Journal club in molecular life sciences** — UE-SBL.10100, 3 ECTS, Mandatory, Biology, program 120 ECTS
  - Section/description hint: 4 Modalités d'évaluation
- **Journal club in molecular life sciences** — UE-SBL.10102, 2 ECTS, Mandatory, Biology, program 120 ECTS
  - Section/description hint: 4 Modalités d'évaluation
- **Research group meetings in molecular life sciences** — UE-SBL.10103, 3 ECTS, Mandatory, Biology, program 120 ECTS
  - Section/description hint: 4 Modalités d'évaluation
- **Research group meetings in molecular life sciences** — UE-SBL.10104, 2 ECTS, Mandatory, Biology, program 120 ECTS
  - Section/description hint: 4 Modalités d'évaluation
- **Research seminars in molecular life sciences** — UE-SBL.10105, 3 ECTS, Mandatory, Biology, program 120 ECTS
  - Section/description hint: 4 Modalités d'évaluation
- **Biostatistics II - multivariate analysis** — UE-SBL.20002, 3 ECTS, Mandatory, Biology, program 120 ECTS
  - Section/description hint: 4 Modalités d'évaluation
- **Methods in plant pathogen interactions** — UE-SBL.20003, 4 ECTS, Mandatory, Biology, program 120 ECTS
  - Section/description hint: 4 Modalités d'évaluation
- **Introduction to metabolomics: data acquisition and processing** — UE-SBL.20004, 2 ECTS, Mandatory, Biology, program 120 ECTS
  - Section/description hint: 4 Modalités d'évaluation
- **Critical reading** — UE-SBL.20005, 3 ECTS, Mandatory, Biology, program 120 ECTS
  - Section/description hint: 4 Modalités d'évaluation
- **Community ecology** — UE-SBL.20031, 3 ECTS, Mandatory, Biology, program 120 ECTS
  - Section/description hint: 4 Modalités d'évaluation
- **Population and evolutionary dynamics** — UE-SBL.20032, 3 ECTS, Mandatory, Biology, program 120 ECTS
  - Section/description hint: 4 Modalités d'évaluation
- **Evolutionary genomics** — UE-SBL.20034, 3 ECTS, Mandatory, Biology, program 120 ECTS
  - Section/description hint: 4 Modalités d'évaluation
- **Structure and functions of host-associated microbiota** — UE-SBL.20035, 3 ECTS, Mandatory, Biology, program 120 ECTS
  - Section/description hint: 4 Modalités d'évaluation
- **Invasion biology** — UE-SBL.20037, 3 ECTS, Mandatory, Biology, program 120 ECTS
  - Section/description hint: 4 Modalités d'évaluation
- **Research internship** — UE-SBL.20038, 4 ECTS, Mandatory, Biology, program 120 ECTS
  - Section/description hint: 4 Modalités d'évaluation
- **Research seminars in environmental biology (4 sem.)** — UE-SBL.20081, 5 ECTS, Mandatory, Biology, program 120 ECTS
  - Section/description hint: 4 Modalités d'évaluation
- **Research seminars in environmental biology (3 sem.)** — UE-SBL.20082, 4 ECTS, Mandatory, Biology, program 120 ECTS
  - Section/description hint: 4 Modalités d'évaluation
- **Research group meetings in environmental biology (4 sem.)** — UE-SBL.20083, 3 ECTS, Mandatory, Biology, program 120 ECTS
  - Section/description hint: 4 Modalités d'évaluation
- **Research group meetings in environmental Biology (3 sem.)** — UE-SBL.20084, 2 ECTS, Mandatory, Biology, program 120 ECTS
  - Section/description hint: 4 Modalités d'évaluation
- **Machine learning** — UE-SBL.30002, 5 ECTS, Mandatory, Biology, program 120 ECTS
  - Section/description hint: 4 Modalités d'évaluation
- **Organization and annotation of eukaryote genomes** — UE-SBL.30004, 3 ECTS, Mandatory, Biology, program 120 ECTS
  - Section/description hint: 4 Modalités d'évaluation
- **Fondements de biochimie / Grundlagen der Biochemie** — UE-SBC.00119, 6 ECTS, Mandatory, Biology, program 120 ECTS
  - Section/description hint: Branches propédeutiques générales
- **Biologie cellulaire / Zellbiologie** — UE-SBC.00106, 4 ECTS, Mandatory, Biology, program 120 ECTS
  - Section/description hint: Organismes et travail de Bachelor
- **Basic bioinformatics and genomics** — UE-SBC.07004, 2 ECTS, Mandatory, Biology, program 120 ECTS
  - Section/description hint: Organismes et travail de Bachelor
- **Microbiologie générale et médicale** — UE-SME.05103, 3 ECTS, Mandatory, Biology, program 120 ECTS
  - Section/description hint: Organismes et travail de Bachelor
- **Biologie générale I (cours) / Allgemeine Biologie I (Vorlesung)** — UE-SBL.00001, 5 ECTS, Mandatory, Biomedical Sciences, program 120 ECTS
  - Section/description hint: Semestre 1 (automne)
- **Biologie générale I (travaux pratiques) / Allgemeine Biologie I (Praktikum)** — UE-SBL.00003, 1 ECTS, Mandatory, Biomedical Sciences, program 120 ECTS
  - Section/description hint: Semestre 1 (automne)
- **Chimie générale (avec exercices) / Allgemeine Chemie (mit Übungen)** — UE-SCH.01014, 6 ECTS, Mandatory, Biomedical Sciences, program 120 ECTS
  - Section/description hint: Semestre 1 (automne)
- **Analyse propédeutique I (cours avec exercices)** — UE-SMA.00103, 3 ECTS, Mandatory, Biomedical Sciences, program 120 ECTS
  - Section/description hint: Semestre 1 (automne)
- **Bases morphologiques et fonctionnelles – Systèmes Ia / Morphologische und funktionelle Grundlagen – Systeme Ia** — UE-SME.01202, 10 ECTS, Mandatory, Biomedical Sciences, program 120 ECTS
  - Section/description hint: Semestre 1 (automne)
- **Physique propédeutique I pour sciences biomédicales (travaux pratiques) / Propädeutische Physik I für biomedizinische Wissenschaften (Praktikum) / Introductory physics I for biomedical sciences (practical course)** — UE-SPH.01013, 1 ECTS, Mandatory, Biomedical Sciences, program 120 ECTS
  - Section/description hint: Semestre 1 (automne)
- **Physique propédeutique I (cours et exercices)** — UE-SPH.01103, 5 ECTS, Mandatory, Biomedical Sciences, program 120 ECTS
  - Section/description hint: Semestre 1 (automne)
- **Fondements de biochimie / Grundlagen der Biochemie** — UE-SBC.00119, 6 ECTS, Mandatory, Biomedical Sciences, program 120 ECTS
  - Section/description hint: Semestre 2 (printemps)
- **Chimie générale (travaux pratiques)** — UE-SCH.01024, 3 ECTS, Mandatory, Biomedical Sciences, program 120 ECTS
  - Section/description hint: Semestre 2 (printemps)
- **Grundlagen der organischen Chemie / Basic organic chemistry** — UE-SCH.01072, 3 ECTS, Mandatory, Biomedical Sciences, program 120 ECTS
  - Section/description hint: Semestre 2 (printemps)
- **Analyse propédeutique II (cours avec exercices)** — UE-SMA.00104, 3 ECTS, Mandatory, Biomedical Sciences, program 120 ECTS
  - Section/description hint: Semestre 2 (printemps)
- **Bases morphologiques et fonctionnelles – Systèmes Ib / Morphologische und funktionelle Grundlagen – Systeme Ib** — UE-SME.02202, 6 ECTS, Mandatory, Biomedical Sciences, program 120 ECTS
  - Section/description hint: Semestre 2 (printemps)
- **Biostatistique / Biostatistik** — UE-SME.02303, 2 ECTS, Mandatory, Biomedical Sciences, program 120 ECTS
  - Section/description hint: Semestre 2 (printemps)
- **Physique propédeutique II pour sciences biomédicales (travaux pratiques) / Propädeutische Physik II für biomedizinische Wissenschaften (Praktikum) / Introductory physics II for biomedical sciences (practical course)** — UE-SPH.01014, 1 ECTS, Mandatory, Biomedical Sciences, program 120 ECTS
  - Section/description hint: Semestre 2 (printemps)
- **Propädeutische Physik II (Vorlesung und Übungen)** — UE-SPH.01203, 5 ECTS, Mandatory, Biomedical Sciences, program 120 ECTS
  - Section/description hint: Semestre 2 (printemps)
- **Biochimie générale / Allgemeine Biochemie** — UE-SBC.00114, 3.5 ECTS, Mandatory, Biomedical Sciences, program 120 ECTS
  - Section/description hint: Semestre 3 (automne)
- **Biologie moléculaire / Molekularbiologie** — UE-SBL.00014, 3 ECTS, Mandatory, Biomedical Sciences, program 120 ECTS
  - Section/description hint: Semestre 3 (automne)
- **Système cardiovasculaire – Sang II; Respiration / Herz- und Kreislaufsystem – Blut II; Atmung** — UE-SME.03203, 9.25 ECTS, Mandatory, Biomedical Sciences, program 120 ECTS
  - Section/description hint: Semestre 3 (automne)
- **Rein et voies urinaires - Nutrition et di</t>
        </is>
      </c>
      <c r="AR54" s="11" t="n"/>
    </row>
    <row r="55">
      <c r="A55" s="11" t="n">
        <v>54</v>
      </c>
      <c r="B55" s="11" t="inlineStr">
        <is>
          <t>multilingual</t>
        </is>
      </c>
      <c r="C55" s="11" t="inlineStr">
        <is>
          <t>medium</t>
        </is>
      </c>
      <c r="D55" s="11" t="inlineStr">
        <is>
          <t>EN</t>
        </is>
      </c>
      <c r="E55" s="11" t="inlineStr">
        <is>
          <t>Quels cours in Slavic Studies are electives?</t>
        </is>
      </c>
      <c r="F55" s="11" t="inlineStr">
        <is>
          <t>Same factual answer as the equivalent English/German/French query; response language should match or be appropriate.</t>
        </is>
      </c>
      <c r="G55" s="11" t="inlineStr">
        <is>
          <t>Mixed</t>
        </is>
      </c>
      <c r="H55" s="11" t="inlineStr">
        <is>
          <t>API first, RAG fallback</t>
        </is>
      </c>
      <c r="I55" s="11" t="inlineStr">
        <is>
          <t>DB or PDF source</t>
        </is>
      </c>
      <c r="J55" s="11" t="inlineStr">
        <is>
          <t>elective courses</t>
        </is>
      </c>
      <c r="K55" s="11" t="inlineStr">
        <is>
          <t>Tests multilingual query understanding and response language consistency.</t>
        </is>
      </c>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inlineStr">
        <is>
          <t>2026-05-25T01:18:59</t>
        </is>
      </c>
      <c r="AI55" s="11" t="n">
        <v>200</v>
      </c>
      <c r="AJ55" s="11" t="b">
        <v>1</v>
      </c>
      <c r="AK55" s="11" t="n">
        <v>94.89</v>
      </c>
      <c r="AL55" s="11" t="n">
        <v>85.08</v>
      </c>
      <c r="AM55" s="11" t="n"/>
      <c r="AN55" s="11" t="n">
        <v>84.08</v>
      </c>
      <c r="AO55" s="11" t="inlineStr">
        <is>
          <t>get_program_courses_by_metadata</t>
        </is>
      </c>
      <c r="AP55" s="11" t="n">
        <v>0</v>
      </c>
      <c r="AQ55" s="11" t="inlineStr">
        <is>
          <t>Found 500 result(s):
- **Policy and Impact Evaluation** — UE-EEP.00143, 4.5 ECTS, Elective, Accounting and Finance, program 120 ECTS
  - Section/description hint: DAT: Data Analytics
- **Econometric Methods and Applications** — UE-EEP.00496, 6 ECTS, Elective, Accounting and Finance, program 120 ECTS
  - Section/description hint: DAT: Data Analytics
- **Databases** — UE-SIN.03024, 6 ECTS, Elective, Accounting and Finance, program 120 ECTS
  - Section/description hint: DAT: Data Analytics
- **Machine learning** — UE-SIN.08022, 5 ECTS, Elective, Accounting and Finance, program 120 ECTS
  - Section/description hint: DAT: Data Analytics
- **ECO08E: Applied Econometrics** — UE-EEP.00358, 4.5 ECTS, Elective, Accounting and Finance, program 120 ECTS
  - Section/description hint: Wahlkurse
- **The audit profession and the public interest** — UE-EGE.00027, 4.5 ECTS, Elective, Accounting and Finance, program 120 ECTS
  - Section/description hint: Wahlkurse
- **Théorie de l'information comptable** — UE-EGE.00114, 4.5 ECTS, Elective, Accounting and Finance, program 120 ECTS
  - Section/description hint: Wahlkurse
- **Statistique bayésienne** — UE-EIG.00027, 4.5 ECTS, Elective, Accounting and Finance, program 120 ECTS
  - Section/description hint: Wahlkurse
- **Machine learning** — UE-SBL.30002, 5 ECTS, Elective, Accounting and Finance, program 120 ECTS
  - Section/description hint: Wahlkurse
- **Programmation scientifique** — UE-SIN.00120, 6 ECTS, Elective, Accounting and Finance, program 120 ECTS
  - Section/description hint: Wahlkurse
- **Social media analytics** — UE-SIN.08609, 5 ECTS, Elective, Accounting and Finance, program 120 ECTS
  - Section/description hint: Wahlkurse
- **Data analysis and statistics with the R programming language** — UE-SME.07700, 3 ECTS, Elective, Accounting and Finance, program 120 ECTS
  - Section/description hint: Wahlkurse
- **Recent developments in monetary analysis** — UE-EEP.00052, 4.5 ECTS, Elective, Accounting and Finance, program 120 ECTS
  - Section/description hint: Wahlkurse WISO auf Master-Niveau in Volkswirtschaftslehre
- **Evaluation des dommages et Politiques environnementales** — UE-EEP.00063, 4.5 ECTS, Elective, Accounting and Finance, program 120 ECTS
  - Section/description hint: Wahlkurse WISO auf Master-Niveau in Volkswirtschaftslehre
- **Microeconomics of Competitiveness (MOC)** — UE-EEP.00095, 4.5 ECTS, Elective, Accounting and Finance, program 120 ECTS
  - Section/description hint: Wahlkurse WISO auf Master-Niveau in Volkswirtschaftslehre
- **Politiques des marchés et de la concurrence** — UE-EEP.00098, 4.5 ECTS, Elective, Accounting and Finance, program 120 ECTS
  - Section/description hint: Wahlkurse WISO auf Master-Niveau in Volkswirtschaftslehre
- **Steuerpolitik - Theorie und Anwendung auf die Schweiz** — UE-EEP.00099, 4.5 ECTS, Elective, Accounting and Finance, program 120 ECTS
  - Section/description hint: Wahlkurse WISO auf Master-Niveau in Volkswirtschaftslehre
- **Business and Human Rights** — UE-EEP.00127, 3 ECTS, Elective, Accounting and Finance, program 120 ECTS
  - Section/description hint: Wahlkurse WISO auf Master-Niveau in Volkswirtschaftslehre
- **Demography, Immigration and Labor Markets** — UE-EEP.00131, 4.5 ECTS, Elective, Accounting and Finance, program 120 ECTS
  - Section/description hint: Wahlkurse WISO auf Master-Niveau in Volkswirtschaftslehre
- **The Economics of Politics** — UE-EEP.00135, 4.5 ECTS, Elective, Accounting and Finance, program 120 ECTS
  - Section/description hint: Wahlkurse WISO auf Master-Niveau in Volkswirtschaftslehre
- **Intégration européenne** — UE-EEP.00175, 4.5 ECTS, Elective, Accounting and Finance, program 120 ECTS
  - Section/description hint: Wahlkurse WISO auf Master-Niveau in Volkswirtschaftslehre
- **Aide, microcrédit et autres instruments de développement** — UE-EEP.00321, 4.5 ECTS, Elective, Accounting and Finance, program 120 ECTS
  - Section/description hint: Wahlkurse WISO auf Master-Niveau in Volkswirtschaftslehre
- **Network Science &amp; Economics** — UE-EEP.00328, 4.5 ECTS, Elective, Accounting and Finance, program 120 ECTS
  - Section/description hint: Wahlkurse WISO auf Master-Niveau in Volkswirtschaftslehre
- **Professional Economic Ethics** — UE-EEP.00331, 4.5 ECTS, Elective, Accounting and Finance, program 120 ECTS
  - Section/description hint: Wahlkurse WISO auf Master-Niveau in Volkswirtschaftslehre
- **Global Economic Justice** — UE-EEP.00334, 4.5 ECTS, Elective, Accounting and Finance, program 120 ECTS
  - Section/description hint: Wahlkurse WISO auf Master-Niveau in Volkswirtschaftslehre
- **Advanced Microeconomics** — UE-EEP.00495, 6 ECTS, Elective, Accounting and Finance, program 120 ECTS
  - Section/description hint: Wahlkurse WISO auf Master-Niveau in Volkswirtschaftslehre
- **Advanced Topics in Data Analytics and Machine Learning** — UE-EEP.00517, 1.5 ECTS, Elective, Accounting and Finance, program 120 ECTS
  - Section/description hint: Wahlkurse WISO auf Master-Niveau in Volkswirtschaftslehre
- **Organisational Economics** — UE-EEP.00518, 4.5 ECTS, Elective, Accounting and Finance, program 120 ECTS
  - Section/description hint: Wahlkurse WISO auf Master-Niveau in Volkswirtschaftslehre
- **Changement climatique dans les pays en développement** — UE-EEP.00532, 4.5 ECTS, Elective, Accounting and Finance, program 120 ECTS
  - Section/description hint: Wahlkurse WISO auf Master-Niveau in Volkswirtschaftslehre
- **Aktuelle Probleme der Finanz- und Wirtschaftspolitik (FS 26)** — UE-EEP.00554, 4.5 ECTS, Elective, Accounting and Finance, program 120 ECTS
  - Section/description hint: Wahlkurse WISO auf Master-Niveau in Volkswirtschaftslehre
- **Economic Growth: For and Against** — UE-EEP.00557, 4.5 ECTS, Elective, Accounting and Finance, program 120 ECTS
  - Section/description hint: Wahlkurse WISO auf Master-Niveau in Volkswirtschaftslehre
- **Communication, organisation et transformation digitale** — UE-EKM.00064, 3 ECTS, Elective, Accounting and Finance, program 120 ECTS
  - Section/description hint: WISO-Wahlfach im Masterstudiengang Kommunikations- und Medienwissenschaften
- **Master lecture Media Use and Effects** — UE-EKM.00596, 3 ECTS, Elective, Accounting and Finance, program 120 ECTS
  - Section/description hint: WISO-Wahlfach im Masterstudiengang Kommunikations- und Medienwissenschaften
- **Séminaire Master : Digitalisation et communication** — UE-EKM.00696, 3 ECTS, Elective, Accounting and Finance, program 120 ECTS
  - Section/description hint: WISO-Wahlfach im Masterstudiengang Kommunikations- und Medienwissenschaften
- **Lecture Strategic Communication Management** — UE-EKM.00715, 3 ECTS, Elective, Accounting and Finance, program 120 ECTS
  - Section/description hint: WISO-Wahlfach im Masterstudiengang Kommunikations- und Medienwissenschaften
- **Democracy, media, and technology** — UE-EKM.00957, 3 ECTS, Elective, Accounting and Finance, program 120 ECTS
  - Section/description hint: WISO-Wahlfach im Masterstudiengang Kommunikations- und Medienwissenschaften
- **Corporate Social Responsibility and Social Impact** — UE-EKM.00989, 3 ECTS, Elective, Accounting and Finance, program 120 ECTS
  - Section/description hint: WISO-Wahlfach im Masterstudiengang Kommunikations- und Medienwissenschaften
- **Séminaire Communication en contexte politique** — UE-EKM.01025, 3 ECTS, Elective, Accounting and Finance, program 120 ECTS
  - Section/description hint: WISO-Wahlfach im Masterstudiengang Kommunikations- und Medienwissenschaften
- **Klassiker revisited: Mythen, Pionierstudien, Schlüsselwerke** — UE-EKM.01249, 3 ECTS, Elective, Accounting and Finance, program 120 ECTS
  - Section/description hint: WISO-Wahlfach im Masterstudiengang Kommunikations- und Medienwissenschaften
- **Comparing Media Structures** — UE-EKM.01250, 3 ECTS, Elective, Accounting and Finance, program 120 ECTS
  - Section/description hint: WISO-Wahlfach im Masterstudiengang Kommunikations- und Medienwissenschaften
- **Nouveaux médias, médias et usagers** — UE-EKM.01306, 3 ECTS, Elective, Accounting and Finance, program 120 ECTS
  - Section/description hint: WISO-Wahlfach im Masterstudiengang Kommunikations- und Medienwissenschaften
- **Master seminar: Rethinking Mental Health Representations in Entertainment Media—The Perspective of Caregivers and Experts** — UE-EKM.01472, 3 ECTS, Elective, Accounting and Finance, program 120 ECTS
  - Section/description hint: WISO-Wahlfach im Masterstudiengang Kommunikations- und Medienwissenschaften
- **Masterseminar: Politische Skandale und Krisen: Journalistische Praktiken und Kommunikationsstrategien** — UE-EKM.01478, 3 ECTS, Elective, Accounting and Finance, program 120 ECTS
  - Section/description hint: WISO-Wahlfach im Masterstudiengang Kommunikations- und Medienwissenschaften
- **Strategic Value Creation** — UE-EGE.00030, 3 ECTS, Elective, Accounting and Finance, program 120 ECTS
  - Section/description hint: WISO-Wahlkurse auf Master-Niveau in Wirtschaftsinformatik
- **Fundamentals of International Management** — UE-EGE.00048, 4.5 ECTS, Elective, Accounting and Finance, program 120 ECTS
  - Section/description hint: WISO-Wahlkurse auf Master-Niveau in Wirtschaftsinformatik
- **Compétences managériales** — UE-EGE.00060, 4.5 ECTS, Elective, Accounting and Finance, program 120 ECTS
  - Section/description hint: WISO-Wahlkurse auf Master-Niveau in Wirtschaftsinformatik
- **Strategische Neuausrichtung einer Organisation** — UE-EGE.00098, 4.5 ECTS, Elective, Accounting and Finance, program 120 ECTS
  - Section/description hint: WISO-Wahlkurse auf Master-Niveau in Wirtschaftsinformatik
- **Case studies in international strategy** — UE-EGE.00101, 4.5 ECTS, Elective, Accounting and Finance, program 120 ECTS
  - Section/description hint: WISO-Wahlkurse auf Master-Niveau in Wirtschaftsinformatik
- **Marketing Durable** — UE-EGE.00108, 4.5 ECTS, Elective, Accounting and Finance, program 120 ECTS
  - Section/description hint: WISO-Wahlkurse auf Master-Niveau in Wirtschaftsinformatik
- **Intercultural Business Projects** — UE-EGE.00250, 4.5 ECTS, Elective, Accounting and Finance, program 120 ECTS
  - Section/description hint: WISO-Wahlkurse auf Master-Niveau in Wirtschaftsinformatik
- **Organisational Change and Crisis Management in Nonprofit Organisations** — UE-EGE.00251, 4.5 ECTS, Elective, Accounting and Finance, program 120 ECTS
  - Section/description hint: WISO-Wahlkurse auf Master-Niveau in Wirtschaftsinformatik
- **Nouveaux trends de l'innovation** — UE-EGE.00255, 4.5 ECTS, Elective, Accounting and Finance, program 120 ECTS
  - Section/description hint: WISO-Wahlkurse auf Master-Niveau in Wirtschaftsinformatik
- **Winning Consulting Projects** — UE-EGE.00257, 3 ECTS, Elective, Accounting and Finance, program 120 ECTS
  - Section/description hint: WISO-Wahlkurse auf Master-Niveau in Wirtschaftsinformatik
- **International Services Marketing** — UE-EGE.00262, 4.5 ECTS, Elective, Accounting and Finance, program 120 ECTS
  - Section/description hint: WISO-Wahlkurse auf Master-Niveau in Wirtschaftsinformatik
- **Digital Commerce in B2C and B2B Markets** — UE-EGE.00269, 4.5 ECTS, Elective, Accounting and Finance, program 120 ECTS
  - Section/description hint: WISO-Wahlkurse auf Master-Niveau in Wirtschaftsinformatik
- **Seminar in Social Entrepreneurship** — UE-EGE.00306, 3 ECTS, Elective, Accounting and Finance, program 120 ECTS
  - Section/description hint: WISO-Wahlkurse auf Master-Niveau in Wirtschaftsinformatik
- **Collaborative Value Creation in Ecosystems** — UE-EGE.00453, 4.5 ECTS, Elective, Accounting and Finance, program 120 ECTS
  - Section/description hint: WISO-Wahlkurse auf Master-Niveau in Wirtschaftsinformatik
- **Leadership styles, contexts and success factors** — UE-EGE.00471, 4.5 ECTS, Elective, Accounting and Finance, program 120 ECTS
  - Section/description hint: WISO-Wahlkurse auf Master-Niveau in Wirtschaftsinformatik
- **Customer-Centric Innovation** — UE-EGE.00472, 4.5 ECTS, Elective, Accounting and Finance, program 120 ECTS
  - Section/description hint: WISO-Wahlkurse auf Master-Niveau in Wirtschaftsinformatik
- **Developing an Innovation Strategy** — UE-EGE.00473, 4.5 ECTS, Elective, Accounting and Finance, program 120 ECTS
  - Section/description hint: WISO-Wahlkurse auf Master-Niveau in Wirtschaftsinformatik
- **Renouvellement stratégique d’une organisation** — UE-EGE.00477, 4.5 ECTS, Elective, Accounting and Finance, program 120 ECTS
  - Section/description hint: WISO-Wahlkurse auf Master-Niveau in Wirtschaftsinformatik
- **Ethical Leadership and Organizational Culture** — UE-EGE.00483, 4.5 ECTS, Elective, Accounting and Finance, program 120 ECTS
  - Section/description hint: WISO-Wahlkurse auf Master-Niveau in Wirtschaftsinformatik
- **Advanced Seminar in Strategic International Management** — UE-EGE.00486, 4.5 ECTS, Elective, Accounting and Finance, program 120 ECTS
  - Section/description hint: WISO-Wahlkurse auf Master-Niveau in Wirtschaftsinformatik
- **Strategic Management of privately-owned Family Businesses** — UE-EGE.00491, 4.5 ECTS, Elective, Accounting and Finance, program 120 ECTS
  - Section/description hint: WISO-Wahlkurse auf Master-Niveau in Wirtschaftsinformatik
- **Digitalization and Information Systems** — UE-EIG.00131, 4.5 ECTS, Elective, Accounting and Finance, program 120 ECTS
  - Section/description hint: WISO-Wahlkurse auf Master-Niveau in Wirtschaftsinformatik
- **Choice-based optimization and its application to revenue management** — UE-EIG.00244, 4.5 ECTS, Elective, Accounting and Finance, program 120 ECTS
  - Section/description hint: WISO-Wahlkurse auf Master-Niveau in Wirtschaftsinformatik
- **Basic bioinformatics and genomics** — UE-SBC.07004, 2 ECTS, Elective, Biochemistry, program 120 ECTS
  - Section/description hint: 3.8.2 Liste des conditions pour la fréquentation des unités d'enseignement de biochimie
- **Integration cardiovasculaire, respiratoire et rénale, système endocrinien; système génitaux I + II; système immunitaire I / Kardiovaskuläre, respiratorische und renale Integration; Endokrines System; Genitalsystem I + II; Immunsystem I** — UE-SME.04206, 8 ECTS, Elective, Biochemistry, program 120 ECTS
  - Section/description hint: 3.8.2 Liste des conditions pour la fréquentation des unités d'enseignement de biochimie
- **Méthodes de biochimie / Methoden in Biochemie / Methods in Biochemistry** — UE-SBC.00009, 1.5 ECTS, Elective, Biochemistry, program 120 ECTS
  - Section/description hint: À choix (jusqu'à 30 ECTS)
- **Biochimie pour débutants (travaux pratiques) / Biochemie für Anfänger (Praktikum)** — UE-SBC.00047, 3 ECTS, Elective, Biochemistry, program 120 ECTS
  - Section/description hint: À choix (jusqu'à 30 ECTS)
- **Biologie cellulaire / Zellbiologie** — UE-SBC.00106, 4 ECTS, Elective, Biochemistry, program 120 ECTS
  - Section/description hint: À choix (jusqu'à 30 ECTS)
- **Génétique moléculaire humaine / Molekulare Humangenetik** — UE-SBC.00115, 1.5 ECTS, Elective, Biochemistry, program 120 ECTS
  - Section/description hint: À choix (jusqu'à 30 ECTS)
- **Stage de laboratoire en Biochimie I / Laborpraktikum in Biochemie I / Biochemistry laboratory rotation I** — UE-SBC.00120, 5 ECTS, Elective, Biochemistry, program 120 ECTS
  - Section/description hint: À choix (jusqu'à 30 ECTS)
- **Stage de laboratoire en Biochimie II / Laborpraktikum in Biochemie II / Biochemistry laboratory rotation II** — UE-SBC.00121, 5 ECTS, Elective, Biochemistry, program 120 ECTS
  - Section/description hint: À choix (jusqu'à 30 ECTS)
- **Yeast Genetics, Cell- and Molecular Biology** — UE-SBC.00125, 1.5 ECTS, Elective, Biochemistry, program 120 ECTS
  - Section/description hint: À choix (jusqu'à 30 ECTS)
- **Introduction to bioinformatics and genomics (course with exercises)** — UE-SBC.07003, 4.5 ECTS, Elective, Biochemistry, program 120 ECTS
  - Section/description hint: À choix (jusqu'à 30 ECTS)
- **Advanced bioinformatics and genomics** — UE-SBC.07005, 2.5 ECTS, Elective, Biochemistry, program 120 ECTS
  - Section/description hint: À choix (jusqu'à 30 ECTS)
- **Biologie générale II (cours) / Allgemeine Biologie II (Vorlesung)** — UE-SBL.00002, 5 ECTS, Elective, Biochemistry, program 120 ECTS
  - Section/description hint: À choix (jusqu'à 30 ECTS)
- **Biologie générale II (travaux pratiques) / Allgemeine Biologie II (Praktikum)** — UE-SBL.00004, 1 ECTS, Elective, Biochemistry, program 120 ECTS
  - Section/description hint: À choix (jusqu'à 30 ECTS)
- **Biologie moléculaire / Molekularbiologie** — UE-SBL.00014, 3 ECTS, Elective, Biochemistry, program 120 ECTS
  - Section/description hint: À choix (jusqu'à 30 ECTS)
- **Méthodes de biologie moléculaire / Methoden der Molekularbiologie** — UE-SBL.00019, 3 ECTS, Elective, Biochemistry, program 120 ECTS
  - Section/description hint: À choix (jusqu'à 30 ECTS)
- **Neurobiologie** — UE-SBL.00020, 2 ECTS, Elective, Biochemistry, program 120 ECTS
  - Section/description hint: À choix (jusqu'à 30 ECTS)
- **Biologie du développement** — UE-SBL.00057, 1.5 ECTS, Elective, Biochemistry, program 120 ECTS
  - Section/description hint: À choix (jusqu'à 30 ECTS)
- **Instrumentalanalyse (Praktikum für Zusatzfach) / Instrumental analysis (practical course for minor)** — UE-SCH.00244, 5 ECTS, Elective, Biochemistry, program 120 ECTS
  - Section/description hint: À choix (jusqu'à 30 ECTS)
- **Präparative Methoden (Vorlesung)** — UE-SCH.02212, 3 ECTS, Elective, Biochemistry, program 120 ECTS
  - Section/description hint: À choix (jusqu'à 30 ECTS)
- **Präparative Methoden (Übungen)** — UE-SCH.02222, 2 ECTS, Elective, Biochemistry, program 120 ECTS
  - Section/description hint: À choix (jusqu'à 30 ECTS)
- **Organische Instrumentalanalyse (mit Übungen) / Organic instrumental analysis (with exercises)** — UE-SCH.02252, 5 ECTS, Elective, Biochemistry, program 120 ECTS
  - Section/description hint: À choix (jusqu'à 30 ECTS)
- **Microbiologie générale et médicale** — UE-SME.05103, 3 ECTS, Elective, Biochemistry, program 120 ECTS
  - Section/description hint: À choix (jusqu'à 30 ECTS)
- **Immunologie I** — UE-SME.05305, 1.5 ECTS, Elective, Biochemistry, program 120 ECTS
  - Section/description hint: À choix (jusqu'à 30 ECTS)
- **Microbiologie clinique spécialisée** — UE-SME.06104, 2.5 ECTS, Elective, Biochemistry, program 120 ECTS
  - Section/description hint: À choix (jusqu'à 30 ECTS)
- **Microbiologie (travaux pratiques)** — UE-SME.06309, 1 ECTS, Elective, Biochemistry, program 120 ECTS
  - Section/description hint: À choix (jusqu'à 30 ECTS)
- **Immunologie II / Immunology II** — UE-SME.06312, 2 ECTS, Elective, Biochemistry, program 120 ECTS
  - Section/description hint: À choix (jusqu'à 30 ECTS)
- **Chimie analytique (travaux pratiques) / Analytische Chemie (Praktikum) / Analytical chemistry (practical course )** — UE-SCH.01084, 4 ECTS, Elective, Biochemistry, program 120 ECTS
  - Section/description hint: À choix (jusqu'à 60 ECTS)
- **Introduction à la chimie des complexes** — UE-SCH.02120, 3 ECTS, Elective, Biochemistry, program 120 ECTS
  - Section/description hint: À choix (jusqu'à 60 ECTS)
- **Analyse instrumentale (travaux pratiques) / Instrumentalanalyse (Praktikum) / Instrumental analysis (practical course)** — UE-SCH.02274, 8 ECTS, Elective, Biochemistry, program 120 ECTS
  - Section/description hint: À choix (jusqu'à 60 ECTS)
- **Physiologie et physiopathologie des grandes régulations, partie I / Physiologie und Pathophysiologie der grossen Regulationssysteme, Teil I** — UE-SPY.00110, 3 ECTS, Elective, Biochemistry, program 120 ECTS
  - Section/description hint: À choix (jusqu'à 60 ECTS)
- **Physiologie et physiopathologie des grandes régulations, partie II / Physiologie und Pathophysiologie der grossen Regulationssysteme, Teil II** — UE-SPY.00111, 3 ECTS, Elective, Biochemistry, program 120 ECTS
  - Section/description hint: À choix (jusqu'à 60 ECTS)
- **Physiologie animale / Tierphysiologie** — UE-SBL.00015, 3 ECTS, Elective, Biochemistry, program 120 ECTS
  - Section/description hint: UE à choix (jusqu'à 60 ECTS)
- **Mécanismes de régénération / Mechanismen der Regeneration / Mechanisms of regeneration** — UE-SBL.00058, 1 ECTS, Elective, Biochemistry, program 120 ECTS
  - Section/description hint: UE à choix (jusqu'à 60 ECTS)
- **Instrumentalanalyse (Ergänzendes Praktikum für Zusatzfach) / Instrumental analysis (practical course supplement for minor)** — UE-SCH.00246, 3 ECTS, Elective, Biochemistry, program 120 ECTS
  - Section/description hint: UE à choix (jusqu'à 60 ECTS)
- **Introduction to protein structure and protein homology modelling** — UE-SBC.07104, 1.5 ECTS, Elective, Bioinformatics and Computational Biology, program 120 ECTS
  - Section/description hint: Module 'Elective Courses' (suggestions only)
- **Introduction to docking of small molecules to large macromolecules and molecular graphics** — UE-SBC.07105, 1.5 ECTS, Elective, Bioinformatics and Computational Biology, program 120 ECTS
  - Section/description hint: Module 'Elective Courses' (suggestions only)
- **Molecular genetics of model organism development** — UE-SBL.00119, 3 ECTS, Elective, Bioinformatics and Computational Biology, program 120 ECTS
  - Section/description hint: Module 'Elective Courses' (suggestions only)
- **Structure and functions of host-associated microbiota** — UE-SBL.20035, 3 ECTS, Elective, Bioinformatics and Computational Biology, program 120 ECTS
  - Section/description hint: Module 'Elective Courses' (suggestions only)
- **Méthodes de biochimie / Methoden in Biochemie / Methods in Biochemistry** — UE-SBC.00009, 1.5 ECTS, Elective, Biology, program 30 ECTS
  - Section/description hint: Partie 2 : Cours à choix enseignés en français ou en allemand* :
- **Biologie cellulaire / Zellbiologie** — UE-SBC.00106, 4 ECTS, Elective, Biology, program 30 ECTS
  - Section/description hint: Partie 2 : Cours à choix enseignés en français ou en allemand* :
- **Compléments de biologie moléculaire / Ergänzende Molekularbiologie** — UE-SBC.00113, 3 ECTS, Elective, Biology, program 30 ECTS
  - Section/description hint: Partie 2 : Cours à choix enseignés en français ou en allemand* :
- **Biochimie générale / Allgemeine Biochemie** — UE-SBC.00114, 3.5 ECTS, Elective, Biology, program 30 ECTS
  - Section/description hint: Partie 2 : Cours à choix enseignés en français ou en allemand* :
- **Génétique moléculaire humaine / Molekulare Humangenetik** — UE-SBC.00115, 1.5 ECTS, Elective, Biology, program 30 ECTS
  - Section/description hint: Partie 2 : Cours à choix enseignés en français ou en allemand* :
- **Fondements de biochimie / Grundlagen der Biochemie** — UE-SBC.00119, 6 ECTS, Elective, Biology, program 30 ECTS
  - Section/description hint: Partie 2 : Cours à choix enseignés en français ou en allemand* :
- **Yeast Genetics, Cell- and Molecular Biology** — UE-SBC.00125, 1.5 ECTS, Elective, Biology, program 30 ECTS
  - Section/description hint: Partie 2 : Cours à choix enseignés en français ou en allemand* :
- **Introduction to bioinformatics and genomics (course with exercises)** — UE-SBC.07003, 4.5 ECTS, Elective, Biology, program 30 ECTS
  - Section/description hint: Partie 2 : Cours à choix enseignés en français ou en allemand* :
- **Biologie moléculaire / Molekularbiologie** — UE-SBL.00014, 3 ECTS, Elective, Biology, program 30 ECTS
  - Section/description hint: Partie 2 : Cours à choix enseignés en français ou en allemand* :
- **Physiologie animale / Tierphysiologie** — UE-SBL.00015, 3 ECTS, Elective, Biology, program 30 ECTS
  - Section/description hint: Partie 2 : Cours à choix enseignés en français ou en allemand* :
- **Molekularbiologie der Pflanzen** — UE-SBL.00018, 3 ECTS, Elective, Biology, program 30 ECTS
  - Section/description hint: Partie 2 : Cours à choix enseignés en français ou en allemand* :
- **Méthodes de biologie moléculaire / Methoden der Molekularbiologie** — UE-SBL.00019, 3 ECTS, Elective, Biology, program 30 ECTS
  - Section/description hint: Partie 2 : Cours à choix enseignés en français ou en allemand* :
- **Neurobiologie** — UE-SBL.00020, 2 ECTS, Elective, Biology, program 30 ECTS
  - Section/description hint: Partie 2 : Cours à choix enseignés en français ou en allemand* :
- **Evolutionary Biology** — UE-SBL.00021, 3 ECTS, Elective, Biology, program 30 ECTS
  - Section/description hint: Partie 2 : Cours à choix enseignés en français ou en allemand* :
- **Ecologie expérimentale / Experimentelle Ökologie** — UE-SBL.00037, 3 ECTS, Elective, Biology, program 30 ECTS
  - Section/description hint: Partie 2 : Cours à choix enseignés en français ou en allemand* :
- **Population genetics** — UE-SBL.00049, 3 ECTS, Elective, Biology, program 30 ECTS
  - Section/description hint: Partie 2 : Cours à choix enseignés en français ou en allemand* :
- **Biologie du développement** — UE-SBL.00057, 1.5 ECTS, Elective, Biology, program 30 ECTS
  - Section/description hint: Partie 2 : Cours à choix enseignés en français ou en allemand* :
- **Diversité fonctionnelle des microorganismes** — UE-SBL.00061, 1.5 ECTS, Elective, Biology, program 30 ECTS
  - Section/description hint: Partie 2 : Cours à choix enseignés en français ou en allemand* :
- **Bases de bactériologie** — UE-SBL.00063, 1.5 ECTS, Elective, Biology, program 30 ECTS
  - Section/description hint: Partie 2 : Cours à choix enseignés en français ou en allemand* :
- **Phytopathologie et interactions plantes-pathogènes / Phytopathologie und Pflanzen-Pathogen Interaktionen** — UE-SBL.00068, 3 ECTS, Elective, Biology, program 30 ECTS
  - Section/description hint: Partie 2 : Cours à choix enseignés en français ou en allemand* :
- **Métabolisme spécialisé : importance en écologie chimique et en santé humaine** — UE-SBL.00073, 1.5 ECTS, Elective, Biology, program 30 ECTS
  - Section/description hint: Partie 2 : Cours à choix enseignés en français ou en allemand* :
- **Introduction to biostatistics** — UE-SBL.00075, 1.5 ECTS, Elective, Biology, program 30 ECTS
  - Section/description hint: Partie 2 : Cours à choix enseignés en français ou en allemand* :
- **Chimie générale (avec exercices) / Allgemeine Chemie (mit Übungen)** — UE-SCH.01014, 6 ECTS, Elective, Biology, program 30 ECTS
  - Section/description hint: Partie 2 : Cours à choix enseignés en français ou en allemand* :
- **Grundlagen der organischen Chemie / Basic organic chemistry** — UE-SCH.01072, 3 ECTS, Elective, Biology, program 30 ECTS
  - Section/description hint: Partie 2 : Cours à choix enseignés en français ou en allemand* :
- **Philosophie et éthique des sciences** — UE-SFS.00001, 3 ECTS, Elective, Biology, program 30 ECTS
  - Section/description hint: Partie 2 : Cours à choix enseignés en français ou en allemand* :
- **Sciences et société** — UE-SFS.00002, 3 ECTS, Elective, Biology, program 30 ECTS
  - Section/description hint: Partie 2 : Cours à choix enseignés en français ou en allemand* :
- **Physiologie et physiopathologie des grandes régulations, partie I / Physiologie und Pathophysiologie der grossen Regulationssysteme, Teil I** — UE-SPY.00110, 3 ECTS, Elective, Biology, program 30 ECTS
  - Section/description hint: Partie 2 : Cours à choix enseignés en français ou en allemand* :
- **Physiologie et physiopathologie des grandes régulations, partie II / Physiologie und Pathophysiologie der grossen Regulationssysteme, Teil II** — UE-SPY.00111, 3 ECTS, Elective, Biology, program 30 ECTS
  - Section/description hint: Partie 2 : Cours à choix enseignés en français ou en allemand* :
- **Cours de base des sciences de l'environnement: Ecologie / Grundkurs Umweltwissenschaften: Ökologie** — UE-SSE.00101, 3 ECTS, Elective, Biology, program 30 ECTS
  - Section/description hint: Partie 2 : Cours à choix enseignés en français ou en allemand* :
- **Grundkurs Umweltwissenschaften: Umweltethik** — UE-SSE.00104, 3 ECTS, Elective, Biology, program 30 ECTS
  - Section/description hint: Partie 2 : Cours à choix enseignés en français ou en allemand* :
- **Méthodes de biochimie / Methoden in Biochemie / Methods in Biochemistry** — UE-SBC.00009, 1.5 ECTS, Elective, Biology, program 120 ECTS
  - Section/description hint: S emestre d'automne
- **Biochimie pour débutants (travaux pratiques) / Biochemie für Anfänger (Praktikum)** — UE-SBC.00047, 3 ECTS, Elective, Biology, program 120 ECTS
  - Section/description hint: S emestre d'automne
- **Compléments de biologie moléculaire / Ergänzende Molekularbiologie** — UE-SBC.00113, 3 ECTS, Elective, Biology, program 120 ECTS
  - Section/description hint: S emestre d'automne
- **Biochimie générale / Allgemeine Biochemie** — UE-SBC.00114, 3.5 ECTS, Elective, Biology, program 120 ECTS
  - Section/description hint: S emestre d'automne
- **Génétique moléculaire humaine / Molekulare Humangenetik** — UE-SBC.00115, 1.5 ECTS, Elective, Biology, program 120 ECTS
  - Section/description hint: S emestre d'automne
- **Yeast Genetics, Cell- and Molecular Biology** — UE-SBC.00125, 1.5 ECTS, Elective, Biology, program 120 ECTS
  - Section/description hint: S emestre d'automne
- **Introduction to bioinformatics and genomics (course with exercises)** — UE-SBC.07003, 4.5 ECTS, Elective, Biology, program 120 ECTS
  - Section/description hint: S emestre d'automne
- **Advanced bioinformatics and genomics** — UE-SBC.07005, 2.5 ECTS, Elective, Biology, program 120 ECTS
  - Section/description hint: S emestre d'automne
- **Philosophie et éthique des sciences** — UE-SFS.00001, 3 ECTS, Elective, Biology, program 120 ECTS
  - Section/description hint: S emestre d'automne
- **Sciences et société** — UE-SFS.00002, 3 ECTS, Elective, Biology, program 120 ECTS
  - Section/description hint: S emestre d'automne
- **Actualités de la médecine régénérative / Aktuelles zur regenerativen Medizin** — UE-SME.04300, 1 ECTS, Elective, Biology, program 120 ECTS
  - Section/description hint: S emestre d'automne
- **Immunologie I** — UE-SME.05305, 1.5 ECTS, Elective, Biology, program 120 ECTS
  - Section/description hint: S emestre d'automne
- **Microbiologie clinique spécialisée** — UE-SME.06104, 2.5 ECTS, Elective, Biology, program 120 ECTS
  - Section/description hint: S emestre d'automne
- **Microbiologie (travaux pratiques)** — UE-SME.06309, 1 ECTS, Elective, Biology, program 120 ECTS
  - Section/description hint: S emestre d'automne
- **Immunologie II / Immunology II** — UE-SME.06312, 2 ECTS, Elective, Biology, program 120 ECTS
  - Section/description hint: S emestre d'automne
- **Anatomie fonctionnelle des systèmes du corps humain / Funktionelle Anatomie der menschlichen Körpersysteme** — UE-SMO.00007, 3 ECTS, Elective, Biology, program 120 ECTS
  - Section/description hint: S emestre d'automne
- **Neuroanatomie humaine fonctionnelle / Funktionelle Neuroanatomie des Menschen** — UE-SMO.00008, 3 ECTS, Elective, Biology, program 120 ECTS
  - Section/description hint: S emestre d'automne
- **Anatomie descriptive / Deskriptive Anatomie** — UE-SMO.00630, 3 ECTS, Elective, Biology, program 120 ECTS
  - Section/description hint: S emestre d'automne
- **Neuroanatomie (travaux pratiques) / Neuroanatomie (Praktikum)** — UE-SMO.04002, 1.5 ECTS, Elective, Biology, program 120 ECTS
  - Section/description hint: S emestre d'automne
- **Physiologie et physiopathologie des grandes régulations, partie I / Physiologie und Pathophysiologie der grossen Regulationssysteme, Teil I** — UE-SPY.00110, 3 ECTS, Elective, Biology, program 120 ECTS
  - Section/description hint: S emestre d'automne
- **Physiologie et physiopathologie des grandes régulations, partie II / Physiologie und Pathophysiologie der grossen Regulationssysteme, Teil II** — UE-SPY.00111, 3 ECTS, Elective, Biology, program 120 ECTS
  - Section/description hint: S emestre d'automne
- **Neurobiologie I (deutsch)** — UE-SPY.01001, 3 ECTS, Elective, Biology, program 120 ECTS
  - Section/description hint: S emestre d'automne
- **Neurobiologie II (deutsch)** — UE-SPY.02001, 3 ECTS, Elective, Biology, program 120 ECTS
  - Section/description hint: S emestre d'automne
- **Neurobiologie II (français)** — UE-SPY.02011, 3 ECTS, Elective, Biology, program 120 ECTS
  - Section/description hint: S emestre d'automne
- **Cours de base des sciences de l'environnement: Ecologie / Grundkurs Umweltwissenschaften: Ökologie** — UE-SSE.00101, 3 ECTS, Elective, Biology, program 120 ECTS
  - Section/description hint: Semestre d'automne
- **Cours de base des sciences de l'environnement: Economie et droit de l'environnement / Grundkurs Umweltwissenschaften: Umweltökonomie und -Recht** — UE-SSE.00102, 3 ECTS, Elective, Biology, program 120 ECTS
  - Section/description hint: Semestre d'automne
- **Environnement et habitat : une approche anthropologique** — UE-SSE.00130, 3 ECTS, Elective, Biology, program 120 ECTS
  - Section/description hint: Semestre d'automne
- **Les enjeux du développement durable II / Brennpunkte nachhaltiger Entwick</t>
        </is>
      </c>
      <c r="AR55"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2026-05-06T21:30:36Z</dcterms:created>
  <dcterms:modified xmlns:dcterms="http://purl.org/dc/terms/" xmlns:xsi="http://www.w3.org/2001/XMLSchema-instance" xsi:type="dcterms:W3CDTF">2026-05-25T06:47:14Z</dcterms:modified>
  <cp:lastModifiedBy>Sara Kupferschmied</cp:lastModifiedBy>
</cp:coreProperties>
</file>