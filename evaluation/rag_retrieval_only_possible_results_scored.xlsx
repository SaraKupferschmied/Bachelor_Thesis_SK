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0" documentId="8_{329FD020-A959-46A9-A6B3-6600689F351C}" xr6:coauthVersionLast="47" xr6:coauthVersionMax="47" xr10:uidLastSave="{00000000-0000-0000-0000-000000000000}"/>
  <bookViews>
    <workbookView xWindow="-105" yWindow="-16320" windowWidth="29040" windowHeight="15720" activeTab="2" xr2:uid="{00000000-000D-0000-FFFF-FFFF00000000}"/>
  </bookViews>
  <sheets>
    <sheet name="RAG_Retrieval_Only" sheetId="1" r:id="rId1"/>
    <sheet name="Retrieval_Metrics" sheetId="2" r:id="rId2"/>
    <sheet name="Manual_Retrieval_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<sst xmlns="http://schemas.openxmlformats.org/spreadsheetml/2006/main" count="300" uniqueCount="190">
  <si>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</si>
  <si>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</si>
  <si>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</si>
  <si>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</si>
  <si>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</si>
  <si>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</si>
  <si>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</si>
  <si>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</si>
  <si>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</si>
  <si>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</si>
  <si>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</si>
  <si>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</si>
  <si>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</si>
  <si>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</si>
  <si>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</si>
  <si>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</si>
  <si>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</si>
  <si>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</si>
  <si>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</si>
  <si>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</si>
  <si>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</si>
  <si>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</si>
  <si>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</si>
  <si>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</si>
  <si>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</si>
  <si>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</si>
  <si>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</si>
  <si>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</si>
  <si>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</si>
  <si>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</si>
  <si>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</si>
  <si>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</si>
  <si>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</si>
  <si>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</si>
  <si>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</si>
  <si>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</si>
  <si>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</si>
  <si>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</si>
  <si>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</si>
  <si>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</si>
  <si>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manual_retrieval_label</t>
  </si>
  <si>
    <t>manual_interpretation</t>
  </si>
  <si>
    <t>2026-05-16T13:32:55</t>
  </si>
  <si>
    <t>program_overview</t>
  </si>
  <si>
    <t>easy</t>
  </si>
  <si>
    <t>en</t>
  </si>
  <si>
    <t>What can you tell me about the bachelor in History?</t>
  </si>
  <si>
    <t>summary of program</t>
  </si>
  <si>
    <t xml:space="preserve">RAG  </t>
  </si>
  <si>
    <t>study vectorstore</t>
  </si>
  <si>
    <t>[]</t>
  </si>
  <si>
    <t>none</t>
  </si>
  <si>
    <t>poor</t>
  </si>
  <si>
    <t>No relevant source was identified in the retrieved results.</t>
  </si>
  <si>
    <t>hard</t>
  </si>
  <si>
    <t>How is the Teacher Trianing structured?</t>
  </si>
  <si>
    <t>short description and list of possibilities</t>
  </si>
  <si>
    <t>structure_of_studies.json; unifr_elite_sports.json; unifr_elite_sports.json; unifr_elite_sports.json; unifr_elite_sports.json; unifr_elite_sports.json; unifr_elite_sports.json; unifr_elite_sports.json; unifr_elite_sports.json; unifr_studies_army.json</t>
  </si>
  <si>
    <t>base_data; base_data; base_data; base_data; base_data; base_data; base_data; base_data; base_data; base_data</t>
  </si>
  <si>
    <t xml:space="preserve">; ; ; ; ; ; ; ; ; </t>
  </si>
  <si>
    <t>1. [base_data] structure_of_studies.json p. - Teacher Education for Secondary level Teacher Education for Secondary level For this courses, please consult the following sources for the structure of studies: - Teacher Education for Secondary Level I - Teacher Educati
2. [base_data] unifr_elite_sports.json p. - Teacher Education for Secondary level Teacher Education for Secondary level For this courses, please consult the following sources for the structure of studies: - Teacher Education for Secondary Level I - Teacher Educati
3. [base_data] unifr_elite_sports.json p. - Table of the study programmes corresponding to the Teacher Education for Secondary Level I Table of the study programmes corresponding to the Teacher Education for Secondary Level I The table is available only in the non
4. [base_data] unifr_elite_sports.json p. - Table of the study programmes corresponding to the Teacher Education for Baccalaureate Schools Table of the study programmes corresponding to the Teacher Education for Baccalaureate Schools The table is available only in
5. [base_data] unifr_elite_sports.json p. - Teacher Education for Secondary Level I Teacher Education for Secondary Level I The Teaching diploma for lower secondary education ( DEDS/LDS) is obtained after completing two cycles of education, i.e. academic training 
6. [base_data] unifr_elite_sports.json p. - Regulations Regulations
7. [base_data] unifr_elite_sports.json p. - Reception Reception
8. [base_data] unifr_elite_sports.json p. - Previous context: rundsätzlich vom Leistungssport verabschieden sollte – schliesslich sei man keine zwanzig mehr. Ich stimme zu, dass die «Spritzigkeit» und vielleicht auch die Peak Performance ab M rundsätzlich vom Leis
9. [base_data] unifr_elite_sports.json p. - Previous context: nd der Ausgleich zum kopflastigen Studium standen für mich im Vordergrund und war meine Hauptmotivation, nach dieser langen Pause das Training wieder aufzunehmen. Wie unterscheidet d der Ausgleich zum k
10. [base_data] unifr_studies_army.json p. - Previous context: an Ihren Kontakt gerichtet ist; und eventuell 2. Ihr Aufgebot (Dienstanzeige und/oder Marschbefehl) im PDF-Format, nur falls Ihr Gesuch mittels des PDF-Formulars erfolgt. Dieses D an Ihren Kontakt geric</t>
  </si>
  <si>
    <t>[{"source": "structure_of_studies.json", "page": null, "snippet": "Teacher Education for Secondary level\n\nTeacher Education for Secondary level\nFor this courses, please consult the following sources for the structure of studies:\n- Teacher Education for Secondary Level I\n- Teacher Education for Baccalaureate Schools\n\nTeacher Education for Secondary Level I: https://www.unifr.ch/studies/en/organisation/beginning-of-studies/structure-of-studies/teacher-education-for-secondary-level-i.html\nTeacher Education for Baccalaureate Schools: https://www.unifr.ch/studies/en",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16, "section": "Teacher Education for Secondary level", "source_reference": "https://www.unifr.ch/studies/en/organisation/beginning-of-studies/structure-of-studies/", "chunk_id": "unifr_structure_of_studies_en::section::016::chunk::001", "chunk_type": "section", "prev_chunk_id": "unifr_structure_of_studies_en::section::015::chunk::001",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"Teacher Education for Secondary level\n\nTeacher Education for Secondary level\nFor this courses, please consult the following sources for the structure of studies:\n- Teacher Education for Secondary Level I\n- Teacher Education for Baccalaureate Schools\nCourse offerings\nStudies Information Office\n\nTeacher Education for Secondary Level I: https://www.unifr.ch/studies/en/organisation/beginning-of-studies/structure-of-studies/teacher-education-for-secondary-level-i.html\nTeacher Education for Baccalaure",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16, "section": "Teacher Education for Secondary level", "chunk_id": "unifr_elite_sport_www_unifr_ch_studies_en_organisation_beginning_of_studies_structure_of_studies::section::016::chunk::001", "chunk_type": "section", "prev_chunk_id": "unifr_elite_sport_www_unifr_ch_studies_en_organisation_beginning_of_studies_structure_of_studies::section::015::chunk::001",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"Table of the study programmes corresponding to the Teacher Education for Secondary Level I\n\nTable of the study programmes corresponding to the Teacher Education for Secondary Level I\nThe table is available only in the non-mobile version of the site.\n- See the French version of the table\n- See the German version of the table\n\nSee the French version of the table: https://www.unifr.ch/studies/fr/organisation/debut-etudes/structure-des-etudes/formation-secondaire-i.html\nSee the German version of the",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7, "section": "Table of the study programmes corresponding to the Teacher Education for Secondary Level I", "chunk_id": "unifr_elite_sport_www_unifr_ch_studies_en_organisation_beginning_of_studies_structure_of_studies_teacher_education_for_secondary_level_i_html::section::007::chunk::001", "chunk_type": "section", "prev_chunk_id": "unifr_elite_sport_www_unifr_ch_studies_en_organisation_beginning_of_studies_structure_of_studies_teacher_education_for_secondary_level_i_html::section::006::chunk::001",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"Table of the study programmes corresponding to the Teacher Education for Baccalaureate Schools\n\nTable of the study programmes corresponding to the Teacher Education for Baccalaureate Schools\nThe table is available only in the non-mobile version of the site.\n- See the French version of the table\n- See the German version of the table\n\nSee the French version of the table: https://www.unifr.ch/studies/fr/organisation/debut-etudes/structure-des-etudes/formation-maturite.html\nSee the German version of", "metadata": {"doc_key": "unifr_elite_sport_www_unifr_ch_studies_en_organisation_beginning_of_studies_structure_of_studies_teacher_education_for_academic_upper_secondary_schools_html", "source_type": "unifr_elite_sport_page", "source_url": "https://www.unifr.ch/studies/en/organisation/beginning-of-studies/structure-of-studies/teacher-education-for-academic-upper-secondary-schools.html", "source_reference": "https://www.unifr.ch/studies/en/organisation/beginning-of-studies/structure-of-studies/teacher-education-for-academic-upper-secondary-schools.html", "title": "Teacher Education for Baccalaureate Schools | Studies | University of Fribourg", "page_heading": "Teacher Education for Baccalaureate Schools", "language": "en", "parent_url": "https://www.unifr.ch/studies/en/organisation/during-studies/studies-and-elite-sportswomen-and-sportsmen.html", "source_file": "unifr_elite_sports.json", "parser": "scrapy_base_info_json", "index_variant": "base_info_semantic_v1", "section_index": 3, "section": "Table of the study programmes corresponding to the Teacher Education for Baccalaureate Schools", "chunk_id": "unifr_elite_sport_www_unifr_ch_studies_en_organisation_beginning_of_studies_structure_of_studies_teacher_education_for_academic_upper_secondary_schools_html::section::003::chunk::001", "chunk_type": "section", "prev_chunk_id": "unifr_elite_sport_www_unifr_ch_studies_en_organisation_beginning_of_studies_structure_of_studies_teacher_education_for_academic_upper_secondary_schools_html::section::002::chunk::001",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"Teacher Education for Secondary Level I\n\nTeacher Education for Secondary Level I\nThe Teaching diploma for lower secondary education ( DEDS/LDS) is obtained after completing two cycles of education, i.e. academic training to bachelor level culminating in a Bachelor of Arts in Secondary Education (BA_SI), or a Bachelor of Science in Secondary Education (BSc_SI), and professional, pedagogical, didactic and practical training carried out mainly at master ’s level culminating in a Master of Arts in S",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1, "section": "Teacher Education for Secondary Level I", "chunk_id": "unifr_elite_sport_www_unifr_ch_studies_en_organisation_beginning_of_studies_structure_of_studies_teacher_education_for_secondary_level_i_html::section::001::chunk::001", "chunk_type": "section", "next_chunk_id": "unifr_elite_sport_www_unifr_ch_studies_en_organisation_beginning_of_studies_structure_of_studies_teacher_education_for_secondary_level_i_html::section::002::chunk::001",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"Regulations\n\nRegulations", "metadata": {"doc_key": "unifr_elite_sport_www_unifr_ch_studies_en_admission", "source_type": "unifr_elite_sport_page", "source_url": "https://www.unifr.ch/studies/en/admission/", "source_reference": "https://www.unifr.ch/studies/en/admission/", "title": "Admission | Studies | University of Fribourg", "page_heading": "Admission at the University of Fribourg", "language": "en", "parent_url": "https://www.unifr.ch/studies/en/organisation/during-studies/studies-and-elite-sportswomen-and-sportsmen.html", "source_file": "unifr_elite_sports.json", "parser": "scrapy_base_info_json", "index_variant": "base_info_semantic_v1", "section_index": 18, "section": "Regulations", "chunk_id": "unifr_elite_sport_www_unifr_ch_studies_en_admission::section::018::chunk::001", "chunk_type": "section", "prev_chunk_id": "unifr_elite_sport_www_unifr_ch_studies_en_admission::section::017::chunk::001", "next_chunk_id": "unifr_elite_sport_www_unifr_ch_studies_en_admission::section::019::chunk::001",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"Reception\n\nReception", "metadata": {"doc_key": "unifr_elite_sport_www_unifr_ch_studies_en_admission_contact_team_contact_html", "source_type": "unifr_elite_sport_page", "source_url": "https://www.unifr.ch/studies/en/admission/contact-team/contact.html", "source_reference": "https://www.unifr.ch/studies/en/admission/contact-team/contact.html", "title": "Contact | Studies | University of Fribourg", "page_heading": "Contact us", "language": "en", "parent_url": "https://www.unifr.ch/studies/en/organisation/during-studies/studies-and-elite-sportswomen-and-sportsmen.html", "source_file": "unifr_elite_sports.json", "parser": "scrapy_base_info_json", "index_variant": "base_info_semantic_v1", "section_index": 3, "section": "Reception", "chunk_id": "unifr_elite_sport_www_unifr_ch_studies_en_admission_contact_team_contact_html::section::003::chunk::001", "chunk_type": "section", "prev_chunk_id": "unifr_elite_sport_www_unifr_ch_studies_en_admission_contact_team_contact_html::section::002::chunk::001", "next_chunk_id": "unifr_elite_sport_www_unifr_ch_studies_en_admission_contact_team_contact_html::section::004::chunk::001",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"Previous context: rundsätzlich vom Leistungssport verabschieden sollte – schliesslich sei man keine zwanzig mehr.\nIch stimme zu, dass die «Spritzigkeit» und vielleicht auch die Peak Performance ab M\n\nrundsätzlich vom Leistungssport verabschieden sollte – schliesslich sei man keine zwanzig mehr.\nIch stimme zu, dass die «Spritzigkeit» und vielleicht auch die Peak Performance ab Mitte dreissig nicht mehr dieselbe ist wie bei den 20-Jährigen. Ebenso wird man ab einem bestimmten Alter grundsätzlich e",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"unifr_elite_sport_www_unifr_ch_alma_georges_articles_2026_zwischen_unifr_studium_und_spitzensport_ein_interview_mit_sandrine_benz::section::001::chunk::013", "chunk_type": "section", "prev_chunk_id": "unifr_elite_sport_www_unifr_ch_alma_georges_articles_2026_zwischen_unifr_studium_und_spitzensport_ein_interview_mit_sandrine_benz::section::001::chunk::012", "next_chunk_id": "unifr_elite_sport_www_unifr_ch_alma_georges_articles_2026_zwischen_unifr_studium_und_spitzensport_ein_interview_mit_sandrine_benz::section::001::chunk::014",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"unifr_elite_sports.json", "page": null, "snippet": "Previous context: nd der Ausgleich zum kopflastigen Studium standen für mich im Vordergrund und war meine Hauptmotivation, nach dieser langen Pause das Training wieder aufzunehmen.\nWie unterscheidet\n\nd der Ausgleich zum kopflastigen Studium standen für mich im Vordergrund und war meine Hauptmotivation, nach dieser langen Pause das Training wieder aufzunehmen.\nWie unterscheidet sich selbst gesteuertes Training mental von klassischer Trainerführung? Der grösste Unterschied besteht darin, dass man ", "metadata": {"doc_key": "unifr_elite_sport_www_unifr_ch_alma_georges_articles_2026_zwischen_unifr_studium_und_spitzensport_ein_interview_mit_sandrine_benz", "source_type": "unifr_elite_sport_page", "source_url": "https://www.unifr.ch/alma-georges/articles/2026/zwischen-unifr-studium-und-spitzensport-ein-interview-mit-sandrine-benz?lang=de", "source_reference": "https://www.unifr.ch/alma-georges/articles/2026/zwischen-unifr-studium-und-spitzensport-ein-interview-mit-sandrine-benz?lang=de", "title": "Zwischen Unifr-Studium und Spitzensport – Ein Interview mit Sandrine Benz – Alma &amp; Georges", "page_heading": "Zwischen Unifr-Studium und Spitzensport – Ein Interview mit Sandrine Benz", "language": "de", "parent_url": "https://www.unifr.ch/studies/en/organisation/during-studies/studies-and-elite-sportswomen-and-sportsmen.html", "source_file": "unifr_elite_sports.json", "parser": "scrapy_base_info_json", "index_variant": "base_info_semantic_v1", "section_index": 1, "section": "Zwischen Hörsaal und Weltmeisterschaft: Seit Beginn ihres Medizinstudiums an der Universität Freiburg im Jahr 2022 lebt Spitzensportlerin Sandrine Benz (41) eine aussergewöhnliche Doppelkarriere.", "chunk_id": "unifr_elite_sport_www_unifr_ch_alma_georges_articles_2026_zwischen_unifr_studium_und_spitzensport_ein_interview_mit_sandrine_benz::section::001::chunk::011", "chunk_type": "section", "prev_chunk_id": "unifr_elite_sport_www_unifr_ch_alma_georges_articles_2026_zwischen_unifr_studium_und_spitzensport_ein_interview_mit_sandrine_benz::section::001::chunk::010", "next_chunk_id": "unifr_elite_sport_www_unifr_ch_alma_georges_articles_2026_zwischen_unifr_studium_und_spitzensport_ein_interview_mit_sandrine_benz::section::001::chunk::012",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 {"source": "unifr_studies_army.json", "page": null, "snippet": "Previous context: an Ihren Kontakt gerichtet ist; und eventuell\n2. Ihr Aufgebot (Dienstanzeige und/oder Marschbefehl) im PDF-Format, nur falls Ihr Gesuch mittels des PDF-Formulars erfolgt. Dieses D\n\nan Ihren Kontakt gerichtet ist; und eventuell\n2. Ihr Aufgebot (Dienstanzeige und/oder Marschbefehl) im PDF-Format, nur falls Ihr Gesuch mittels des PDF-Formulars erfolgt. Dieses Dokument kann bei Bedarf bei der Aufgebotsbehörde im PDF-Format bestellt werden.\nEmpfänger: (Art. 12 lit. b KZMA )\nSiehe «K", "metadata": {"doc_key": "unifr_studies_army_www_unifr_ch_uni_info_de_armee", "source_type": "unifr_studies_army_page", "source_url": "https://www.unifr.ch/uni-info/de/armee/", "source_reference": "https://www.unifr.ch/uni-info/de/armee/", "title": "Beratungsstelle Studium-Armee | Uni-Info | Université de Fribourg", "page_heading": "Beratungsstelle Studium-Armee", "language": "de", "source_file": "unifr_studies_army.json", "parser": "scrapy_base_info_json", "index_variant": "base_info_semantic_v1", "section_index": 4, "section": "Achtung", "chunk_id": "unifr_studies_army_www_unifr_ch_uni_info_de_armee::section::004::chunk::004", "chunk_type": "section", "prev_chunk_id": "unifr_studies_army_www_unifr_ch_uni_info_de_armee::section::004::chunk::003", "next_chunk_id": "unifr_studies_army_www_unifr_ch_uni_info_de_armee::section::004::chunk::005",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"How is the Teacher Trianing structured?", "query_language": "en"},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"Wie ist die Lehrerfortbildung strukturiert?", "query_language": "de"}], "returned_count": 10}}]</t>
  </si>
  <si>
    <t>structure_of_studies.json</t>
  </si>
  <si>
    <t>base_data</t>
  </si>
  <si>
    <t>Teacher Education for Secondary level Teacher Education for Secondary level For this courses, please consult the following sources for the structure of studies: - Teacher Education for Secondary Level I - Teacher Education for Baccalaureate Schools Teacher Education for Secondary Level I: https://www.unifr.ch/studies/en/organisation/beginning-of-st</t>
  </si>
  <si>
    <t>1</t>
  </si>
  <si>
    <t>good</t>
  </si>
  <si>
    <t>Relevant evidence appears at rank 1.</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</si>
  <si>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</si>
  <si>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</si>
  <si>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</si>
  <si>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</si>
  <si>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studyplans; studyplans; studyplans; studyplans; studyplans; studyplans; studyplans; studyplans; studyplans; studyplans</t>
  </si>
  <si>
    <t>1; 1; 1; 1; 1; 1; 1; 1; 1; 1</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</si>
  <si>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</si>
  <si>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"Master_90_59edacccbc814f4ca7dd2a3d388690f68f8d8f12.txt",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 {"source": "Master_90_59edacccbc814f4ca7dd2a3d388690f68f8d8f12.txt",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"en"}], "returned_count": 10}}]</t>
  </si>
  <si>
    <t>Master_90_59edacccbc814f4ca7dd2a3d388690f68f8d8f12.txt</t>
  </si>
  <si>
    <t>studyplans</t>
  </si>
  <si>
    <t>Section: Inhaltsverzeichnis Table rows: - 1.: 2; Gesetzliche Grundlagen ......................................................................................................... 1: Beschreibung des Programms ............................................................................................... 1 - 1.: 3; Gesetzliche Grundlagen ............</t>
  </si>
  <si>
    <t>4,5,6,7,8,9,10</t>
  </si>
  <si>
    <t>partial</t>
  </si>
  <si>
    <t>Relevant evidence appears in top 5, first at rank 4.</t>
  </si>
  <si>
    <t>general_uni_data</t>
  </si>
  <si>
    <t>How many ects credits does a master program have?</t>
  </si>
  <si>
    <t>standard number of ects. Possibly highlighting possible deviations per faculty</t>
  </si>
  <si>
    <t>base_data vectorstore</t>
  </si>
  <si>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</si>
  <si>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</si>
  <si>
    <t>[{"source": "Master_120_09f4bd6a51cf2c49c32336cd4099f24000d81954.txt",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"Master_120_1253e811dc7c10018aaffeabe539ef18ce21c299.txt",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"Master_120_1253e811dc7c10018aaffeabe539ef18ce21c299.txt",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 {"source": "Master_120_28f0a44a437eb3a95c3ff6bc5be31d9f44a0fcde.txt",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"en"}],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</si>
  <si>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</si>
  <si>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</si>
  <si>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None</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</si>
  <si>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</si>
  <si>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</si>
  <si>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</si>
  <si>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</si>
  <si>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[{"source": "unifr_studies_disability.json",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"structure_of_studies.json",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"languages_of_study.json",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"unifr_elite_sports.json",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 {"source": "unifr_examinations_faculty_rules.json",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942, "candidate_count_global_fallback": 80, "source_intent": "base_data", "returned_count": 10, "returned_programs": ["None"], "query": "Which faculties exist?", "query_language": "en"}], "returned_count": 10}}]</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</si>
  <si>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</si>
  <si>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</si>
  <si>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1,2,10</t>
  </si>
  <si>
    <t>2,10,1</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</si>
  <si>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</si>
  <si>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</si>
  <si>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</si>
  <si>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</si>
  <si>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 {"source": "Bachelor_180_80b173004838b5856a2ed1a73ccc60de140ce7f4.txt",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"en"}],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</si>
  <si>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</si>
  <si>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</si>
  <si>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1,5,7</t>
  </si>
  <si>
    <t>What profile does a student of management have?</t>
  </si>
  <si>
    <t>summary of program leanings and obtained profile</t>
  </si>
  <si>
    <t>unifr_examinations_faculty_rules.json; student_advice_and_information.json; unifr_elite_sports.json; unifr_studies_disability.json; unifr_studies_disability.json; unifr_studies_disability.json; unifr_studies_disability.json; unifr_studies_disability.json; unifr_examinations_faculty_rules.json; unifr_elite_sports.json</t>
  </si>
  <si>
    <t>1. [base_data] unifr_examinations_faculty_rules.json p. - Procedure Procedure 1. Transcript: Students must contact their home university to have them send us (directly to the address mobility-delegate-ses@unifr.ch) the necessary transcripts (with marking scale) for recognition 
2. [base_data] student_advice_and_information.json p. - Study Advisors Study Advisors A study advisor is appointed for each field and is available to advise students about planning their studies and to help with specific questions concerning studies. The addresses of the pers
3. [base_data] unifr_elite_sports.json p. - Study Advisors Study Advisors A study advisor is appointed for each field and is available to advise students about planning their studies and to help with specific questions concerning studies. The addresses of the pers
4. [base_data] unifr_studies_disability.json p. - Contact Contact uni-social@unifr.ch +41 26 300 71 60 Financial management during studies Financial management during studies: https://www.unifr.ch/campus/en/assets/public/uploads/gestion_financiere.pdf
5. [base_data] unifr_studies_disability.json p. - Ombudsstelle . Ombudsstelle . It is your main point of contact whether you are a student, a doctoral student, an assistant, or a member of the teaching, academic, administrative or technical staff.
6. [base_data] unifr_studies_disability.json p. - Contact Contact uni-social@unifr.ch www.uni-social.ch +41 26 300 71 60 Financial management during studies www.uni-social.ch: https://www.unifr.ch/uni-social/en/ Financial management during studies: https://www.unifr.ch/
7. [base_data] unifr_studies_disability.json p. - Time management Time management
8. [base_data] unifr_studies_disability.json p. - Stress management Stress management
9. [base_data] unifr_examinations_faculty_rules.json p. - Regulations and Curricula Regulations and Curricula To obtain a degree from the Faculty of Science and Medicine, you must meet the specific requirements of your study program. As a student, you must know and follow your 
10. [base_data] unifr_elite_sports.json p. - Master Master The 2 nd cycle of studies in which students deepen the knowledge acquired in the 1st cycle (bachelor). To gain a master’s degree students have to acquire 90 to 120 ECTS credits in 1.5 to 2 years of full-tim</t>
  </si>
  <si>
    <t>[{"source": "unifr_examinations_faculty_rules.json", "page": null, "snippet": "Procedure\n\nProcedure\n1. Transcript: Students must contact their home university to have them send us (directly to the address mobility-delegate-ses@unifr.ch) the necessary transcripts (with marking scale) for recognition of their examinations.\n2. Course description: Students must also collect descriptions of each course in their home university (content and hours / weeks / ECTS).\n3. Application form : Students should mention on the appropriate form (also available at the Dean’s office) courses t", "metadata": {"doc_key": "unifr_faculty_of_management_economics_and_social_sciences_www_unifr_ch_ses_en_studies_exams_theses_recognitions_html", "source_type": "unifr_faculty_examination_rule_page", "source_url": "https://www.unifr.ch/ses/en/studies/exams-theses/recognitions.html", "source_reference": "https://www.unifr.ch/ses/en/studies/exams-theses/recognitions.html", "title": "Recognitions | Faculty of Management, Economics and Social Sciences | University of Fribourg", "page_heading": "Recognitions of examinations", "language": "en", "faculty": "Faculty of Management, Economics and Social Sciences", "parent_url": "https://www.unifr.ch/ses/en/studies/exams-theses/", "source_file": "unifr_examinations_faculty_rules.json", "parser": "scrapy_base_info_json", "index_variant": "base_info_semantic_v1", "section_index": 2, "section": "Procedure", "chunk_id": "unifr_faculty_of_management_economics_and_social_sciences_www_unifr_ch_ses_en_studies_exams_theses_recognitions_html::section::002::chunk::001", "chunk_type": "section", "prev_chunk_id": "unifr_faculty_of_management_economics_and_social_sciences_www_unifr_ch_ses_en_studies_exams_theses_recognitions_html::section::001::chunk::001", "next_chunk_id": "unifr_faculty_of_management_economics_and_social_sciences_www_unifr_ch_ses_en_studies_exams_theses_recognitions_html::section::002::chunk::002",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"student_advice_and_information.json", "page": null, "snippet": "Study Advisors\n\nStudy Advisors\nA study advisor is appointed for each field and is available to advise students about planning their studies and to help with specific questions concerning studies. The addresses of the person to contact can be found on the web pages of the appropriate faculty.\n- Theology\n- Law\n- Management, economics and social sciences\n- Humanities\n- Science and medicine\n\nTheology: https://www.unifr.ch/theo/fr/formation/etudiants/conseillers.html\nLaw: https://www.unifr.ch/ius/fr/", "metadata": {"doc_key": "unifr_student_advice_and_information_en", "source_type": "unifr_general_info_page", "source_url": "https://www.unifr.ch/studies/en/organisation/beginning-of-studies/student-advice-and-information.html", "title": "Student Advice and Information | Studies | University of Fribourg", "page_heading": "Student Advice and Information", "language": "en", "source_file": "student_advice_and_information.json", "parser": "scrapy_base_info_json", "index_variant": "base_info_semantic_v1", "section_index": 2, "section": "Study Advisors", "source_reference": "https://www.unifr.ch/studies/en/organisation/beginning-of-studies/student-advice-and-information.html", "chunk_id": "unifr_student_advice_and_information_en::section::002::chunk::001", "chunk_type": "section", "prev_chunk_id": "unifr_student_advice_and_information_en::section::001::chunk::001", "next_chunk_id": "unifr_student_advice_and_information_en::section::003::chunk::001",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"unifr_elite_sports.json", "page": null, "snippet": "Study Advisors\n\nStudy Advisors\nA study advisor is appointed for each field and is available to advise students about planning their studies and to help with specific questions concerning studies. The addresses of the person to contact can be found on the web pages of the appropriate faculty.\n- Theology\n- Law\n- Management, economics and social sciences\n- Humanities\n- Science and medicine\n\nTheology: https://www.unifr.ch/theo/fr/formation/etudiants/conseillers.html\nLaw: https://www.unifr.ch/ius/fr/",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3, "section": "Study Advisors", "chunk_id": "unifr_elite_sport_www_unifr_ch_studies_en_organisation_beginning_of_studies_student_advice_and_information_html::section::003::chunk::001", "chunk_type": "section", "prev_chunk_id": "unifr_elite_sport_www_unifr_ch_studies_en_organisation_beginning_of_studies_student_advice_and_information_html::section::002::chunk::001", "next_chunk_id": "unifr_elite_sport_www_unifr_ch_studies_en_organisation_beginning_of_studies_student_advice_and_information_html::section::004::chunk::001",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"Contact\n\nContact\nuni-social@unifr.ch\n+41 26 300 71 60\nFinancial management during studies\n\nFinancial management during studies: https://www.unifr.ch/campus/en/assets/public/uploads/gestion_financiere.pdf", "metadata": {"doc_key": "unifr_studies_disability_www_unifr_ch_campus_en_support_financial_support_social_insurance_html", "source_type": "unifr_studies_disability_page", "source_url": "https://www.unifr.ch/campus/en/support/financial-support/social-insurance.html", "source_reference": "https://www.unifr.ch/campus/en/support/financial-support/social-insurance.html", "title": "Social insurance | Campus | University of Fribourg", "page_heading": "Social insurance", "language": "en", "parent_url": "https://www.unifr.ch/campus/en/support/learning-and-success/studies-and-disability.html", "source_file": "unifr_studies_disability.json", "parser": "scrapy_base_info_json", "index_variant": "base_info_semantic_v1", "section_index": 3, "section": "Contact", "chunk_id": "unifr_studies_disability_www_unifr_ch_campus_en_support_financial_support_social_insurance_html::section::003::chunk::001", "chunk_type": "section", "prev_chunk_id": "unifr_studies_disability_www_unifr_ch_campus_en_support_financial_support_social_insurance_html::section::002::chunk::001",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"Ombudsstelle .\n\nOmbudsstelle .\nIt is your main point of contact whether you are a student, a doctoral student, an assistant, or a member of the teaching, academic, administrative or technical staff.", "metadata": {"doc_key": "unifr_studies_disability_www_unifr_ch_campus_en_support_conflicts_and_discrimination_respect_and_harassment_finding_help_html", "source_type": "unifr_studies_disability_page", "source_url": "https://www.unifr.ch/campus/en/support/conflicts-and-discrimination/respect-and-harassment/finding-help.html", "source_reference": "https://www.unifr.ch/campus/en/support/conflicts-and-discrimination/respect-and-harassment/finding-help.html", "title": "Finding help | Campus | University of Fribourg", "page_heading": "Finding help", "language": "en", "parent_url": "https://www.unifr.ch/campus/en/support/learning-and-success/studies-and-disability.html", "source_file": "unifr_studies_disability.json", "parser": "scrapy_base_info_json", "index_variant": "base_info_semantic_v1", "section_index": 2, "section": "Ombudsstelle .", "chunk_id": "unifr_studies_disability_www_unifr_ch_campus_en_support_conflicts_and_discrimination_respect_and_harassment_finding_help_html::section::002::chunk::001", "chunk_type": "section", "prev_chunk_id": "unifr_studies_disability_www_unifr_ch_campus_en_support_conflicts_and_discrimination_respect_and_harassment_finding_help_html::section::001::chunk::001", "next_chunk_id": "unifr_studies_disability_www_unifr_ch_campus_en_support_conflicts_and_discrimination_respect_and_harassment_finding_help_html::section::003::chunk::001",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"Contact\n\nContact\nuni-social@unifr.ch\nwww.uni-social.ch\n+41 26 300 71 60\nFinancial management during studies\n\nwww.uni-social.ch: https://www.unifr.ch/uni-social/en/\nFinancial management during studies: https://www.unifr.ch/campus/en/assets/public/uploads/gestion_financiere.pdf", "metadata": {"doc_key": "unifr_studies_disability_www_unifr_ch_campus_en_support_financial_support_non_refundable_financial_aid_html", "source_type": "unifr_studies_disability_page", "source_url": "https://www.unifr.ch/campus/en/support/financial-support/non-refundable-financial-aid.html", "source_reference": "https://www.unifr.ch/campus/en/support/financial-support/non-refundable-financial-aid.html", "title": "Non-refundable financial aid | Campus | University of Fribourg", "page_heading": "Non-refundable financial aid from the University", "language": "en", "parent_url": "https://www.unifr.ch/campus/en/support/learning-and-success/studies-and-disability.html", "source_file": "unifr_studies_disability.json", "parser": "scrapy_base_info_json", "index_variant": "base_info_semantic_v1", "section_index": 4, "section": "Contact", "chunk_id": "unifr_studies_disability_www_unifr_ch_campus_en_support_financial_support_non_refundable_financial_aid_html::section::004::chunk::001", "chunk_type": "section", "prev_chunk_id": "unifr_studies_disability_www_unifr_ch_campus_en_support_financial_support_non_refundable_financial_aid_html::section::003::chunk::001",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"Time management\n\nTime management", "metadata": {"doc_key": "unifr_studies_disability_www_unifr_ch_campus_en_support_learning_and_success_learning_strategies_gestion_du_temps_html", "source_type": "unifr_studies_disability_page", "source_url": "https://www.unifr.ch/campus/en/support/learning-and-success/learning-strategies/gestion-du-temps.html", "source_reference": "https://www.unifr.ch/campus/en/support/learning-and-success/learning-strategies/gestion-du-temps.html", "title": "Time management | Campus | University of Fribourg", "page_heading": "Time management", "language": "en", "parent_url": "https://www.unifr.ch/campus/en/support/learning-and-success/studies-and-disability.html", "source_file": "unifr_studies_disability.json", "parser": "scrapy_base_info_json", "index_variant": "base_info_semantic_v1", "section_index": 1, "section": "Time management", "chunk_id": "unifr_studies_disability_www_unifr_ch_campus_en_support_learning_and_success_learning_strategies_gestion_du_temps_html::section::001::chunk::001", "chunk_type": "section", "next_chunk_id": "unifr_studies_disability_www_unifr_ch_campus_en_support_learning_and_success_learning_strategies_gestion_du_temps_html::section::002::chunk::001",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"unifr_studies_disability.json", "page": null, "snippet": "Stress management\n\nStress management", "metadata": {"doc_key": "unifr_studies_disability_www_unifr_ch_campus_en_support_learning_and_success_learning_strategies_gestion_du_stress_html", "source_type": "unifr_studies_disability_page", "source_url": "https://www.unifr.ch/campus/en/support/learning-and-success/learning-strategies/gestion-du-stress.html", "source_reference": "https://www.unifr.ch/campus/en/support/learning-and-success/learning-strategies/gestion-du-stress.html", "title": "Stress management | Campus | University of Fribourg", "page_heading": "Stress management", "language": "en", "parent_url": "https://www.unifr.ch/campus/en/support/learning-and-success/studies-and-disability.html", "source_file": "unifr_studies_disability.json", "parser": "scrapy_base_info_json", "index_variant": "base_info_semantic_v1", "section_index": 1, "section": "Stress management", "chunk_id": "unifr_studies_disability_www_unifr_ch_campus_en_support_learning_and_success_learning_strategies_gestion_du_stress_html::section::001::chunk::001", "chunk_type": "section", "next_chunk_id": "unifr_studies_disability_www_unifr_ch_campus_en_support_learning_and_success_learning_strategies_gestion_du_stress_html::section::002::chunk::001",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"unifr_examinations_faculty_rules.json", "page": null, "snippet": "Regulations and Curricula\n\nRegulations and Curricula\nTo obtain a degree from the Faculty of Science and Medicine, you must meet the specific requirements of your study program. As a student, you must know and follow your regulations and curriculum and meet the requirements below.", "metadata": {"doc_key": "unifr_faculty_of_science_and_medicine_www_unifr_ch_scimed_en_rules", "source_type": "unifr_faculty_examination_rule_page", "source_url": "https://www.unifr.ch/scimed/en/rules", "source_reference": "https://www.unifr.ch/scimed/en/rules", "title": "Regulations and Curricula | Faculty of Science and Medicine | University of Fribourg", "page_heading": "Regulations and Curricula", "language": "en", "faculty": "Faculty of Science and Medicine", "parent_url": "https://www.unifr.ch/scimed/en/validate", "source_file": "unifr_examinations_faculty_rules.json", "parser": "scrapy_base_info_json", "index_variant": "base_info_semantic_v1", "section_index": 1, "section": "Regulations and Curricula", "chunk_id": "unifr_faculty_of_science_and_medicine_www_unifr_ch_scimed_en_rules::section::001::chunk::001", "chunk_type": "section", "next_chunk_id": "unifr_faculty_of_science_and_medicine_www_unifr_ch_scimed_en_rules::section::002::chunk::001",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 {"source": "unifr_elite_sports.json", "page": null, "snippet": "Master\n\nMaster\nThe 2 nd cycle of studies in which students deepen the knowledge acquired in the 1st cycle (bachelor). To gain a master’s degree students have to acquire 90 to 120 ECTS credits in 1.5 to 2 years of full-time studies.", "metadata": {"doc_key": "unifr_elite_sport_www_unifr_ch_studies_en_organisation_lexique", "source_type": "unifr_elite_sport_page", "source_url": "https://www.unifr.ch/studies/en/organisation/lexique/", "source_reference": "https://www.unifr.ch/studies/en/organisation/lexique/", "title": "Glossary | Studies | University of Fribourg", "page_heading": "Glossary", "language": "en", "parent_url": "https://www.unifr.ch/studies/en/organisation/during-studies/studies-and-elite-sportswomen-and-sportsmen.html", "source_file": "unifr_elite_sports.json", "parser": "scrapy_base_info_json", "index_variant": "base_info_semantic_v1", "section_index": 5, "section": "Master", "chunk_id": "unifr_elite_sport_www_unifr_ch_studies_en_organisation_lexique::section::005::chunk::001", "chunk_type": "section", "prev_chunk_id": "unifr_elite_sport_www_unifr_ch_studies_en_organisation_lexique::section::004::chunk::001", "next_chunk_id": "unifr_elite_sport_www_unifr_ch_studies_en_organisation_lexique::section::006::chunk::001", "rag_source": "base_data", "category": "base_data", "retrieval_debug":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"retrieval_debug": {"retrieval_mode": "metadata_and_language_aware", "requested_language": "en", "runs": [{"detected_program_name": null, "detected_program_key": null, "detected_degree": "Master", "detected_ects": null, "detected_year": null, "retrieval_mode": "metadata_first", "candidate_count_after_program_degree_ects": 942, "candidate_count_global_fallback": 80, "source_intent": "base_data", "returned_count": 10, "returned_programs": ["None"], "query": "What profile does a student of management have?", "query_language": "en"}], "returned_count": 10}}]</t>
  </si>
  <si>
    <t>unifr_examinations_faculty_rules.json</t>
  </si>
  <si>
    <t>Procedure Procedure 1. Transcript: Students must contact their home university to have them send us (directly to the address mobility-delegate-ses@unifr.ch) the necessary transcripts (with marking scale) for recognition of their examinations. 2. Course description: Students must also collect descriptions of each course in their home university (con</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</si>
  <si>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</si>
  <si>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</si>
  <si>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</si>
  <si>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</si>
  <si>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"Master_90_ac63854b237749c8e734fb8a94f0c163a11510d8.txt",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 {"source": "Master_90_ac63854b237749c8e734fb8a94f0c163a11510d8.txt",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"en"}], "returned_count": 10}}]</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</si>
  <si>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</si>
  <si>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</si>
  <si>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None (not mathematics program found)</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</si>
  <si>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</si>
  <si>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</si>
  <si>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</si>
  <si>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</si>
  <si>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"Bachelor_120_991e33011e85c80ce74b56fe4592b6869e64c6fb.txt",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 {"source": "Bachelor_120_991e33011e85c80ce74b56fe4592b6869e64c6fb.txt",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"de"}], "returned_count": 10}}]</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</si>
  <si>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</si>
  <si>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</si>
  <si>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None ( faculty philosophie not program found)</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</si>
  <si>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</si>
  <si>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</si>
  <si>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</si>
  <si>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</si>
  <si>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</si>
  <si>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"Bachelor_60_0db1ecc33192dca3d59fdf22e534a0faf17d221c.txt",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"Bachelor_60_0db1ecc33192dca3d59fdf22e534a0faf17d221c.txt",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 {"source": "Bachelor_60_de187ddb3891357b61d0665e5a4f0f2bc5bfd0bf.txt",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"fr"}], "returned_count": 10}}]</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</si>
  <si>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</si>
  <si>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</si>
  <si>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None (again wrong doc --&gt; within doc section not too bad)</t>
  </si>
  <si>
    <t>reglementation</t>
  </si>
  <si>
    <t>What does the reglementation say about quality assurance at the university of friburg?</t>
  </si>
  <si>
    <t>summary of https://webapps.unifr.ch/legal/de/110.000</t>
  </si>
  <si>
    <t>RAG</t>
  </si>
  <si>
    <t>regl vectorstore</t>
  </si>
  <si>
    <t>reglementations</t>
  </si>
  <si>
    <t>Internal Server Error</t>
  </si>
  <si>
    <t>none error</t>
  </si>
  <si>
    <t>failed</t>
  </si>
  <si>
    <t>Retrieval failed or no usable source was returned.</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</si>
  <si>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</si>
  <si>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</si>
  <si>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</si>
  <si>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</si>
  <si>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</si>
  <si>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</si>
  <si>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</si>
  <si>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</si>
  <si>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</si>
  <si>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</si>
  <si>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</si>
  <si>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</si>
  <si>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</si>
  <si>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</si>
  <si>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</si>
  <si>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</si>
  <si>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</si>
  <si>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</si>
  <si>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</si>
  <si>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</si>
  <si>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</si>
  <si>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</si>
  <si>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</si>
  <si>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</si>
  <si>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</si>
  <si>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</si>
  <si>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</si>
  <si>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</si>
  <si>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</si>
  <si>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Interpretation</t>
  </si>
  <si>
    <t>Total retrieval-only test questions.</t>
  </si>
  <si>
    <t>Rows with explicit rank annotations</t>
  </si>
  <si>
    <t>Rows where notes/manual ranks contained at least one relevant rank.</t>
  </si>
  <si>
    <t>Share of questions where a relevant source is rank 1.</t>
  </si>
  <si>
    <t>Share of questions where a relevant source appears in top 3.</t>
  </si>
  <si>
    <t>Share of questions where a relevant source appears in top 5.</t>
  </si>
  <si>
    <t>Average proportion of relevant sources among the top 5 retrieved results.</t>
  </si>
  <si>
    <t>Average reciprocal rank of the first relevant source.</t>
  </si>
  <si>
    <t>Manual retrieval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</si>
</sst>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FFFFFF"/>
      <name val="Calibri"/>
    </font>
  </fonts>
  <fills count="6">
    <fill>
      <patternFill patternType="none"/>
    </fill>
    <fill>
      <patternFill patternType="gray125"/>
    </fill>
    <fill>
      <patternFill patternType="solid">
        <fgColor rgb="FFFFC7CE"/>
      </patternFill>
    </fill>
    <fill>
      <patternFill patternType="solid">
        <fgColor rgb="FFC6EFCE"/>
      </patternFill>
    </fill>
    <fill>
      <patternFill patternType="solid">
        <fgColor rgb="FFFFEB9C"/>
      </patternFill>
    </fill>
    <fill>
      <patternFill patternType="solid">
        <fgColor rgb="FF1F4E78"/>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2" fillId="5" borderId="0" xfId="0" applyFont="1" applyFill="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1" fillId="0" borderId="0" xfId="0" applyFont="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2"/>
  <sheetViews>
    <sheetView topLeftCell="AC1" zoomScale="69" workbookViewId="0">
      <pane ySplit="1" topLeftCell="A2" activePane="bottomLeft" state="frozen"/>
      <selection pane="bottomLeft" activeCell="AQ11" sqref="AQ11"/>
    </sheetView>
  </sheetViews>
  <sheetFormatPr baseColWidth="10" defaultColWidth="9.06640625" defaultRowHeight="14.25" x14ac:dyDescent="0.45"/>
  <cols>
    <col min="1" max="1" width="21" customWidth="1"/>
    <col min="2" max="2" width="12" customWidth="1"/>
    <col min="3" max="3" width="4" customWidth="1"/>
    <col min="4" max="4" width="18" customWidth="1"/>
    <col min="5" max="5" width="12" customWidth="1"/>
    <col min="6" max="6" width="10" customWidth="1"/>
    <col min="7" max="8" width="60" customWidth="1"/>
    <col min="9" max="9" width="17" customWidth="1"/>
    <col min="10" max="10" width="15" customWidth="1"/>
    <col min="11" max="11" width="23" customWidth="1"/>
    <col min="12" max="12" width="17" customWidth="1"/>
    <col min="13" max="13" width="26" customWidth="1"/>
    <col min="14" max="14" width="19" customWidth="1"/>
    <col min="15" max="15" width="9" customWidth="1"/>
    <col min="16" max="16" width="15" customWidth="1"/>
    <col min="17" max="17" width="19" customWidth="1"/>
    <col min="18" max="18" width="15" customWidth="1"/>
    <col min="19" max="19" width="23" customWidth="1"/>
    <col min="20" max="21" width="60" customWidth="1"/>
    <col min="22" max="22" width="30" customWidth="1"/>
    <col min="23" max="24" width="60" customWidth="1"/>
    <col min="25" max="25" width="59" customWidth="1"/>
    <col min="26" max="26" width="22" customWidth="1"/>
    <col min="27" max="27" width="18" customWidth="1"/>
    <col min="28" max="28" width="60" customWidth="1"/>
    <col min="29" max="31" width="22" customWidth="1"/>
    <col min="32" max="32" width="25" customWidth="1"/>
    <col min="33" max="33" width="14" customWidth="1"/>
    <col min="34" max="34" width="23" customWidth="1"/>
    <col min="35" max="37" width="20" customWidth="1"/>
    <col min="38" max="38" width="23" customWidth="1"/>
    <col min="39" max="39" width="12" customWidth="1"/>
    <col min="40" max="40" width="59" customWidth="1"/>
    <col min="41" max="41" width="24" customWidth="1"/>
    <col min="42" max="42" width="60" customWidth="1"/>
  </cols>
  <sheetData>
    <row r="1" spans="1:42" ht="28.5" customHeight="1"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ht="28.5" customHeight="1" x14ac:dyDescent="0.45">
      <c r="A2" s="1" t="s">
        <v>42</v>
      </c>
      <c r="B2" s="1">
        <v>2</v>
      </c>
      <c r="C2" s="1">
        <v>1</v>
      </c>
      <c r="D2" s="1" t="s">
        <v>43</v>
      </c>
      <c r="E2" s="1" t="s">
        <v>44</v>
      </c>
      <c r="F2" s="1" t="s">
        <v>45</v>
      </c>
      <c r="G2" s="1" t="s">
        <v>46</v>
      </c>
      <c r="H2" s="1" t="s">
        <v>47</v>
      </c>
      <c r="I2" s="1" t="s">
        <v>48</v>
      </c>
      <c r="J2" s="1"/>
      <c r="K2" s="1" t="s">
        <v>49</v>
      </c>
      <c r="L2" s="1"/>
      <c r="M2" s="1"/>
      <c r="N2" s="1">
        <v>200</v>
      </c>
      <c r="O2" s="1">
        <v>0</v>
      </c>
      <c r="P2" s="1">
        <v>1698.26</v>
      </c>
      <c r="Q2" s="1"/>
      <c r="R2" s="1">
        <v>0</v>
      </c>
      <c r="S2" s="1"/>
      <c r="T2" s="1"/>
      <c r="U2" s="1"/>
      <c r="V2" s="1"/>
      <c r="W2" s="1"/>
      <c r="X2" s="1" t="s">
        <v>50</v>
      </c>
      <c r="Y2" s="1"/>
      <c r="Z2" s="1"/>
      <c r="AA2" s="1"/>
      <c r="AB2" s="1"/>
      <c r="AC2" s="1">
        <v>0</v>
      </c>
      <c r="AD2" s="1">
        <v>0</v>
      </c>
      <c r="AE2" s="1">
        <v>0</v>
      </c>
      <c r="AF2" s="1">
        <v>0</v>
      </c>
      <c r="AG2" s="1">
        <v>0</v>
      </c>
      <c r="AH2" s="3"/>
      <c r="AI2" s="1">
        <v>0</v>
      </c>
      <c r="AJ2" s="1">
        <v>0</v>
      </c>
      <c r="AK2" s="1">
        <v>0</v>
      </c>
      <c r="AL2" s="1">
        <v>0</v>
      </c>
      <c r="AM2" s="1">
        <v>0</v>
      </c>
      <c r="AN2" s="1" t="s">
        <v>51</v>
      </c>
      <c r="AO2" s="1" t="s">
        <v>52</v>
      </c>
      <c r="AP2" s="1" t="s">
        <v>53</v>
      </c>
    </row>
    <row r="3" spans="1:42" ht="409.5" customHeight="1" x14ac:dyDescent="0.45">
      <c r="A3" s="1" t="s">
        <v>42</v>
      </c>
      <c r="B3" s="1">
        <v>3</v>
      </c>
      <c r="C3" s="1">
        <v>2</v>
      </c>
      <c r="D3" s="1" t="s">
        <v>43</v>
      </c>
      <c r="E3" s="1" t="s">
        <v>54</v>
      </c>
      <c r="F3" s="1" t="s">
        <v>45</v>
      </c>
      <c r="G3" s="1" t="s">
        <v>55</v>
      </c>
      <c r="H3" s="1" t="s">
        <v>56</v>
      </c>
      <c r="I3" s="1" t="s">
        <v>48</v>
      </c>
      <c r="J3" s="1"/>
      <c r="K3" s="1" t="s">
        <v>49</v>
      </c>
      <c r="L3" s="1"/>
      <c r="M3" s="1"/>
      <c r="N3" s="1">
        <v>200</v>
      </c>
      <c r="O3" s="1">
        <v>1</v>
      </c>
      <c r="P3" s="1">
        <v>45579.98</v>
      </c>
      <c r="Q3" s="1"/>
      <c r="R3" s="1">
        <v>10</v>
      </c>
      <c r="S3" s="1"/>
      <c r="T3" s="1" t="s">
        <v>57</v>
      </c>
      <c r="U3" s="1" t="s">
        <v>58</v>
      </c>
      <c r="V3" s="1" t="s">
        <v>59</v>
      </c>
      <c r="W3" s="1" t="s">
        <v>60</v>
      </c>
      <c r="X3" s="1" t="s">
        <v>61</v>
      </c>
      <c r="Y3" s="1" t="s">
        <v>62</v>
      </c>
      <c r="Z3" s="1" t="s">
        <v>63</v>
      </c>
      <c r="AA3" s="1"/>
      <c r="AB3" s="1" t="s">
        <v>64</v>
      </c>
      <c r="AC3" s="1">
        <v>0</v>
      </c>
      <c r="AD3" s="1">
        <v>0</v>
      </c>
      <c r="AE3" s="1">
        <v>0</v>
      </c>
      <c r="AF3" s="1">
        <v>0</v>
      </c>
      <c r="AG3" s="1">
        <v>0</v>
      </c>
      <c r="AH3" s="4" t="s">
        <v>65</v>
      </c>
      <c r="AI3" s="1">
        <v>1</v>
      </c>
      <c r="AJ3" s="1">
        <v>1</v>
      </c>
      <c r="AK3" s="1">
        <v>1</v>
      </c>
      <c r="AL3" s="1">
        <v>0.2</v>
      </c>
      <c r="AM3" s="1">
        <v>1</v>
      </c>
      <c r="AN3" s="1">
        <v>1</v>
      </c>
      <c r="AO3" s="1" t="s">
        <v>66</v>
      </c>
      <c r="AP3" s="1" t="s">
        <v>67</v>
      </c>
    </row>
    <row r="4" spans="1:42" ht="409.5" customHeight="1" x14ac:dyDescent="0.45">
      <c r="A4" s="1" t="s">
        <v>42</v>
      </c>
      <c r="B4" s="1">
        <v>4</v>
      </c>
      <c r="C4" s="1">
        <v>3</v>
      </c>
      <c r="D4" s="1" t="s">
        <v>43</v>
      </c>
      <c r="E4" s="1" t="s">
        <v>68</v>
      </c>
      <c r="F4" s="1" t="s">
        <v>45</v>
      </c>
      <c r="G4" s="1" t="s">
        <v>69</v>
      </c>
      <c r="H4" s="1" t="s">
        <v>70</v>
      </c>
      <c r="I4" s="1" t="s">
        <v>48</v>
      </c>
      <c r="J4" s="1"/>
      <c r="K4" s="1" t="s">
        <v>49</v>
      </c>
      <c r="L4" s="1"/>
      <c r="M4" s="1"/>
      <c r="N4" s="1">
        <v>200</v>
      </c>
      <c r="O4" s="1">
        <v>1</v>
      </c>
      <c r="P4" s="1">
        <v>1399.02</v>
      </c>
      <c r="Q4" s="1"/>
      <c r="R4" s="1">
        <v>10</v>
      </c>
      <c r="S4" s="1"/>
      <c r="T4" s="1" t="s">
        <v>71</v>
      </c>
      <c r="U4" s="1" t="s">
        <v>72</v>
      </c>
      <c r="V4" s="1" t="s">
        <v>73</v>
      </c>
      <c r="W4" s="1" t="s">
        <v>74</v>
      </c>
      <c r="X4" s="1" t="s">
        <v>75</v>
      </c>
      <c r="Y4" s="1" t="s">
        <v>76</v>
      </c>
      <c r="Z4" s="1" t="s">
        <v>77</v>
      </c>
      <c r="AA4" s="1">
        <v>1</v>
      </c>
      <c r="AB4" s="1" t="s">
        <v>78</v>
      </c>
      <c r="AC4" s="1">
        <v>0</v>
      </c>
      <c r="AD4" s="1">
        <v>0</v>
      </c>
      <c r="AE4" s="1">
        <v>0</v>
      </c>
      <c r="AF4" s="1">
        <v>0</v>
      </c>
      <c r="AG4" s="1">
        <v>0</v>
      </c>
      <c r="AH4" s="5" t="s">
        <v>79</v>
      </c>
      <c r="AI4" s="1">
        <v>0</v>
      </c>
      <c r="AJ4" s="1">
        <v>0</v>
      </c>
      <c r="AK4" s="1">
        <v>1</v>
      </c>
      <c r="AL4" s="1">
        <v>0.4</v>
      </c>
      <c r="AM4" s="1">
        <v>0.25</v>
      </c>
      <c r="AN4" s="1" t="s">
        <v>79</v>
      </c>
      <c r="AO4" s="1" t="s">
        <v>80</v>
      </c>
      <c r="AP4" s="1" t="s">
        <v>81</v>
      </c>
    </row>
    <row r="5" spans="1:42" ht="409.5" customHeight="1" x14ac:dyDescent="0.45">
      <c r="A5" s="1" t="s">
        <v>42</v>
      </c>
      <c r="B5" s="1">
        <v>5</v>
      </c>
      <c r="C5" s="1">
        <v>4</v>
      </c>
      <c r="D5" s="1" t="s">
        <v>82</v>
      </c>
      <c r="E5" s="1" t="s">
        <v>44</v>
      </c>
      <c r="F5" s="1" t="s">
        <v>45</v>
      </c>
      <c r="G5" s="1" t="s">
        <v>83</v>
      </c>
      <c r="H5" s="1" t="s">
        <v>84</v>
      </c>
      <c r="I5" s="1" t="s">
        <v>48</v>
      </c>
      <c r="J5" s="1"/>
      <c r="K5" s="1" t="s">
        <v>85</v>
      </c>
      <c r="L5" s="1"/>
      <c r="M5" s="1" t="s">
        <v>63</v>
      </c>
      <c r="N5" s="1">
        <v>200</v>
      </c>
      <c r="O5" s="1">
        <v>1</v>
      </c>
      <c r="P5" s="1">
        <v>2609.46</v>
      </c>
      <c r="Q5" s="1"/>
      <c r="R5" s="1">
        <v>10</v>
      </c>
      <c r="S5" s="1"/>
      <c r="T5" s="1" t="s">
        <v>86</v>
      </c>
      <c r="U5" s="1" t="s">
        <v>72</v>
      </c>
      <c r="V5" s="1" t="s">
        <v>73</v>
      </c>
      <c r="W5" s="1" t="s">
        <v>87</v>
      </c>
      <c r="X5" s="1" t="s">
        <v>88</v>
      </c>
      <c r="Y5" s="1" t="s">
        <v>89</v>
      </c>
      <c r="Z5" s="1" t="s">
        <v>77</v>
      </c>
      <c r="AA5" s="1">
        <v>1</v>
      </c>
      <c r="AB5" s="1" t="s">
        <v>90</v>
      </c>
      <c r="AC5" s="1">
        <v>0</v>
      </c>
      <c r="AD5" s="1">
        <v>0</v>
      </c>
      <c r="AE5" s="1">
        <v>0</v>
      </c>
      <c r="AF5" s="1">
        <v>0</v>
      </c>
      <c r="AG5" s="1">
        <v>0</v>
      </c>
      <c r="AH5" s="3"/>
      <c r="AI5" s="1">
        <v>0</v>
      </c>
      <c r="AJ5" s="1">
        <v>0</v>
      </c>
      <c r="AK5" s="1">
        <v>0</v>
      </c>
      <c r="AL5" s="1">
        <v>0</v>
      </c>
      <c r="AM5" s="1">
        <v>0</v>
      </c>
      <c r="AN5" s="1" t="s">
        <v>91</v>
      </c>
      <c r="AO5" s="1" t="s">
        <v>52</v>
      </c>
      <c r="AP5" s="1" t="s">
        <v>53</v>
      </c>
    </row>
    <row r="6" spans="1:42" ht="409.5" customHeight="1" x14ac:dyDescent="0.45">
      <c r="A6" s="1" t="s">
        <v>42</v>
      </c>
      <c r="B6" s="1">
        <v>6</v>
      </c>
      <c r="C6" s="1">
        <v>5</v>
      </c>
      <c r="D6" s="1" t="s">
        <v>82</v>
      </c>
      <c r="E6" s="1" t="s">
        <v>68</v>
      </c>
      <c r="F6" s="1" t="s">
        <v>45</v>
      </c>
      <c r="G6" s="1" t="s">
        <v>92</v>
      </c>
      <c r="H6" s="1" t="s">
        <v>93</v>
      </c>
      <c r="I6" s="1" t="s">
        <v>48</v>
      </c>
      <c r="J6" s="1"/>
      <c r="K6" s="1" t="s">
        <v>85</v>
      </c>
      <c r="L6" s="1"/>
      <c r="M6" s="1" t="s">
        <v>63</v>
      </c>
      <c r="N6" s="1">
        <v>200</v>
      </c>
      <c r="O6" s="1">
        <v>1</v>
      </c>
      <c r="P6" s="1">
        <v>7424.05</v>
      </c>
      <c r="Q6" s="1"/>
      <c r="R6" s="1">
        <v>10</v>
      </c>
      <c r="S6" s="1"/>
      <c r="T6" s="1" t="s">
        <v>94</v>
      </c>
      <c r="U6" s="1" t="s">
        <v>58</v>
      </c>
      <c r="V6" s="1" t="s">
        <v>59</v>
      </c>
      <c r="W6" s="1" t="s">
        <v>95</v>
      </c>
      <c r="X6" s="1" t="s">
        <v>96</v>
      </c>
      <c r="Y6" s="1" t="s">
        <v>97</v>
      </c>
      <c r="Z6" s="1" t="s">
        <v>63</v>
      </c>
      <c r="AA6" s="1"/>
      <c r="AB6" s="1" t="s">
        <v>98</v>
      </c>
      <c r="AC6" s="1">
        <v>1</v>
      </c>
      <c r="AD6" s="1">
        <v>1</v>
      </c>
      <c r="AE6" s="1">
        <v>1</v>
      </c>
      <c r="AF6" s="1">
        <v>1</v>
      </c>
      <c r="AG6" s="1">
        <v>1</v>
      </c>
      <c r="AH6" s="4" t="s">
        <v>99</v>
      </c>
      <c r="AI6" s="1">
        <v>1</v>
      </c>
      <c r="AJ6" s="1">
        <v>1</v>
      </c>
      <c r="AK6" s="1">
        <v>1</v>
      </c>
      <c r="AL6" s="1">
        <v>0.4</v>
      </c>
      <c r="AM6" s="1">
        <v>1</v>
      </c>
      <c r="AN6" s="1" t="s">
        <v>100</v>
      </c>
      <c r="AO6" s="1" t="s">
        <v>66</v>
      </c>
      <c r="AP6" s="1" t="s">
        <v>67</v>
      </c>
    </row>
    <row r="7" spans="1:42" ht="409.5" customHeight="1" x14ac:dyDescent="0.45">
      <c r="A7" s="1" t="s">
        <v>42</v>
      </c>
      <c r="B7" s="1">
        <v>7</v>
      </c>
      <c r="C7" s="1">
        <v>6</v>
      </c>
      <c r="D7" s="1" t="s">
        <v>43</v>
      </c>
      <c r="E7" s="1" t="s">
        <v>54</v>
      </c>
      <c r="F7" s="1" t="s">
        <v>45</v>
      </c>
      <c r="G7" s="1" t="s">
        <v>101</v>
      </c>
      <c r="H7" s="1" t="s">
        <v>102</v>
      </c>
      <c r="I7" s="1" t="s">
        <v>48</v>
      </c>
      <c r="J7" s="1"/>
      <c r="K7" s="1" t="s">
        <v>49</v>
      </c>
      <c r="L7" s="1"/>
      <c r="M7" s="1" t="s">
        <v>63</v>
      </c>
      <c r="N7" s="1">
        <v>200</v>
      </c>
      <c r="O7" s="1">
        <v>1</v>
      </c>
      <c r="P7" s="1">
        <v>1239.6300000000001</v>
      </c>
      <c r="Q7" s="1"/>
      <c r="R7" s="1">
        <v>10</v>
      </c>
      <c r="S7" s="1"/>
      <c r="T7" s="1" t="s">
        <v>103</v>
      </c>
      <c r="U7" s="1" t="s">
        <v>72</v>
      </c>
      <c r="V7" s="1" t="s">
        <v>73</v>
      </c>
      <c r="W7" s="1" t="s">
        <v>104</v>
      </c>
      <c r="X7" s="1" t="s">
        <v>105</v>
      </c>
      <c r="Y7" s="1" t="s">
        <v>106</v>
      </c>
      <c r="Z7" s="1" t="s">
        <v>77</v>
      </c>
      <c r="AA7" s="1">
        <v>1</v>
      </c>
      <c r="AB7" s="1" t="s">
        <v>107</v>
      </c>
      <c r="AC7" s="1">
        <v>0</v>
      </c>
      <c r="AD7" s="1">
        <v>0</v>
      </c>
      <c r="AE7" s="1">
        <v>0</v>
      </c>
      <c r="AF7" s="1">
        <v>0</v>
      </c>
      <c r="AG7" s="1">
        <v>0</v>
      </c>
      <c r="AH7" s="4" t="s">
        <v>108</v>
      </c>
      <c r="AI7" s="1">
        <v>1</v>
      </c>
      <c r="AJ7" s="1">
        <v>1</v>
      </c>
      <c r="AK7" s="1">
        <v>1</v>
      </c>
      <c r="AL7" s="1">
        <v>0.4</v>
      </c>
      <c r="AM7" s="1">
        <v>1</v>
      </c>
      <c r="AN7" s="1" t="s">
        <v>108</v>
      </c>
      <c r="AO7" s="1" t="s">
        <v>66</v>
      </c>
      <c r="AP7" s="1" t="s">
        <v>67</v>
      </c>
    </row>
    <row r="8" spans="1:42" ht="409.5" customHeight="1" x14ac:dyDescent="0.45">
      <c r="A8" s="1" t="s">
        <v>42</v>
      </c>
      <c r="B8" s="1">
        <v>8</v>
      </c>
      <c r="C8" s="1">
        <v>7</v>
      </c>
      <c r="D8" s="1" t="s">
        <v>43</v>
      </c>
      <c r="E8" s="1" t="s">
        <v>68</v>
      </c>
      <c r="F8" s="1" t="s">
        <v>45</v>
      </c>
      <c r="G8" s="1" t="s">
        <v>109</v>
      </c>
      <c r="H8" s="1" t="s">
        <v>110</v>
      </c>
      <c r="I8" s="1" t="s">
        <v>48</v>
      </c>
      <c r="J8" s="1"/>
      <c r="K8" s="1" t="s">
        <v>49</v>
      </c>
      <c r="L8" s="1"/>
      <c r="M8" s="1"/>
      <c r="N8" s="1">
        <v>200</v>
      </c>
      <c r="O8" s="1">
        <v>1</v>
      </c>
      <c r="P8" s="1">
        <v>9139.6299999999992</v>
      </c>
      <c r="Q8" s="1"/>
      <c r="R8" s="1">
        <v>10</v>
      </c>
      <c r="S8" s="1"/>
      <c r="T8" s="1" t="s">
        <v>111</v>
      </c>
      <c r="U8" s="1" t="s">
        <v>58</v>
      </c>
      <c r="V8" s="1" t="s">
        <v>59</v>
      </c>
      <c r="W8" s="1" t="s">
        <v>112</v>
      </c>
      <c r="X8" s="1" t="s">
        <v>113</v>
      </c>
      <c r="Y8" s="1" t="s">
        <v>114</v>
      </c>
      <c r="Z8" s="1" t="s">
        <v>63</v>
      </c>
      <c r="AA8" s="1"/>
      <c r="AB8" s="1" t="s">
        <v>115</v>
      </c>
      <c r="AC8" s="1">
        <v>0</v>
      </c>
      <c r="AD8" s="1">
        <v>0</v>
      </c>
      <c r="AE8" s="1">
        <v>0</v>
      </c>
      <c r="AF8" s="1">
        <v>0</v>
      </c>
      <c r="AG8" s="1">
        <v>0</v>
      </c>
      <c r="AH8" s="3"/>
      <c r="AI8" s="1">
        <v>0</v>
      </c>
      <c r="AJ8" s="1">
        <v>0</v>
      </c>
      <c r="AK8" s="1">
        <v>0</v>
      </c>
      <c r="AL8" s="1">
        <v>0</v>
      </c>
      <c r="AM8" s="1">
        <v>0</v>
      </c>
      <c r="AN8" s="1" t="s">
        <v>91</v>
      </c>
      <c r="AO8" s="1" t="s">
        <v>52</v>
      </c>
      <c r="AP8" s="1" t="s">
        <v>53</v>
      </c>
    </row>
    <row r="9" spans="1:42" ht="409.5" customHeight="1" x14ac:dyDescent="0.45">
      <c r="A9" s="1" t="s">
        <v>42</v>
      </c>
      <c r="B9" s="1">
        <v>9</v>
      </c>
      <c r="C9" s="1">
        <v>8</v>
      </c>
      <c r="D9" s="1" t="s">
        <v>43</v>
      </c>
      <c r="E9" s="1" t="s">
        <v>68</v>
      </c>
      <c r="F9" s="1" t="s">
        <v>45</v>
      </c>
      <c r="G9" s="1" t="s">
        <v>116</v>
      </c>
      <c r="H9" s="1" t="s">
        <v>117</v>
      </c>
      <c r="I9" s="1" t="s">
        <v>48</v>
      </c>
      <c r="J9" s="1"/>
      <c r="K9" s="1" t="s">
        <v>49</v>
      </c>
      <c r="L9" s="1"/>
      <c r="M9" s="1"/>
      <c r="N9" s="1">
        <v>200</v>
      </c>
      <c r="O9" s="1">
        <v>1</v>
      </c>
      <c r="P9" s="1">
        <v>1133.69</v>
      </c>
      <c r="Q9" s="1"/>
      <c r="R9" s="1">
        <v>10</v>
      </c>
      <c r="S9" s="1"/>
      <c r="T9" s="1" t="s">
        <v>118</v>
      </c>
      <c r="U9" s="1" t="s">
        <v>72</v>
      </c>
      <c r="V9" s="1" t="s">
        <v>73</v>
      </c>
      <c r="W9" s="1" t="s">
        <v>119</v>
      </c>
      <c r="X9" s="1" t="s">
        <v>120</v>
      </c>
      <c r="Y9" s="1" t="s">
        <v>121</v>
      </c>
      <c r="Z9" s="1" t="s">
        <v>77</v>
      </c>
      <c r="AA9" s="1">
        <v>1</v>
      </c>
      <c r="AB9" s="1" t="s">
        <v>122</v>
      </c>
      <c r="AC9" s="1">
        <v>0</v>
      </c>
      <c r="AD9" s="1">
        <v>0</v>
      </c>
      <c r="AE9" s="1">
        <v>0</v>
      </c>
      <c r="AF9" s="1">
        <v>0</v>
      </c>
      <c r="AG9" s="1">
        <v>0</v>
      </c>
      <c r="AH9" s="3"/>
      <c r="AI9" s="1">
        <v>0</v>
      </c>
      <c r="AJ9" s="1">
        <v>0</v>
      </c>
      <c r="AK9" s="1">
        <v>0</v>
      </c>
      <c r="AL9" s="1">
        <v>0</v>
      </c>
      <c r="AM9" s="1">
        <v>0</v>
      </c>
      <c r="AN9" s="1" t="s">
        <v>123</v>
      </c>
      <c r="AO9" s="1" t="s">
        <v>52</v>
      </c>
      <c r="AP9" s="1" t="s">
        <v>53</v>
      </c>
    </row>
    <row r="10" spans="1:42" ht="409.5" customHeight="1" x14ac:dyDescent="0.45">
      <c r="A10" s="1" t="s">
        <v>42</v>
      </c>
      <c r="B10" s="1">
        <v>10</v>
      </c>
      <c r="C10" s="1">
        <v>9</v>
      </c>
      <c r="D10" s="1" t="s">
        <v>43</v>
      </c>
      <c r="E10" s="1" t="s">
        <v>68</v>
      </c>
      <c r="F10" s="1" t="s">
        <v>124</v>
      </c>
      <c r="G10" s="1" t="s">
        <v>125</v>
      </c>
      <c r="H10" s="1" t="s">
        <v>70</v>
      </c>
      <c r="I10" s="1" t="s">
        <v>48</v>
      </c>
      <c r="J10" s="1"/>
      <c r="K10" s="1" t="s">
        <v>49</v>
      </c>
      <c r="L10" s="1"/>
      <c r="M10" s="1"/>
      <c r="N10" s="1">
        <v>200</v>
      </c>
      <c r="O10" s="1">
        <v>1</v>
      </c>
      <c r="P10" s="1">
        <v>1162.02</v>
      </c>
      <c r="Q10" s="1"/>
      <c r="R10" s="1">
        <v>10</v>
      </c>
      <c r="S10" s="1"/>
      <c r="T10" s="1" t="s">
        <v>126</v>
      </c>
      <c r="U10" s="1" t="s">
        <v>72</v>
      </c>
      <c r="V10" s="1" t="s">
        <v>73</v>
      </c>
      <c r="W10" s="1" t="s">
        <v>127</v>
      </c>
      <c r="X10" s="1" t="s">
        <v>128</v>
      </c>
      <c r="Y10" s="1" t="s">
        <v>129</v>
      </c>
      <c r="Z10" s="1" t="s">
        <v>77</v>
      </c>
      <c r="AA10" s="1">
        <v>1</v>
      </c>
      <c r="AB10" s="1" t="s">
        <v>130</v>
      </c>
      <c r="AC10" s="1">
        <v>0</v>
      </c>
      <c r="AD10" s="1">
        <v>0</v>
      </c>
      <c r="AE10" s="1">
        <v>0</v>
      </c>
      <c r="AF10" s="1">
        <v>0</v>
      </c>
      <c r="AG10" s="1">
        <v>0</v>
      </c>
      <c r="AH10" s="3"/>
      <c r="AI10" s="1">
        <v>0</v>
      </c>
      <c r="AJ10" s="1">
        <v>0</v>
      </c>
      <c r="AK10" s="1">
        <v>0</v>
      </c>
      <c r="AL10" s="1">
        <v>0</v>
      </c>
      <c r="AM10" s="1">
        <v>0</v>
      </c>
      <c r="AN10" s="1" t="s">
        <v>131</v>
      </c>
      <c r="AO10" s="1" t="s">
        <v>52</v>
      </c>
      <c r="AP10" s="1" t="s">
        <v>53</v>
      </c>
    </row>
    <row r="11" spans="1:42" ht="409.5" customHeight="1" x14ac:dyDescent="0.45">
      <c r="A11" s="1" t="s">
        <v>42</v>
      </c>
      <c r="B11" s="1">
        <v>11</v>
      </c>
      <c r="C11" s="1">
        <v>10</v>
      </c>
      <c r="D11" s="1" t="s">
        <v>43</v>
      </c>
      <c r="E11" s="1" t="s">
        <v>44</v>
      </c>
      <c r="F11" s="1" t="s">
        <v>132</v>
      </c>
      <c r="G11" s="1" t="s">
        <v>133</v>
      </c>
      <c r="H11" s="1" t="s">
        <v>134</v>
      </c>
      <c r="I11" s="1" t="s">
        <v>48</v>
      </c>
      <c r="J11" s="1"/>
      <c r="K11" s="1" t="s">
        <v>49</v>
      </c>
      <c r="L11" s="1"/>
      <c r="M11" s="1"/>
      <c r="N11" s="1">
        <v>200</v>
      </c>
      <c r="O11" s="1">
        <v>1</v>
      </c>
      <c r="P11" s="1">
        <v>1244.45</v>
      </c>
      <c r="Q11" s="1"/>
      <c r="R11" s="1">
        <v>10</v>
      </c>
      <c r="S11" s="1"/>
      <c r="T11" s="1" t="s">
        <v>135</v>
      </c>
      <c r="U11" s="1" t="s">
        <v>72</v>
      </c>
      <c r="V11" s="1" t="s">
        <v>73</v>
      </c>
      <c r="W11" s="1" t="s">
        <v>136</v>
      </c>
      <c r="X11" s="1" t="s">
        <v>137</v>
      </c>
      <c r="Y11" s="1" t="s">
        <v>138</v>
      </c>
      <c r="Z11" s="1" t="s">
        <v>77</v>
      </c>
      <c r="AA11" s="1">
        <v>1</v>
      </c>
      <c r="AB11" s="1" t="s">
        <v>139</v>
      </c>
      <c r="AC11" s="1">
        <v>0</v>
      </c>
      <c r="AD11" s="1">
        <v>0</v>
      </c>
      <c r="AE11" s="1">
        <v>0</v>
      </c>
      <c r="AF11" s="1">
        <v>0</v>
      </c>
      <c r="AG11" s="1">
        <v>0</v>
      </c>
      <c r="AH11" s="3"/>
      <c r="AI11" s="1">
        <v>0</v>
      </c>
      <c r="AJ11" s="1">
        <v>0</v>
      </c>
      <c r="AK11" s="1">
        <v>0</v>
      </c>
      <c r="AL11" s="1">
        <v>0</v>
      </c>
      <c r="AM11" s="1">
        <v>0</v>
      </c>
      <c r="AN11" s="1" t="s">
        <v>140</v>
      </c>
      <c r="AO11" s="1" t="s">
        <v>52</v>
      </c>
      <c r="AP11" s="1" t="s">
        <v>53</v>
      </c>
    </row>
    <row r="12" spans="1:42" ht="57" customHeight="1" x14ac:dyDescent="0.45">
      <c r="A12" s="1" t="s">
        <v>42</v>
      </c>
      <c r="B12" s="1">
        <v>12</v>
      </c>
      <c r="C12" s="1">
        <v>11</v>
      </c>
      <c r="D12" s="1" t="s">
        <v>141</v>
      </c>
      <c r="E12" s="1" t="s">
        <v>44</v>
      </c>
      <c r="F12" s="1" t="s">
        <v>45</v>
      </c>
      <c r="G12" s="1" t="s">
        <v>142</v>
      </c>
      <c r="H12" s="1" t="s">
        <v>143</v>
      </c>
      <c r="I12" s="1" t="s">
        <v>144</v>
      </c>
      <c r="J12" s="1"/>
      <c r="K12" s="1" t="s">
        <v>145</v>
      </c>
      <c r="L12" s="1"/>
      <c r="M12" s="1" t="s">
        <v>146</v>
      </c>
      <c r="N12" s="1">
        <v>500</v>
      </c>
      <c r="O12" s="1">
        <v>0</v>
      </c>
      <c r="P12" s="1">
        <v>361.05</v>
      </c>
      <c r="Q12" s="1"/>
      <c r="R12" s="1">
        <v>0</v>
      </c>
      <c r="S12" s="1" t="s">
        <v>147</v>
      </c>
      <c r="T12" s="1"/>
      <c r="U12" s="1"/>
      <c r="V12" s="1"/>
      <c r="W12" s="1"/>
      <c r="X12" s="1" t="s">
        <v>50</v>
      </c>
      <c r="Y12" s="1"/>
      <c r="Z12" s="1"/>
      <c r="AA12" s="1"/>
      <c r="AB12" s="1"/>
      <c r="AC12" s="1">
        <v>0</v>
      </c>
      <c r="AD12" s="1">
        <v>0</v>
      </c>
      <c r="AE12" s="1">
        <v>0</v>
      </c>
      <c r="AF12" s="1">
        <v>0</v>
      </c>
      <c r="AG12" s="1">
        <v>0</v>
      </c>
      <c r="AH12" s="3"/>
      <c r="AI12" s="1">
        <v>0</v>
      </c>
      <c r="AJ12" s="1">
        <v>0</v>
      </c>
      <c r="AK12" s="1">
        <v>0</v>
      </c>
      <c r="AL12" s="1">
        <v>0</v>
      </c>
      <c r="AM12" s="1">
        <v>0</v>
      </c>
      <c r="AN12" s="1" t="s">
        <v>148</v>
      </c>
      <c r="AO12" s="1" t="s">
        <v>149</v>
      </c>
      <c r="AP12" s="1" t="s">
        <v>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9" activePane="bottomLeft" state="frozen"/>
      <selection pane="bottomLeft"/>
    </sheetView>
  </sheetViews>
  <sheetFormatPr baseColWidth="10" defaultColWidth="9.06640625" defaultRowHeight="14.25" x14ac:dyDescent="0.45"/>
  <cols>
    <col min="1" max="1" width="30" customWidth="1"/>
    <col min="2" max="2" width="53" customWidth="1"/>
    <col min="3" max="3" width="36" customWidth="1"/>
  </cols>
  <sheetData>
    <row r="1" spans="1:3" x14ac:dyDescent="0.45">
      <c r="A1" s="2" t="s">
        <v>151</v>
      </c>
      <c r="B1" s="2" t="s">
        <v>152</v>
      </c>
      <c r="C1" s="2" t="s">
        <v>153</v>
      </c>
    </row>
    <row r="2" spans="1:3" ht="28.5" customHeight="1" x14ac:dyDescent="0.45">
      <c r="A2" s="1" t="s">
        <v>154</v>
      </c>
      <c r="B2" s="1" t="s">
        <v>155</v>
      </c>
      <c r="C2" s="1">
        <f>COUNTA(RAG_Retrieval_Only!G:G)-1</f>
        <v>11</v>
      </c>
    </row>
    <row r="3" spans="1:3" ht="42.75" customHeight="1" x14ac:dyDescent="0.45">
      <c r="A3" s="1" t="s">
        <v>156</v>
      </c>
      <c r="B3" s="1" t="s">
        <v>157</v>
      </c>
      <c r="C3" s="1">
        <f>AVERAGE(RAG_Retrieval_Only!O:O)</f>
        <v>0.81818181818181823</v>
      </c>
    </row>
    <row r="4" spans="1:3" ht="42.75" customHeight="1" x14ac:dyDescent="0.45">
      <c r="A4" s="1" t="s">
        <v>158</v>
      </c>
      <c r="B4" s="1" t="s">
        <v>159</v>
      </c>
      <c r="C4" s="1">
        <f>AVERAGE(RAG_Retrieval_Only!P:P)</f>
        <v>6635.5672727272731</v>
      </c>
    </row>
    <row r="5" spans="1:3" ht="42.75" customHeight="1" x14ac:dyDescent="0.45">
      <c r="A5" s="1" t="s">
        <v>160</v>
      </c>
      <c r="B5" s="1" t="s">
        <v>161</v>
      </c>
      <c r="C5" s="1">
        <f>MEDIAN(RAG_Retrieval_Only!P:P)</f>
        <v>1399.02</v>
      </c>
    </row>
    <row r="6" spans="1:3" ht="28.5" customHeight="1" x14ac:dyDescent="0.45">
      <c r="A6" s="1" t="s">
        <v>162</v>
      </c>
      <c r="B6" s="1" t="s">
        <v>163</v>
      </c>
      <c r="C6" s="1">
        <f>AVERAGE(RAG_Retrieval_Only!R:R)</f>
        <v>8.1818181818181817</v>
      </c>
    </row>
    <row r="7" spans="1:3" ht="42.75" customHeight="1" x14ac:dyDescent="0.45">
      <c r="A7" s="1" t="s">
        <v>164</v>
      </c>
      <c r="B7" s="1" t="s">
        <v>165</v>
      </c>
      <c r="C7" s="1">
        <f>AVERAGE(RAG_Retrieval_Only!AC:AC)</f>
        <v>9.0909090909090912E-2</v>
      </c>
    </row>
    <row r="8" spans="1:3" ht="42.75" customHeight="1" x14ac:dyDescent="0.45">
      <c r="A8" s="1" t="s">
        <v>166</v>
      </c>
      <c r="B8" s="1" t="s">
        <v>167</v>
      </c>
      <c r="C8" s="1">
        <f>AVERAGE(RAG_Retrieval_Only!AD:AD)</f>
        <v>9.0909090909090912E-2</v>
      </c>
    </row>
    <row r="9" spans="1:3" ht="42.75" customHeight="1" x14ac:dyDescent="0.45">
      <c r="A9" s="1" t="s">
        <v>168</v>
      </c>
      <c r="B9" s="1" t="s">
        <v>169</v>
      </c>
      <c r="C9" s="1">
        <f>AVERAGE(RAG_Retrieval_Only!AE:AE)</f>
        <v>9.0909090909090912E-2</v>
      </c>
    </row>
    <row r="10" spans="1:3" ht="57" customHeight="1" x14ac:dyDescent="0.45">
      <c r="A10" s="1" t="s">
        <v>170</v>
      </c>
      <c r="B10" s="1" t="s">
        <v>171</v>
      </c>
      <c r="C10" s="1">
        <f>AVERAGE(RAG_Retrieval_Only!AF:AF)</f>
        <v>9.0909090909090912E-2</v>
      </c>
    </row>
    <row r="11" spans="1:3" ht="42.75" customHeight="1" x14ac:dyDescent="0.45">
      <c r="A11" s="1" t="s">
        <v>172</v>
      </c>
      <c r="B11" s="1" t="s">
        <v>173</v>
      </c>
      <c r="C11" s="1">
        <f>AVERAGE(RAG_Retrieval_Only!AG:AG)</f>
        <v>9.0909090909090912E-2</v>
      </c>
    </row>
    <row r="12" spans="1:3" ht="42.75" customHeight="1" x14ac:dyDescent="0.45">
      <c r="A12" s="1" t="s">
        <v>174</v>
      </c>
      <c r="B12" s="1" t="s">
        <v>175</v>
      </c>
      <c r="C12" s="1">
        <f>AVERAGE(RAG_Retrieval_Only!AI:AI)</f>
        <v>0.27272727272727271</v>
      </c>
    </row>
    <row r="13" spans="1:3" ht="42.75" customHeight="1" x14ac:dyDescent="0.45">
      <c r="A13" s="1" t="s">
        <v>176</v>
      </c>
      <c r="B13" s="1" t="s">
        <v>175</v>
      </c>
      <c r="C13" s="1">
        <f>AVERAGE(RAG_Retrieval_Only!AJ:AJ)</f>
        <v>0.27272727272727271</v>
      </c>
    </row>
    <row r="14" spans="1:3" ht="42.75" customHeight="1" x14ac:dyDescent="0.45">
      <c r="A14" s="1" t="s">
        <v>177</v>
      </c>
      <c r="B14" s="1" t="s">
        <v>175</v>
      </c>
      <c r="C14" s="1">
        <f>AVERAGE(RAG_Retrieval_Only!AK:AK)</f>
        <v>0.36363636363636365</v>
      </c>
    </row>
    <row r="15" spans="1:3" ht="42.75" customHeight="1" x14ac:dyDescent="0.45">
      <c r="A15" s="1" t="s">
        <v>178</v>
      </c>
      <c r="B15" s="1" t="s">
        <v>175</v>
      </c>
      <c r="C15" s="1">
        <f>AVERAGE(RAG_Retrieval_Only!AL:AL)</f>
        <v>0.12727272727272726</v>
      </c>
    </row>
    <row r="16" spans="1:3" ht="42.75" customHeight="1" x14ac:dyDescent="0.45">
      <c r="A16" s="1" t="s">
        <v>179</v>
      </c>
      <c r="B16" s="1" t="s">
        <v>175</v>
      </c>
      <c r="C16" s="1">
        <f>AVERAGE(RAG_Retrieval_Only!AM:AM)</f>
        <v>0.29545454545454547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tabSelected="1" workbookViewId="0">
      <pane ySplit="1" topLeftCell="A2" activePane="bottomLeft" state="frozen"/>
      <selection pane="bottomLeft"/>
    </sheetView>
  </sheetViews>
  <sheetFormatPr baseColWidth="10" defaultColWidth="9.06640625" defaultRowHeight="14.25" x14ac:dyDescent="0.45"/>
  <cols>
    <col min="1" max="1" width="37" customWidth="1"/>
    <col min="2" max="2" width="7" customWidth="1"/>
    <col min="3" max="3" width="60" customWidth="1"/>
  </cols>
  <sheetData>
    <row r="1" spans="1:3" x14ac:dyDescent="0.45">
      <c r="A1" s="2" t="s">
        <v>151</v>
      </c>
      <c r="B1" s="2" t="s">
        <v>153</v>
      </c>
      <c r="C1" s="2" t="s">
        <v>180</v>
      </c>
    </row>
    <row r="2" spans="1:3" x14ac:dyDescent="0.45">
      <c r="A2" s="1" t="s">
        <v>154</v>
      </c>
      <c r="B2" s="1">
        <v>11</v>
      </c>
      <c r="C2" s="1" t="s">
        <v>181</v>
      </c>
    </row>
    <row r="3" spans="1:3" x14ac:dyDescent="0.45">
      <c r="A3" s="1" t="s">
        <v>182</v>
      </c>
      <c r="B3" s="1">
        <v>4</v>
      </c>
      <c r="C3" s="1" t="s">
        <v>183</v>
      </c>
    </row>
    <row r="4" spans="1:3" x14ac:dyDescent="0.45">
      <c r="A4" s="1" t="s">
        <v>174</v>
      </c>
      <c r="B4" s="1">
        <v>0.27300000000000002</v>
      </c>
      <c r="C4" s="1" t="s">
        <v>184</v>
      </c>
    </row>
    <row r="5" spans="1:3" x14ac:dyDescent="0.45">
      <c r="A5" s="1" t="s">
        <v>176</v>
      </c>
      <c r="B5" s="1">
        <v>0.27300000000000002</v>
      </c>
      <c r="C5" s="1" t="s">
        <v>185</v>
      </c>
    </row>
    <row r="6" spans="1:3" x14ac:dyDescent="0.45">
      <c r="A6" s="1" t="s">
        <v>177</v>
      </c>
      <c r="B6" s="1">
        <v>0.36399999999999999</v>
      </c>
      <c r="C6" s="1" t="s">
        <v>186</v>
      </c>
    </row>
    <row r="7" spans="1:3" x14ac:dyDescent="0.45">
      <c r="A7" s="1" t="s">
        <v>178</v>
      </c>
      <c r="B7" s="1">
        <v>0.127</v>
      </c>
      <c r="C7" s="1" t="s">
        <v>187</v>
      </c>
    </row>
    <row r="8" spans="1:3" x14ac:dyDescent="0.45">
      <c r="A8" s="1" t="s">
        <v>179</v>
      </c>
      <c r="B8" s="1">
        <v>0.29499999999999998</v>
      </c>
      <c r="C8" s="1" t="s">
        <v>188</v>
      </c>
    </row>
    <row r="9" spans="1:3" x14ac:dyDescent="0.45">
      <c r="A9" s="1"/>
      <c r="B9" s="1"/>
      <c r="C9" s="1"/>
    </row>
    <row r="10" spans="1:3" x14ac:dyDescent="0.45">
      <c r="A10" s="1"/>
      <c r="B10" s="1"/>
      <c r="C10" s="1"/>
    </row>
    <row r="11" spans="1:3" x14ac:dyDescent="0.45">
      <c r="A11" s="6" t="s">
        <v>189</v>
      </c>
      <c r="B11" s="1"/>
      <c r="C11" s="1"/>
    </row>
    <row r="12" spans="1:3" x14ac:dyDescent="0.45">
      <c r="A12" s="1" t="s">
        <v>149</v>
      </c>
      <c r="B12" s="1">
        <v>1</v>
      </c>
      <c r="C12" s="1">
        <v>9.0909090909090912E-2</v>
      </c>
    </row>
    <row r="13" spans="1:3" x14ac:dyDescent="0.45">
      <c r="A13" s="1" t="s">
        <v>66</v>
      </c>
      <c r="B13" s="1">
        <v>3</v>
      </c>
      <c r="C13" s="1">
        <v>0.27272727272727271</v>
      </c>
    </row>
    <row r="14" spans="1:3" x14ac:dyDescent="0.45">
      <c r="A14" s="1" t="s">
        <v>80</v>
      </c>
      <c r="B14" s="1">
        <v>1</v>
      </c>
      <c r="C14" s="1">
        <v>9.0909090909090912E-2</v>
      </c>
    </row>
    <row r="15" spans="1:3" x14ac:dyDescent="0.45">
      <c r="A15" s="1" t="s">
        <v>52</v>
      </c>
      <c r="B15" s="1">
        <v>6</v>
      </c>
      <c r="C15" s="1">
        <v>0.54545454545454541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RAG_Retrieval_Only</vt:lpstr>
      <vt:lpstr>Retrieval_Metrics</vt:lpstr>
      <vt:lpstr>Manual_Retrieval_Summary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2026-05-16T11:32:55Z</dcterms:created>
  <dcterms:modified xsi:type="dcterms:W3CDTF">2026-05-16T12:04:46Z</dcterms:modified>
</cp:coreProperties>
</file>