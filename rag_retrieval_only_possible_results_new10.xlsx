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G_Retrieval_Only" sheetId="1" state="visible" r:id="rId1"/>
    <sheet name="Retrieval_Metric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2"/>
  <sheetViews>
    <sheetView workbookViewId="0">
      <pane ySplit="1" topLeftCell="A2" activePane="bottomLeft" state="frozen"/>
      <selection pane="bottomLeft" activeCell="A1" sqref="A1"/>
    </sheetView>
  </sheetViews>
  <sheetFormatPr baseColWidth="8" defaultRowHeight="15" outlineLevelCol="0"/>
  <cols>
    <col width="16" customWidth="1" min="1" max="1"/>
    <col width="28" customWidth="1" min="2" max="2"/>
    <col width="18" customWidth="1" min="3" max="3"/>
    <col width="18" customWidth="1" min="4" max="4"/>
    <col width="18" customWidth="1" min="5" max="5"/>
    <col width="18" customWidth="1" min="6" max="6"/>
    <col width="55" customWidth="1" min="7" max="7"/>
    <col width="18" customWidth="1" min="8" max="8"/>
    <col width="28" customWidth="1" min="9" max="9"/>
    <col width="18" customWidth="1" min="10" max="10"/>
    <col width="28" customWidth="1" min="11" max="11"/>
    <col width="18" customWidth="1" min="12" max="12"/>
    <col width="28" customWidth="1" min="13" max="13"/>
    <col width="18" customWidth="1" min="14" max="14"/>
    <col width="18" customWidth="1" min="15" max="15"/>
    <col width="16" customWidth="1" min="16" max="16"/>
    <col width="16" customWidth="1" min="17" max="17"/>
    <col width="28" customWidth="1" min="18" max="18"/>
    <col width="18" customWidth="1" min="19" max="19"/>
    <col width="28" customWidth="1" min="20" max="20"/>
    <col width="28" customWidth="1" min="21" max="21"/>
    <col width="28" customWidth="1" min="22" max="22"/>
    <col width="55" customWidth="1" min="23" max="23"/>
    <col width="45" customWidth="1" min="24" max="24"/>
    <col width="28" customWidth="1" min="25" max="25"/>
    <col width="28" customWidth="1" min="26" max="26"/>
    <col width="28" customWidth="1" min="27" max="27"/>
    <col width="55"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s>
  <sheetData>
    <row r="1">
      <c r="A1" s="1" t="inlineStr">
        <is>
          <t>run_timestamp</t>
        </is>
      </c>
      <c r="B1" s="1" t="inlineStr">
        <is>
          <t>source_row</t>
        </is>
      </c>
      <c r="C1" s="1" t="inlineStr">
        <is>
          <t>id</t>
        </is>
      </c>
      <c r="D1" s="1" t="inlineStr">
        <is>
          <t>category</t>
        </is>
      </c>
      <c r="E1" s="1" t="inlineStr">
        <is>
          <t>difficulty</t>
        </is>
      </c>
      <c r="F1" s="1" t="inlineStr">
        <is>
          <t>language</t>
        </is>
      </c>
      <c r="G1" s="1" t="inlineStr">
        <is>
          <t>question</t>
        </is>
      </c>
      <c r="H1" s="1" t="inlineStr">
        <is>
          <t>expected_answer</t>
        </is>
      </c>
      <c r="I1" s="1" t="inlineStr">
        <is>
          <t>source_of_truth</t>
        </is>
      </c>
      <c r="J1" s="1" t="inlineStr">
        <is>
          <t>expected_flow</t>
        </is>
      </c>
      <c r="K1" s="1" t="inlineStr">
        <is>
          <t>gold_source</t>
        </is>
      </c>
      <c r="L1" s="1" t="inlineStr">
        <is>
          <t>required_fields</t>
        </is>
      </c>
      <c r="M1" s="1" t="inlineStr">
        <is>
          <t>expected_source_category</t>
        </is>
      </c>
      <c r="N1" s="1" t="inlineStr">
        <is>
          <t>debug_http_status</t>
        </is>
      </c>
      <c r="O1" s="1" t="inlineStr">
        <is>
          <t>success</t>
        </is>
      </c>
      <c r="P1" s="1" t="inlineStr">
        <is>
          <t>debug_time_ms</t>
        </is>
      </c>
      <c r="Q1" s="1" t="inlineStr">
        <is>
          <t>server_elapsed_ms</t>
        </is>
      </c>
      <c r="R1" s="1" t="inlineStr">
        <is>
          <t>sources_count</t>
        </is>
      </c>
      <c r="S1" s="1" t="inlineStr">
        <is>
          <t>error</t>
        </is>
      </c>
      <c r="T1" s="1" t="inlineStr">
        <is>
          <t>retrieved_source_keys</t>
        </is>
      </c>
      <c r="U1" s="1" t="inlineStr">
        <is>
          <t>retrieved_source_categories</t>
        </is>
      </c>
      <c r="V1" s="1" t="inlineStr">
        <is>
          <t>retrieved_source_pages</t>
        </is>
      </c>
      <c r="W1" s="1" t="inlineStr">
        <is>
          <t>retrieved_sources_ranked</t>
        </is>
      </c>
      <c r="X1" s="1" t="inlineStr">
        <is>
          <t>retrieved_sources_json</t>
        </is>
      </c>
      <c r="Y1" s="1" t="inlineStr">
        <is>
          <t>top1_source_key</t>
        </is>
      </c>
      <c r="Z1" s="1" t="inlineStr">
        <is>
          <t>top1_source_category</t>
        </is>
      </c>
      <c r="AA1" s="1" t="inlineStr">
        <is>
          <t>top1_source_page</t>
        </is>
      </c>
      <c r="AB1" s="1" t="inlineStr">
        <is>
          <t>top1_source_snippet</t>
        </is>
      </c>
      <c r="AC1" s="1" t="inlineStr">
        <is>
          <t>category_recall_at_1</t>
        </is>
      </c>
      <c r="AD1" s="1" t="inlineStr">
        <is>
          <t>category_recall_at_3</t>
        </is>
      </c>
      <c r="AE1" s="1" t="inlineStr">
        <is>
          <t>category_recall_at_5</t>
        </is>
      </c>
      <c r="AF1" s="1" t="inlineStr">
        <is>
          <t>category_precision_at_5</t>
        </is>
      </c>
      <c r="AG1" s="1" t="inlineStr">
        <is>
          <t>category_mrr</t>
        </is>
      </c>
      <c r="AH1" s="1" t="inlineStr">
        <is>
          <t>manual_relevant_ranks</t>
        </is>
      </c>
      <c r="AI1" s="1" t="inlineStr">
        <is>
          <t>manual_recall_at_1</t>
        </is>
      </c>
      <c r="AJ1" s="1" t="inlineStr">
        <is>
          <t>manual_recall_at_3</t>
        </is>
      </c>
      <c r="AK1" s="1" t="inlineStr">
        <is>
          <t>manual_recall_at_5</t>
        </is>
      </c>
      <c r="AL1" s="1" t="inlineStr">
        <is>
          <t>manual_precision_at_5</t>
        </is>
      </c>
      <c r="AM1" s="1" t="inlineStr">
        <is>
          <t>manual_mrr</t>
        </is>
      </c>
      <c r="AN1" s="1" t="inlineStr">
        <is>
          <t>notes</t>
        </is>
      </c>
    </row>
    <row r="2">
      <c r="A2" s="2" t="inlineStr">
        <is>
          <t>2026-05-18T23:56:48</t>
        </is>
      </c>
      <c r="B2" s="2" t="n">
        <v>2</v>
      </c>
      <c r="C2" s="2" t="n">
        <v>1</v>
      </c>
      <c r="D2" s="2" t="inlineStr">
        <is>
          <t>program_overview</t>
        </is>
      </c>
      <c r="E2" s="2" t="inlineStr">
        <is>
          <t>easy</t>
        </is>
      </c>
      <c r="F2" s="2" t="inlineStr">
        <is>
          <t>en</t>
        </is>
      </c>
      <c r="G2" s="2" t="inlineStr">
        <is>
          <t>What can you tell me about the bachelor in History?</t>
        </is>
      </c>
      <c r="H2" s="2" t="inlineStr">
        <is>
          <t>summary of program</t>
        </is>
      </c>
      <c r="I2" s="2" t="inlineStr">
        <is>
          <t xml:space="preserve">RAG  </t>
        </is>
      </c>
      <c r="J2" s="2" t="inlineStr"/>
      <c r="K2" s="2" t="inlineStr">
        <is>
          <t>study vectorstore</t>
        </is>
      </c>
      <c r="L2" s="2" t="inlineStr"/>
      <c r="M2" s="2" t="inlineStr"/>
      <c r="N2" s="2" t="n">
        <v>200</v>
      </c>
      <c r="O2" s="2" t="n">
        <v>1</v>
      </c>
      <c r="P2" s="2" t="n">
        <v>37341.1</v>
      </c>
      <c r="Q2" s="2" t="inlineStr"/>
      <c r="R2" s="2" t="n">
        <v>10</v>
      </c>
      <c r="S2" s="2" t="inlineStr"/>
      <c r="T2" s="2" t="inlineStr">
        <is>
          <t>Bachelor_120_507c4447449f2522a558f71f12fb6cdd157b9c55.txt; Bachelor_120_507c4447449f2522a558f71f12fb6cdd157b9c55.txt; Bachelor_120_8b3c0262ea04c4433b81f795e052aa56bf62fab4.txt; Bachelor_120_8b3c0262ea04c4433b81f795e052aa56bf62fab4.txt; Bachelor_120_3d023216934dfd65f6374ade0c6f9245f9b4535c.txt; Bachelor_120_3d023216934dfd65f6374ade0c6f9245f9b4535c.txt; Bachelor_120_507c4447449f2522a558f71f12fb6cdd157b9c55.txt; Bachelor_120_507c4447449f2522a558f71f12fb6cdd157b9c55.txt; Bachelor_120_507c4447449f2522a558f71f12fb6cdd157b9c55.txt; Bachelor_120_507c4447449f2522a558f71f12fb6cdd157b9c55.txt</t>
        </is>
      </c>
      <c r="U2" s="2" t="inlineStr">
        <is>
          <t>studyplans; studyplans; studyplans; studyplans; studyplans; studyplans; studyplans; studyplans; studyplans; studyplans</t>
        </is>
      </c>
      <c r="V2" s="2" t="inlineStr">
        <is>
          <t>1; 1; 1; 1; 1; 1; 1; 1; 1; 1</t>
        </is>
      </c>
      <c r="W2" s="2" t="inlineStr">
        <is>
          <t>1. [studyplans] Bachelor_120_507c4447449f2522a558f71f12fb6cdd157b9c55.txt p.1 - Section: Übersicht über den Ablauf des Studiums Table rows: - Einführungsmodule: Modul 1: Einführung Osteuropa-Studien - Einführungsmodule: Empfohlene Semester: 1-2; ECTS: 6 - Einführungsmodule: Modul 2: Einführung Gesch
2. [studyplans] Bachelor_120_507c4447449f2522a558f71f12fb6cdd157b9c55.txt p.1 - Section: Übersicht über den Ablauf des Studiums Table rows: - Fachmodule 1: Modul 6: Geschichte Major - Fachmodule 1: Empfohlene Semester: 2-6; ECTS: 16 - Fachmodule 1: Modul 7: Kulturwissenschaften - Fachmodule 1: Empfo
3. [studyplans] Bachelor_120_8b3c0262ea04c4433b81f795e052aa56bf62fab4.txt p.1 - Section: Übersicht über den Ablauf des Studiums Table rows: - Einführungsmodule: Modul 1: Einführung Osteuropa-Studien - Einführungsmodule: Empfohlene Semester: 1-2; ECTS: 6 - Einführungsmodule: 2 von 3 fachspezifischen 
4. [studyplans] Bachelor_120_8b3c0262ea04c4433b81f795e052aa56bf62fab4.txt p.1 - Section: Übersicht über den Ablauf des Studiums Table rows: - Fachmodule 1: 2 von 3 Fachmodulen (Module 6/7/8) müssen entsprechend der Kombination der Einführungsmodule ab- solviert werden; ECTS: 2 von 3 Fachmodulen (Mod
5. [studyplans] Bachelor_120_3d023216934dfd65f6374ade0c6f9245f9b4535c.txt p.1 - Section: Aus den fortgeschrittenen Modulen OES3, OES4, OES5 und OES6 sind ZWEI auszuwählen (30 ECTS) | 3 Veranstaltungen Geschichte, darunter Modul Osteuropäische Geschichte und Kontext (OES3) 15 ECTS mindestens ein Semi
6. [studyplans] Bachelor_120_3d023216934dfd65f6374ade0c6f9245f9b4535c.txt p.1 - Section: Aus den fortgeschrittenen Modulen OES3, OES4, OES5 und OES6 ist EINES auszuwählen (15 ECTS) | 3 Veranstaltungen Geschichte, darunter Modul Osteuropäische Geschichte und Kontext (OES3) 15 ECTS mindestens ein Semi
7. [studyplans] Bachelor_120_507c4447449f2522a558f71f12fb6cdd157b9c55.txt p.1 - Section: Übersicht über den Ablauf des Studiums Table rows: - Sprachkompetenzen: Modul 5: Sprachkompetenzen - Sprachkompetenzen: Empfohlene Semester: 1-6; ECTS: 18 Raw table: | Sprachkompetenzen | ECTS | |---------------
8. [studyplans] Bachelor_120_507c4447449f2522a558f71f12fb6cdd157b9c55.txt p.1 - Section: Übersicht über den Ablauf des Studiums Table rows: - Abschluss: Modul 9: Bachelorarbeit - Abschluss: Empfohlene Semester: 5-6; ECTS: 12 Raw table: | Abschluss | ECTS | |--------------------------|--------| | Mod
9. [studyplans] Bachelor_120_507c4447449f2522a558f71f12fb6cdd157b9c55.txt p.1 - Section: Übersicht über den Ablauf des Studiums | Wahlbereich / Bereichsübergreifende Kompetenzen | ECTS | |---------------------------------------------------|--------|
10. [studyplans] Bachelor_120_507c4447449f2522a558f71f12fb6cdd157b9c55.txt p.1 - Section: Übersicht über den Ablauf des Studiums Table rows: - Modul 10: Wahlbereich und bereichsübergreifende Kompetenzen: Empfohlene Semester: 1-6; Modul 10: Wahlbereich und bereichsübergreifende Kompetenzen: 15 Raw tab</t>
        </is>
      </c>
      <c r="X2" s="2" t="inlineStr">
        <is>
          <t>[{"source": null, "page": 1, "snippet": "Section: Übersicht über den Ablauf des Studiums\n\nTable rows:\n- Einführungsmodule: Modul 1: Einführung Osteuropa-Studien\n- Einführungsmodule: Empfohlene Semester: 1-2; ECTS: 6\n- Einführungsmodule: Modul 2: Einführung Geschichte\n- Einführungsmodule: Empfohlene Semester: 1-3; ECTS: 11\n- Einführungsmodule: Modul 3: Einführung Kulturwissenschaften\n- Einführungsmodule: Empfohlene Semester: 1-3; ECTS: 9\n- Einführungsmodule: Modul 4: Einführung Sozialwissenschaften\n- Einführungsmodule: Empfohlene Semest", "metadata": {"parsed_at": "2026-04-10T06:45:20.460Z", "pages": 1, "parser": "docling", "doc_key": "507c4447449f2522a558f71f12fb6cdd157b9c55", "degree_level": "Bachelor", "total_ects": 120, "program_name": "Eastern European Studies", "doc_label": "BA 120 ECTS Anhang zum Studienplan", "source_url": "https://www.unifr.ch/iicee/de/assets/public/files/BA120Anhang.pdf", "source_type": "pdf", "curriculum_url": "http://studies.unifr.ch/go/OKTj8", "fetched_at": "2026-04-03T11:30:46.947Z", "source_file": "Bachelor_120_507c4447449f2522a558f71f12fb6cdd157b9c55.txt", "index_variant": "table_semantic_v1", "chunk_id": "507c4447449f2522a558f71f12fb6cdd157b9c55::semantic_table::chunk::0004", "chunk_type": "table", "section": "Übersicht über den Ablauf des Studiums", "page_start": 1, "page_end": 1, "chunk_pages": [1], "contains_table": true, "block_kinds": ["table"], "prev_chunk_id": "507c4447449f2522a558f71f12fb6cdd157b9c55::semantic_table::chunk::0003", "next_chunk_id": "507c4447449f2522a558f71f12fb6cdd157b9c55::semantic_table::chunk::0005",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Übersicht über den Ablauf des Studiums\n\nTable rows:\n- Fachmodule 1: Modul 6: Geschichte Major\n- Fachmodule 1: Empfohlene Semester: 2-6; ECTS: 16\n- Fachmodule 1: Modul 7: Kulturwissenschaften\n- Fachmodule 1: Empfohlene Semester: 2-6; ECTS: 12\n- Fachmodule 1: Modul 8: Sozialwissenschaften\n- Fachmodule 1: Empfohlene Semester: 2-6; ECTS: 12\n- ECTS: Total: 40\n\nRaw table:\n| Fachmodule 1 | ECTS |\n|-------------------------------|-----------|\n| Modul 6: Geschichte Major | |\n| Empfohlene Semeste", "metadata": {"parsed_at": "2026-04-10T06:45:20.460Z", "pages": 1, "parser": "docling", "doc_key": "507c4447449f2522a558f71f12fb6cdd157b9c55", "degree_level": "Bachelor", "total_ects": 120, "program_name": "Eastern European Studies", "doc_label": "BA 120 ECTS Anhang zum Studienplan", "source_url": "https://www.unifr.ch/iicee/de/assets/public/files/BA120Anhang.pdf", "source_type": "pdf", "curriculum_url": "http://studies.unifr.ch/go/OKTj8", "fetched_at": "2026-04-03T11:30:46.947Z", "source_file": "Bachelor_120_507c4447449f2522a558f71f12fb6cdd157b9c55.txt", "index_variant": "table_semantic_v1", "chunk_id": "507c4447449f2522a558f71f12fb6cdd157b9c55::semantic_table::chunk::0006", "chunk_type": "table", "section": "Übersicht über den Ablauf des Studiums", "page_start": 1, "page_end": 1, "chunk_pages": [1], "contains_table": true, "block_kinds": ["table"], "prev_chunk_id": "507c4447449f2522a558f71f12fb6cdd157b9c55::semantic_table::chunk::0005", "next_chunk_id": "507c4447449f2522a558f71f12fb6cdd157b9c55::semantic_table::chunk::0007",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Übersicht über den Ablauf des Studiums\n\nTable rows:\n- Einführungsmodule: Modul 1: Einführung Osteuropa-Studien\n- Einführungsmodule: Empfohlene Semester: 1-2; ECTS: 6\n- Einführungsmodule: 2 von 3 fachspezifischen Einführungsmodulen (Module 2/3/4) müssen absolviert werden\n- Einführungsmodule: Modul 2: Einführung Geschichte\n- Einführungsmodule: Empfohlene Semester: 1-3; ECTS: 11\n- Einführungsmodule: Modul 3: Einführung Kulturwissenschaften\n- Einführungsmodule: Empfohlene Semester: 1-3; ECT", "metadata": {"parsed_at": "2026-04-10T06:42:19.623Z", "pages": 1, "parser": "docling", "doc_key": "8b3c0262ea04c4433b81f795e052aa56bf62fab4", "degree_level": "Bachelor", "total_ects": 120, "program_name": "Eastern European Studies", "doc_label": "BA 60 ECTS Anhang zum Studienplan", "source_url": "https://www.unifr.ch/iicee/de/assets/public/files/BA60Anhang.pdf", "source_type": "pdf", "curriculum_url": "http://studies.unifr.ch/go/OKTj8", "fetched_at": "2026-04-03T11:30:46.844Z", "source_file": "Bachelor_120_8b3c0262ea04c4433b81f795e052aa56bf62fab4.txt", "index_variant": "table_semantic_v1", "chunk_id": "8b3c0262ea04c4433b81f795e052aa56bf62fab4::semantic_table::chunk::0004", "chunk_type": "table", "section": "Übersicht über den Ablauf des Studiums", "page_start": 1, "page_end": 1, "chunk_pages": [1], "contains_table": true, "block_kinds": ["table"], "prev_chunk_id": "8b3c0262ea04c4433b81f795e052aa56bf62fab4::semantic_table::chunk::0003", "next_chunk_id": "8b3c0262ea04c4433b81f795e052aa56bf62fab4::semantic_table::chunk::0005",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Übersicht über den Ablauf des Studiums\n\nTable rows:\n- Fachmodule 1: 2 von 3 Fachmodulen (Module 6/7/8) müssen entsprechend der Kombination der Einführungsmodule ab- solviert werden; ECTS: 2 von 3 Fachmodulen (Module 6/7/8) müssen entsprechend der Kombination der Einführungsmodule ab- solviert werden\n- Fachmodule 1: Modul 6: Geschichte Major; ECTS: Modul 6: Geschichte Major\n- Fachmodule 1: Empfohlene Semester: 2-6; ECTS: 10\n- Fachmodule 1: Modul 7: Kulturwissenschaften; ECTS: Modul 7: Ku", "metadata": {"parsed_at": "2026-04-10T06:42:19.623Z", "pages": 1, "parser": "docling", "doc_key": "8b3c0262ea04c4433b81f795e052aa56bf62fab4", "degree_level": "Bachelor", "total_ects": 120, "program_name": "Eastern European Studies", "doc_label": "BA 60 ECTS Anhang zum Studienplan", "source_url": "https://www.unifr.ch/iicee/de/assets/public/files/BA60Anhang.pdf", "source_type": "pdf", "curriculum_url": "http://studies.unifr.ch/go/OKTj8", "fetched_at": "2026-04-03T11:30:46.844Z", "source_file": "Bachelor_120_8b3c0262ea04c4433b81f795e052aa56bf62fab4.txt", "index_variant": "table_semantic_v1", "chunk_id": "8b3c0262ea04c4433b81f795e052aa56bf62fab4::semantic_table::chunk::0006", "chunk_type": "table", "section": "Übersicht über den Ablauf des Studiums", "page_start": 1, "page_end": 1, "chunk_pages": [1], "contains_table": true, "block_kinds": ["table"], "prev_chunk_id": "8b3c0262ea04c4433b81f795e052aa56bf62fab4::semantic_table::chunk::0005", "next_chunk_id": "8b3c0262ea04c4433b81f795e052aa56bf62fab4::semantic_table::chunk::0007",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Aus den fortgeschrittenen Modulen OES3, OES4, OES5 und OES6 sind ZWEI auszuwählen (30 ECTS)\n\n| 3 Veranstaltungen Geschichte, darunter Modul Osteuropäische Geschichte und Kontext (OES3) 15 ECTS mindestens ein Seminar (9 ECTS) 1 Seminar Kontext (3 ECTS) 1 Vorlesung Kontext (3 ECTS) | 3 Lehrveranstaltungen, darunter Modul Politikwissenschaft Osteuropas (OES4) 15 ECTS mindestens ein Seminar (9 ECTS) 1 Seminararbeit Politikwissenschaft (6 ECTS) |\n|--------------------------------------------", "metadata": {"parsed_at": "2026-04-10T06:43:39.354Z", "pages": 1, "parser": "docling", "doc_key": "3d023216934dfd65f6374ade0c6f9245f9b4535c", "degree_level": "Bachelor", "total_ects": 120, "program_name": "Eastern European Studies", "doc_label": "Studienplan", "source_url": "https://www.unifr.ch/iicee/de/assets/public/files/BA-120-60-30-ETCS-OES-dt-112912.pdf", "source_type": "pdf", "curriculum_url": "http://studies.unifr.ch/go/OKTj8", "fetched_at": "2026-04-03T11:30:46.903Z", "source_file": "Bachelor_120_3d023216934dfd65f6374ade0c6f9245f9b4535c.txt", "index_variant": "table_semantic_v1", "chunk_id": "3d023216934dfd65f6374ade0c6f9245f9b4535c::semantic_table::chunk::0034", "chunk_type": "table", "section": "Aus den fortgeschrittenen Modulen OES3, OES4, OES5 und OES6 sind ZWEI auszuwählen (30 ECTS)", "page_start": 1, "page_end": 1, "chunk_pages": [1], "contains_table": true, "block_kinds": ["table"], "prev_chunk_id": "3d023216934dfd65f6374ade0c6f9245f9b4535c::semantic_table::chunk::0033", "next_chunk_id": "3d023216934dfd65f6374ade0c6f9245f9b4535c::semantic_table::chunk::0035",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Aus den fortgeschrittenen Modulen OES3, OES4, OES5 und OES6 ist EINES auszuwählen (15 ECTS)\n\n| 3 Veranstaltungen Geschichte, darunter Modul Osteuropäische Geschichte und Kontext (OES3) 15 ECTS mindestens ein Seminar (9 ECTS) 1 Seminar Kontext (3 ECTS) 1 Vorlesung Kontext (3 ECTS) | 3 Lehrveranstaltungen, darunter Modul Politikwissenschaften Osteuropas (OES4) 15 ECTS mindestens ein Seminar (9 ECTS) 1 Seminararbeit Politikwissenschaften (6 ECTS) |\n|----------------------------------------", "metadata": {"parsed_at": "2026-04-10T06:43:39.354Z", "pages": 1, "parser": "docling", "doc_key": "3d023216934dfd65f6374ade0c6f9245f9b4535c", "degree_level": "Bachelor", "total_ects": 120, "program_name": "Eastern European Studies", "doc_label": "Studienplan", "source_url": "https://www.unifr.ch/iicee/de/assets/public/files/BA-120-60-30-ETCS-OES-dt-112912.pdf", "source_type": "pdf", "curriculum_url": "http://studies.unifr.ch/go/OKTj8", "fetched_at": "2026-04-03T11:30:46.903Z", "source_file": "Bachelor_120_3d023216934dfd65f6374ade0c6f9245f9b4535c.txt", "index_variant": "table_semantic_v1", "chunk_id": "3d023216934dfd65f6374ade0c6f9245f9b4535c::semantic_table::chunk::0038", "chunk_type": "table", "section": "Aus den fortgeschrittenen Modulen OES3, OES4, OES5 und OES6 ist EINES auszuwählen (15 ECTS)", "page_start": 1, "page_end": 1, "chunk_pages": [1], "contains_table": true, "block_kinds": ["table"], "prev_chunk_id": "3d023216934dfd65f6374ade0c6f9245f9b4535c::semantic_table::chunk::0037", "next_chunk_id": "3d023216934dfd65f6374ade0c6f9245f9b4535c::semantic_table::chunk::0039",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Übersicht über den Ablauf des Studiums\n\nTable rows:\n- Sprachkompetenzen: Modul 5: Sprachkompetenzen\n- Sprachkompetenzen: Empfohlene Semester: 1-6; ECTS: 18\n\nRaw table:\n| Sprachkompetenzen | ECTS |\n|----------------------------|--------|\n| Modul 5: Sprachkompetenzen | |\n| Empfohlene Semester: 1-6 | 18 |", "metadata": {"parsed_at": "2026-04-10T06:45:20.460Z", "pages": 1, "parser": "docling", "doc_key": "507c4447449f2522a558f71f12fb6cdd157b9c55", "degree_level": "Bachelor", "total_ects": 120, "program_name": "Eastern European Studies", "doc_label": "BA 120 ECTS Anhang zum Studienplan", "source_url": "https://www.unifr.ch/iicee/de/assets/public/files/BA120Anhang.pdf", "source_type": "pdf", "curriculum_url": "http://studies.unifr.ch/go/OKTj8", "fetched_at": "2026-04-03T11:30:46.947Z", "source_file": "Bachelor_120_507c4447449f2522a558f71f12fb6cdd157b9c55.txt", "index_variant": "table_semantic_v1", "chunk_id": "507c4447449f2522a558f71f12fb6cdd157b9c55::semantic_table::chunk::0005", "chunk_type": "table", "section": "Übersicht über den Ablauf des Studiums", "page_start": 1, "page_end": 1, "chunk_pages": [1], "contains_table": true, "block_kinds": ["table"], "prev_chunk_id": "507c4447449f2522a558f71f12fb6cdd157b9c55::semantic_table::chunk::0004", "next_chunk_id": "507c4447449f2522a558f71f12fb6cdd157b9c55::semantic_table::chunk::0006",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Übersicht über den Ablauf des Studiums\n\nTable rows:\n- Abschluss: Modul 9: Bachelorarbeit\n- Abschluss: Empfohlene Semester: 5-6; ECTS: 12\n\nRaw table:\n| Abschluss | ECTS |\n|--------------------------|--------|\n| Modul 9: Bachelorarbeit | |\n| Empfohlene Semester: 5-6 | 12 |", "metadata": {"parsed_at": "2026-04-10T06:45:20.460Z", "pages": 1, "parser": "docling", "doc_key": "507c4447449f2522a558f71f12fb6cdd157b9c55", "degree_level": "Bachelor", "total_ects": 120, "program_name": "Eastern European Studies", "doc_label": "BA 120 ECTS Anhang zum Studienplan", "source_url": "https://www.unifr.ch/iicee/de/assets/public/files/BA120Anhang.pdf", "source_type": "pdf", "curriculum_url": "http://studies.unifr.ch/go/OKTj8", "fetched_at": "2026-04-03T11:30:46.947Z", "source_file": "Bachelor_120_507c4447449f2522a558f71f12fb6cdd157b9c55.txt", "index_variant": "table_semantic_v1", "chunk_id": "507c4447449f2522a558f71f12fb6cdd157b9c55::semantic_table::chunk::0007", "chunk_type": "table", "section": "Übersicht über den Ablauf des Studiums", "page_start": 1, "page_end": 1, "chunk_pages": [1], "contains_table": true, "block_kinds": ["table"], "prev_chunk_id": "507c4447449f2522a558f71f12fb6cdd157b9c55::semantic_table::chunk::0006", "next_chunk_id": "507c4447449f2522a558f71f12fb6cdd157b9c55::semantic_table::chunk::0008",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Übersicht über den Ablauf des Studiums\n\n| Wahlbereich / Bereichsübergreifende Kompetenzen | ECTS |\n|---------------------------------------------------|--------|", "metadata": {"parsed_at": "2026-04-10T06:45:20.460Z", "pages": 1, "parser": "docling", "doc_key": "507c4447449f2522a558f71f12fb6cdd157b9c55", "degree_level": "Bachelor", "total_ects": 120, "program_name": "Eastern European Studies", "doc_label": "BA 120 ECTS Anhang zum Studienplan", "source_url": "https://www.unifr.ch/iicee/de/assets/public/files/BA120Anhang.pdf", "source_type": "pdf", "curriculum_url": "http://studies.unifr.ch/go/OKTj8", "fetched_at": "2026-04-03T11:30:46.947Z", "source_file": "Bachelor_120_507c4447449f2522a558f71f12fb6cdd157b9c55.txt", "index_variant": "table_semantic_v1", "chunk_id": "507c4447449f2522a558f71f12fb6cdd157b9c55::semantic_table::chunk::0008", "chunk_type": "table", "section": "Übersicht über den Ablauf des Studiums", "page_start": 1, "page_end": 1, "chunk_pages": [1], "contains_table": true, "block_kinds": ["table"], "prev_chunk_id": "507c4447449f2522a558f71f12fb6cdd157b9c55::semantic_table::chunk::0007", "next_chunk_id": "507c4447449f2522a558f71f12fb6cdd157b9c55::semantic_table::chunk::0009",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Übersicht über den Ablauf des Studiums\n\nTable rows:\n- Modul 10: Wahlbereich und bereichsübergreifende Kompetenzen: Empfohlene Semester: 1-6; Modul 10: Wahlbereich und bereichsübergreifende Kompetenzen: 15\n\nRaw table:\n| Modul 10: Wahlbereich und bereichsübergreifende Kompetenzen | Modul 10: Wahlbereich und bereichsübergreifende Kompetenzen |\n|---------------------------------------------------------------|---------------------------------------------------------------|\n| Empfohlene Semes", "metadata": {"parsed_at": "2026-04-10T06:45:20.460Z", "pages": 1, "parser": "docling", "doc_key": "507c4447449f2522a558f71f12fb6cdd157b9c55", "degree_level": "Bachelor", "total_ects": 120, "program_name": "Eastern European Studies", "doc_label": "BA 120 ECTS Anhang zum Studienplan", "source_url": "https://www.unifr.ch/iicee/de/assets/public/files/BA120Anhang.pdf", "source_type": "pdf", "curriculum_url": "http://studies.unifr.ch/go/OKTj8", "fetched_at": "2026-04-03T11:30:46.947Z", "source_file": "Bachelor_120_507c4447449f2522a558f71f12fb6cdd157b9c55.txt", "index_variant": "table_semantic_v1", "chunk_id": "507c4447449f2522a558f71f12fb6cdd157b9c55::semantic_table::chunk::0009", "chunk_type": "table", "section": "Übersicht über den Ablauf des Studiums", "page_start": 1, "page_end": 1, "chunk_pages": [1], "contains_table": true, "block_kinds": ["table"], "prev_chunk_id": "507c4447449f2522a558f71f12fb6cdd157b9c55::semantic_table::chunk::0008", "next_chunk_id": "507c4447449f2522a558f71f12fb6cdd157b9c55::semantic_table::chunk::0010",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t>
        </is>
      </c>
      <c r="Y2" s="2" t="inlineStr">
        <is>
          <t>Bachelor_120_507c4447449f2522a558f71f12fb6cdd157b9c55.txt</t>
        </is>
      </c>
      <c r="Z2" s="2" t="inlineStr">
        <is>
          <t>studyplans</t>
        </is>
      </c>
      <c r="AA2" s="2" t="n">
        <v>1</v>
      </c>
      <c r="AB2" s="2" t="inlineStr">
        <is>
          <t>Section: Übersicht über den Ablauf des Studiums Table rows: - Einführungsmodule: Modul 1: Einführung Osteuropa-Studien - Einführungsmodule: Empfohlene Semester: 1-2; ECTS: 6 - Einführungsmodule: Modul 2: Einführung Geschichte - Einführungsmodule: Empfohlene Semester: 1-3; ECTS: 11 - Einführungsmodule: Modul 3: Einführung Kulturwissenschaften - Einf</t>
        </is>
      </c>
      <c r="AC2" s="2" t="n">
        <v>0</v>
      </c>
      <c r="AD2" s="2" t="n">
        <v>0</v>
      </c>
      <c r="AE2" s="2" t="n">
        <v>0</v>
      </c>
      <c r="AF2" s="2" t="n">
        <v>0</v>
      </c>
      <c r="AG2" s="2" t="n">
        <v>0</v>
      </c>
      <c r="AH2" s="2" t="inlineStr"/>
      <c r="AI2" s="2" t="inlineStr"/>
      <c r="AJ2" s="2" t="inlineStr"/>
      <c r="AK2" s="2" t="inlineStr"/>
      <c r="AL2" s="2" t="inlineStr"/>
      <c r="AM2" s="2" t="inlineStr"/>
      <c r="AN2" s="2" t="inlineStr">
        <is>
          <t>Fill manual_relevant_ranks after reviewing retrieved_sources_ranked, e.g. 1,3,5.</t>
        </is>
      </c>
    </row>
    <row r="3">
      <c r="A3" s="2" t="inlineStr">
        <is>
          <t>2026-05-18T23:56:48</t>
        </is>
      </c>
      <c r="B3" s="2" t="n">
        <v>3</v>
      </c>
      <c r="C3" s="2" t="n">
        <v>2</v>
      </c>
      <c r="D3" s="2" t="inlineStr">
        <is>
          <t>program_overview</t>
        </is>
      </c>
      <c r="E3" s="2" t="inlineStr">
        <is>
          <t>hard</t>
        </is>
      </c>
      <c r="F3" s="2" t="inlineStr">
        <is>
          <t>en</t>
        </is>
      </c>
      <c r="G3" s="2" t="inlineStr">
        <is>
          <t>How is the Teacher Trianing structured?</t>
        </is>
      </c>
      <c r="H3" s="2" t="inlineStr">
        <is>
          <t>short description and list of possibilities</t>
        </is>
      </c>
      <c r="I3" s="2" t="inlineStr">
        <is>
          <t xml:space="preserve">RAG  </t>
        </is>
      </c>
      <c r="J3" s="2" t="inlineStr"/>
      <c r="K3" s="2" t="inlineStr">
        <is>
          <t>study vectorstore</t>
        </is>
      </c>
      <c r="L3" s="2" t="inlineStr"/>
      <c r="M3" s="2" t="inlineStr"/>
      <c r="N3" s="2" t="n">
        <v>200</v>
      </c>
      <c r="O3" s="2" t="n">
        <v>1</v>
      </c>
      <c r="P3" s="2" t="n">
        <v>12930.51</v>
      </c>
      <c r="Q3" s="2" t="inlineStr"/>
      <c r="R3" s="2" t="n">
        <v>10</v>
      </c>
      <c r="S3" s="2" t="inlineStr"/>
      <c r="T3" s="2" t="inlineStr">
        <is>
          <t>Bachelor_30_3e1264b4deddc91aef81c91095d05724021ab732.txt; Bachelor_30_64a64ee881d87d7aac878728a6ee83d5e7a754da.txt; Bachelor_30_8a0e9786f2db7dfeaa49cc54abd3a13e2f672265.txt; Bachelor_30_a1e2a605ef91f4c24a13dca59ef459b472a17002.txt; Bachelor_30_c6420ce15f3ad58ad04559014e784f2ee80c3f7a.txt; unifr_elite_sports.json; unifr_elite_sports.json; unifr_elite_sports.json; unifr_elite_sports.json; unifr_studies_army.json</t>
        </is>
      </c>
      <c r="U3" s="2" t="inlineStr">
        <is>
          <t>studyplans; studyplans; studyplans; studyplans; studyplans; base_data; base_data; base_data; base_data; base_data</t>
        </is>
      </c>
      <c r="V3" s="2" t="inlineStr">
        <is>
          <t xml:space="preserve">1; 1; 1; 1; 1; ; ; ; ; </t>
        </is>
      </c>
      <c r="W3" s="2" t="inlineStr">
        <is>
          <t>1. [studyplans] Bachelor_30_3e1264b4deddc91aef81c91095d05724021ab732.txt p.1 - Section: Studienplan Bachelor
2. [studyplans] Bachelor_30_64a64ee881d87d7aac878728a6ee83d5e7a754da.txt p.1 - Section: Studienplan Bachelor
3. [studyplans] Bachelor_30_8a0e9786f2db7dfeaa49cc54abd3a13e2f672265.txt p.1 - Section: Studienplan Bachelor
4. [studyplans] Bachelor_30_a1e2a605ef91f4c24a13dca59ef459b472a17002.txt p.1 - Section: Studienplan Bachelor
5. [studyplans] Bachelor_30_c6420ce15f3ad58ad04559014e784f2ee80c3f7a.txt p.1 - Section: Studienplan Bachelor
6. [base_data] unifr_elite_sports.json p. - Regulations Regulations
7. [base_data] unifr_elite_sports.json p. - Reception Reception
8. [base_data] unifr_elite_sports.json p. - Previous context: rundsätzlich vom Leistungssport verabschieden sollte – schliesslich sei man keine zwanzig mehr. Ich stimme zu, dass die «Spritzigkeit» und vielleicht auch die Peak Performance ab M rundsätzlich vom Leis
9. [base_data] unifr_elite_sports.json p. - Previous context: nd der Ausgleich zum kopflastigen Studium standen für mich im Vordergrund und war meine Hauptmotivation, nach dieser langen Pause das Training wieder aufzunehmen. Wie unterscheidet d der Ausgleich zum k
10. [base_data] unifr_studies_army.json p. - Aktivitäten auf dem Campus Aktivitäten auf dem Campus Agenda, Studierendenverbände, Sport, Kulturelles Mehr Mehr: https://www.unifr.ch/campus/de/aktivitaeten/</t>
        </is>
      </c>
      <c r="X3" s="2" t="inlineStr">
        <is>
          <t>[{"source": null, "page": 1, "snippet": "Section: Studienplan\n\nBachelor", "metadata": {"parsed_at": "2026-04-10T07:26:49.802Z", "pages": 1, "parser": "docling", "doc_key": "3e1264b4deddc91aef81c91095d05724021ab732", "degree_level": "Bachelor", "total_ects": 30, "program_name": "Musicology and History of Opera", "doc_label": "Bereich II Bereich II", "source_url": "https://www.unifr.ch/musicologie/de/assets/public/Documents/Plans%20d%27%C3%A9tudes%202020/Bachelor%2020%20DE/MUS_BA_60_DE_13112019.pdf", "source_type": "pdf", "curriculum_url": "https://studies.unifr.ch/go/q", "fetched_at": "2026-04-03T11:31:00.346Z", "source_file": "Bachelor_30_3e1264b4deddc91aef81c91095d05724021ab732.txt", "index_variant": "table_semantic_v1", "chunk_id": "3e1264b4deddc91aef81c91095d05724021ab732::semantic_table::chunk::0001", "chunk_type": "semantic", "section": "Studienplan", "page_start": 1, "page_end": 1, "chunk_pages": [1], "contains_table": false, "block_kinds": ["text"], "prev_chunk_id": null, "next_chunk_id": "3e1264b4deddc91aef81c91095d05724021ab732::semantic_table::chunk::0002", "rag_source": "studyplans", "category": "studyplans",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"Wie ist die Lehrerfortbildung strukturiert?", "query_language": "de"}], "returned_count": 10}}, {"source": null, "page": 1, "snippet": "Section: Studienplan\n\nBachelor", "metadata": {"parsed_at": "2026-04-10T07:25:22.958Z", "pages": 1, "parser": "docling", "doc_key": "64a64ee881d87d7aac878728a6ee83d5e7a754da", "degree_level": "Bachelor", "total_ects": 30, "program_name": "Musicology and History of Opera", "doc_label": "LDS I 30 ECTS", "source_url": "https://www.unifr.ch/musicologie/de/assets/public/Documents/Plans%20d%27%C3%A9tudes%202020/Bachelor%2020%20DE/MUS_BASI_30_DE_13112019.pdf", "source_type": "pdf", "curriculum_url": "https://studies.unifr.ch/go/q", "fetched_at": "2026-04-03T11:31:00.275Z", "source_file": "Bachelor_30_64a64ee881d87d7aac878728a6ee83d5e7a754da.txt", "index_variant": "table_semantic_v1", "chunk_id": "64a64ee881d87d7aac878728a6ee83d5e7a754da::semantic_table::chunk::0001", "chunk_type": "semantic", "section": "Studienplan", "page_start": 1, "page_end": 1, "chunk_pages": [1], "contains_table": false, "block_kinds": ["text"], "prev_chunk_id": null, "next_chunk_id": "64a64ee881d87d7aac878728a6ee83d5e7a754da::semantic_table::chunk::0002", "rag_source": "studyplans", "category": "studyplans",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"Wie ist die Lehrerfortbildung strukturiert?", "query_language": "de"}], "returned_count": 10}}, {"source": null, "page": 1, "snippet": "Section: Studienplan\n\nBachelor", "metadata": {"parsed_at": "2026-04-10T07:30:24.083Z", "pages": 1, "parser": "docling", "doc_key": "8a0e9786f2db7dfeaa49cc54abd3a13e2f672265", "degree_level": "Bachelor", "total_ects": 30, "program_name": "Musicology and History of Opera", "doc_label": "LDS I 50 ECTS", "source_url": "https://www.unifr.ch/musicologie/de/assets/public/Documents/Plans%20d%27%C3%A9tudes%202020/Bachelor%2020%20DE/MUS_BASI_50_DE_13112019.pdf", "source_type": "pdf", "curriculum_url": "https://studies.unifr.ch/go/q", "fetched_at": "2026-04-03T11:31:00.860Z", "source_file": "Bachelor_30_8a0e9786f2db7dfeaa49cc54abd3a13e2f672265.txt", "index_variant": "table_semantic_v1", "chunk_id": "8a0e9786f2db7dfeaa49cc54abd3a13e2f672265::semantic_table::chunk::0001", "chunk_type": "semantic", "section": "Studienplan", "page_start": 1, "page_end": 1, "chunk_pages": [1], "contains_table": false, "block_kinds": ["text"], "prev_chunk_id": null, "next_chunk_id": "8a0e9786f2db7dfeaa49cc54abd3a13e2f672265::semantic_table::chunk::0002", "rag_source": "studyplans", "category": "studyplans",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"Wie ist die Lehrerfortbildung strukturiert?", "query_language": "de"}], "returned_count": 10}}, {"source": null, "page": 1, "snippet": "Section: Studienplan\n\nBachelor", "metadata": {"parsed_at": "2026-04-10T07:19:34.071Z", "pages": 1, "parser": "docling", "doc_key": "a1e2a605ef91f4c24a13dca59ef459b472a17002", "degree_level": "Bachelor", "total_ects": 30, "program_name": "Musicology and History of Opera", "doc_label": "Bereich I", "source_url": "https://www.unifr.ch/musicologie/de/assets/public/Documents/Plans%20%C3%A9tudes%202025/DE/MUS_BA_120_DE.pdf", "source_type": "pdf", "curriculum_url": "https://studies.unifr.ch/go/q", "fetched_at": "2026-04-03T11:30:59.945Z", "source_file": "Bachelor_30_a1e2a605ef91f4c24a13dca59ef459b472a17002.txt", "index_variant": "table_semantic_v1", "chunk_id": "a1e2a605ef91f4c24a13dca59ef459b472a17002::semantic_table::chunk::0001", "chunk_type": "semantic", "section": "Studienplan", "page_start": 1, "page_end": 1, "chunk_pages": [1], "contains_table": false, "block_kinds": ["text"], "prev_chunk_id": null, "next_chunk_id": "a1e2a605ef91f4c24a13dca59ef459b472a17002::semantic_table::chunk::0002", "rag_source": "studyplans", "category": "studyplans",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"Wie ist die Lehrerfortbildung strukturiert?", "query_language": "de"}], "returned_count": 10}}, {"source": null, "page": 1, "snippet": "Section: Studienplan\n\nBachelor", "metadata": {"parsed_at": "2026-04-10T07:33:59.913Z", "pages": 1, "parser": "docling", "doc_key": "c6420ce15f3ad58ad04559014e784f2ee80c3f7a", "degree_level": "Bachelor", "total_ects": 30, "program_name": "Musicology and History of Opera", "doc_label": "Bereich I", "source_url": "https://www.unifr.ch/musicologie/de/assets/public/Documents/Plans%20d%27%C3%A9tudes%202020/Bachelor%2020%20DE/MUS_BA_120_DE_13112019.pdf", "source_type": "pdf", "curriculum_url": "https://studies.unifr.ch/go/q", "fetched_at": "2026-04-03T11:31:00.974Z", "source_file": "Bachelor_30_c6420ce15f3ad58ad04559014e784f2ee80c3f7a.txt", "index_variant": "table_semantic_v1", "chunk_id": "c6420ce15f3ad58ad04559014e784f2ee80c3f7a::semantic_table::chunk::0001", "chunk_type": "semantic", "section": "Studienplan", "page_start": 1, "page_end": 1, "chunk_pages": [1], "contains_table": false, "block_kinds": ["text"], "prev_chunk_id": null, "next_chunk_id": "c6420ce15f3ad58ad04559014e784f2ee80c3f7a::semantic_table::chunk::0002", "rag_source": "studyplans", "category": "studyplans",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"Wie ist die Lehrerfortbildung strukturiert?", "query_language": "de"}], "returned_count": 10}}, {"source": null, "page": null, "snippet": "Regulations\n\nRegulations", "metadata": {"doc_key": "unifr_elite_sport_www_unifr_ch_studies_en_admission", "source_type": "unifr_elite_sport_page", "source_url": "https://www.unifr.ch/studies/en/admission/", "source_reference": "https://www.unifr.ch/studies/en/admission/", "title": "Admission | Studies | University of Fribourg", "page_heading": "Admission at the University of Fribourg", "language": "en", "parent_url": "https://www.unifr.ch/studies/en/organisation/during-studies/studies-and-elite-sportswomen-and-sportsmen.html", "source_file": "unifr_elite_sports.json", "parser": "scrapy_base_info_json", "index_variant": "base_info_semantic_v1", "section_index": 18, "section": "Regulations", "chunk_id": "unifr_elite_sport_www_unifr_ch_studies_en_admission::section::018::chunk::001", "chunk_type": "section", "prev_chunk_id": "unifr_elite_sport_www_unifr_ch_studies_en_admission::section::017::chunk::001", "next_chunk_id": "unifr_elite_sport_www_unifr_ch_studies_en_admission::section::019::chunk::001",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"Wie ist die Lehrerfortbildung strukturiert?", "query_language": "de"}], "returned_count": 10}}, {"source": null, "page": null, "snippet": "Reception\n\nReception", "metadata": {"doc_key": "unifr_elite_sport_www_unifr_ch_studies_en_admission_contact_team_contact_html", "source_type": "unifr_elite_sport_page", "source_url": "https://www.unifr.ch/studies/en/admission/contact-team/contact.html", "source_reference": "https://www.unifr.ch/studies/en/admission/contact-team/contact.html", "title": "Contact | Studies | University of Fribourg", "page_heading": "Contact us", "language": "en", "parent_url": "https://www.unifr.ch/studies/en/organisation/during-studies/studies-and-elite-sportswomen-and-sportsmen.html", "source_file": "unifr_elite_sports.json", "parser": "scrapy_base_info_json", "index_variant": "base_info_semantic_v1", "section_index": 3, "section": "Reception", "chunk_id": "unifr_elite_sport_www_unifr_ch_studies_en_admission_contact_team_contact_html::section::003::chunk::001", "chunk_type": "section", "prev_chunk_id": "unifr_elite_sport_www_unifr_ch_studies_en_admission_contact_team_contact_html::section::002::chunk::001", "next_chunk_id": "unifr_elite_sport_www_unifr_ch_studies_en_admission_contact_team_contact_html::section::004::chunk::001",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"Wie ist die Lehrerfortbildung strukturiert?", "query_language": "de"}], "returned_count": 10}}, {"source": null, "page": null, "snippet": "Previous context: rundsätzlich vom Leistungssport verabschieden sollte – schliesslich sei man keine zwanzig mehr.\nIch stimme zu, dass die «Spritzigkeit» und vielleicht auch die Peak Performance ab M\n\nrundsätzlich vom Leistungssport verabschieden sollte – schliesslich sei man keine zwanzig mehr.\nIch stimme zu, dass die «Spritzigkeit» und vielleicht auch die Peak Performance ab Mitte dreissig nicht mehr dieselbe ist wie bei den 20-Jährigen. Ebenso wird man ab einem bestimmten Alter grundsätzlich e", "metadata": {"doc_key": "unifr_elite_sport_www_unifr_ch_alma_georges_articles_2026_zwischen_unifr_studium_und_spitzensport_ein_interview_mit_sandrine_benz", "source_type": "unifr_elite_sport_page", "source_url": "https://www.unifr.ch/alma-georges/articles/2026/zwischen-unifr-studium-und-spitzensport-ein-interview-mit-sandrine-benz?lang=de", "source_reference": "https://www.unifr.ch/alma-georges/articles/2026/zwischen-unifr-studium-und-spitzensport-ein-interview-mit-sandrine-benz?lang=de", "title": "Zwischen Unifr-Studium und Spitzensport – Ein Interview mit Sandrine Benz – Alma &amp; Georges", "page_heading": "Zwischen Unifr-Studium und Spitzensport – Ein Interview mit Sandrine Benz", "language": "de", "parent_url": "https://www.unifr.ch/studies/en/organisation/during-studies/studies-and-elite-sportswomen-and-sportsmen.html", "source_file": "unifr_elite_sports.json", "parser": "scrapy_base_info_json", "index_variant": "base_info_semantic_v1", "section_index": 1, "section": "Zwischen Hörsaal und Weltmeisterschaft: Seit Beginn ihres Medizinstudiums an der Universität Freiburg im Jahr 2022 lebt Spitzensportlerin Sandrine Benz (41) eine aussergewöhnliche Doppelkarriere.", "chunk_id": "unifr_elite_sport_www_unifr_ch_alma_georges_articles_2026_zwischen_unifr_studium_und_spitzensport_ein_interview_mit_sandrine_benz::section::001::chunk::013", "chunk_type": "section", "prev_chunk_id": "unifr_elite_sport_www_unifr_ch_alma_georges_articles_2026_zwischen_unifr_studium_und_spitzensport_ein_interview_mit_sandrine_benz::section::001::chunk::012", "next_chunk_id": "unifr_elite_sport_www_unifr_ch_alma_georges_articles_2026_zwischen_unifr_studium_und_spitzensport_ein_interview_mit_sandrine_benz::section::001::chunk::014",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"Wie ist die Lehrerfortbildung strukturiert?", "query_language": "de"}], "returned_count": 10}}, {"source": null, "page": null, "snippet": "Previous context: nd der Ausgleich zum kopflastigen Studium standen für mich im Vordergrund und war meine Hauptmotivation, nach dieser langen Pause das Training wieder aufzunehmen.\nWie unterscheidet\n\nd der Ausgleich zum kopflastigen Studium standen für mich im Vordergrund und war meine Hauptmotivation, nach dieser langen Pause das Training wieder aufzunehmen.\nWie unterscheidet sich selbst gesteuertes Training mental von klassischer Trainerführung? Der grösste Unterschied besteht darin, dass man ", "metadata": {"doc_key": "unifr_elite_sport_www_unifr_ch_alma_georges_articles_2026_zwischen_unifr_studium_und_spitzensport_ein_interview_mit_sandrine_benz", "source_type": "unifr_elite_sport_page", "source_url": "https://www.unifr.ch/alma-georges/articles/2026/zwischen-unifr-studium-und-spitzensport-ein-interview-mit-sandrine-benz?lang=de", "source_reference": "https://www.unifr.ch/alma-georges/articles/2026/zwischen-unifr-studium-und-spitzensport-ein-interview-mit-sandrine-benz?lang=de", "title": "Zwischen Unifr-Studium und Spitzensport – Ein Interview mit Sandrine Benz – Alma &amp; Georges", "page_heading": "Zwischen Unifr-Studium und Spitzensport – Ein Interview mit Sandrine Benz", "language": "de", "parent_url": "https://www.unifr.ch/studies/en/organisation/during-studies/studies-and-elite-sportswomen-and-sportsmen.html", "source_file": "unifr_elite_sports.json", "parser": "scrapy_base_info_json", "index_variant": "base_info_semantic_v1", "section_index": 1, "section": "Zwischen Hörsaal und Weltmeisterschaft: Seit Beginn ihres Medizinstudiums an der Universität Freiburg im Jahr 2022 lebt Spitzensportlerin Sandrine Benz (41) eine aussergewöhnliche Doppelkarriere.", "chunk_id": "unifr_elite_sport_www_unifr_ch_alma_georges_articles_2026_zwischen_unifr_studium_und_spitzensport_ein_interview_mit_sandrine_benz::section::001::chunk::011", "chunk_type": "section", "prev_chunk_id": "unifr_elite_sport_www_unifr_ch_alma_georges_articles_2026_zwischen_unifr_studium_und_spitzensport_ein_interview_mit_sandrine_benz::section::001::chunk::010", "next_chunk_id": "unifr_elite_sport_www_unifr_ch_alma_georges_articles_2026_zwischen_unifr_studium_und_spitzensport_ein_interview_mit_sandrine_benz::section::001::chunk::012",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"Wie ist die Lehrerfortbildung strukturiert?", "query_language": "de"}], "returned_count": 10}}, {"source": null, "page": null, "snippet": "Aktivitäten auf dem Campus\n\nAktivitäten auf dem Campus\nAgenda, Studierendenverbände, Sport, Kulturelles\nMehr\n\nMehr: https://www.unifr.ch/campus/de/aktivitaeten/", "metadata": {"doc_key": "unifr_studies_army_www_unifr_ch_uni_info_de", "source_type": "unifr_studies_army_page", "source_url": "https://www.unifr.ch/uni-info/de/", "source_reference": "https://www.unifr.ch/uni-info/de/", "title": "Home | Uni-Info | Université de Fribourg", "page_heading": "Uni-Info - Studierende", "language": "de", "parent_url": "https://www.unifr.ch/uni-info/de/armee/", "source_file": "unifr_studies_army.json", "parser": "scrapy_base_info_json", "index_variant": "base_info_semantic_v1", "section_index": 1, "section": "Aktivitäten auf dem Campus", "chunk_id": "unifr_studies_army_www_unifr_ch_uni_info_de::section::001::chunk::001", "chunk_type": "section", "next_chunk_id": "unifr_studies_army_www_unifr_ch_uni_info_de::section::002::chunk::001",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"Wie ist die Lehrerfortbildung strukturiert?", "query_language": "de"}], "returned_count": 10}}]</t>
        </is>
      </c>
      <c r="Y3" s="2" t="inlineStr">
        <is>
          <t>Bachelor_30_3e1264b4deddc91aef81c91095d05724021ab732.txt</t>
        </is>
      </c>
      <c r="Z3" s="2" t="inlineStr">
        <is>
          <t>studyplans</t>
        </is>
      </c>
      <c r="AA3" s="2" t="n">
        <v>1</v>
      </c>
      <c r="AB3" s="2" t="inlineStr">
        <is>
          <t>Section: Studienplan Bachelor</t>
        </is>
      </c>
      <c r="AC3" s="2" t="n">
        <v>0</v>
      </c>
      <c r="AD3" s="2" t="n">
        <v>0</v>
      </c>
      <c r="AE3" s="2" t="n">
        <v>0</v>
      </c>
      <c r="AF3" s="2" t="n">
        <v>0</v>
      </c>
      <c r="AG3" s="2" t="n">
        <v>0</v>
      </c>
      <c r="AH3" s="2" t="inlineStr"/>
      <c r="AI3" s="2" t="inlineStr"/>
      <c r="AJ3" s="2" t="inlineStr"/>
      <c r="AK3" s="2" t="inlineStr"/>
      <c r="AL3" s="2" t="inlineStr"/>
      <c r="AM3" s="2" t="inlineStr"/>
      <c r="AN3" s="2" t="inlineStr">
        <is>
          <t>Fill manual_relevant_ranks after reviewing retrieved_sources_ranked, e.g. 1,3,5.</t>
        </is>
      </c>
    </row>
    <row r="4">
      <c r="A4" s="2" t="inlineStr">
        <is>
          <t>2026-05-18T23:56:48</t>
        </is>
      </c>
      <c r="B4" s="2" t="n">
        <v>4</v>
      </c>
      <c r="C4" s="2" t="n">
        <v>3</v>
      </c>
      <c r="D4" s="2" t="inlineStr">
        <is>
          <t>program_overview</t>
        </is>
      </c>
      <c r="E4" s="2" t="inlineStr">
        <is>
          <t>medium</t>
        </is>
      </c>
      <c r="F4" s="2" t="inlineStr">
        <is>
          <t>en</t>
        </is>
      </c>
      <c r="G4" s="2" t="inlineStr">
        <is>
          <t>What courses are thaught in the Master of Slavic Studies?</t>
        </is>
      </c>
      <c r="H4" s="2" t="inlineStr">
        <is>
          <t>list of courses</t>
        </is>
      </c>
      <c r="I4" s="2" t="inlineStr">
        <is>
          <t xml:space="preserve">RAG  </t>
        </is>
      </c>
      <c r="J4" s="2" t="inlineStr"/>
      <c r="K4" s="2" t="inlineStr">
        <is>
          <t>study vectorstore</t>
        </is>
      </c>
      <c r="L4" s="2" t="inlineStr"/>
      <c r="M4" s="2" t="inlineStr"/>
      <c r="N4" s="2" t="n">
        <v>200</v>
      </c>
      <c r="O4" s="2" t="n">
        <v>1</v>
      </c>
      <c r="P4" s="2" t="n">
        <v>14303.88</v>
      </c>
      <c r="Q4" s="2" t="inlineStr"/>
      <c r="R4" s="2" t="n">
        <v>10</v>
      </c>
      <c r="S4" s="2" t="inlineStr"/>
      <c r="T4" s="2" t="inlineStr">
        <is>
          <t>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t>
        </is>
      </c>
      <c r="U4" s="2" t="inlineStr">
        <is>
          <t>studyplans; studyplans; studyplans; studyplans; studyplans; studyplans; studyplans; studyplans; studyplans; studyplans</t>
        </is>
      </c>
      <c r="V4" s="2" t="inlineStr">
        <is>
          <t>1; 1; 1; 1; 1; 1; 1; 1; 1; 1</t>
        </is>
      </c>
      <c r="W4" s="2" t="inlineStr">
        <is>
          <t>1. [studyplans] Master_90_59edacccbc814f4ca7dd2a3d388690f68f8d8f12.txt p.1 - Section: Inhaltsverzeichnis Table rows: - 1.: 2; Gesetzliche Grundlagen ......................................................................................................... 1: Beschreibung des Programms ............
2. [studyplans] Master_90_59edacccbc814f4ca7dd2a3d388690f68f8d8f12.txt p.1 - ............................................................... 3 - 1.: 8; Gesetzliche Grundlagen ......................................................................................................... 1: Studienreisen
3. [studyplans] Master_90_59edacccbc814f4ca7dd2a3d388690f68f8d8f12.txt p.1 - .............................................................................................................. 3 | | 6 | Allgemeine Organisation ...........................................................................
4. [studyplans] Master_90_59edacccbc814f4ca7dd2a3d388690f68f8d8f12.txt p.1 - Section: Modul 1: Literaturwissenschaft Table rows: - column_1: SE; column_2: Seminar; Ort: FR; SWS: 2; ECTS: 6 - column_1: VL; column_2: Vorlesung; Ort: FR; SWS: 2; ECTS: 3 - column_1: SLK; column_2: Selbstlernkurs (Übu
5. [studyplans] Master_90_59edacccbc814f4ca7dd2a3d388690f68f8d8f12.txt p.1 - Section: Modul 2: Sprachwissenschaft Table rows: - column_1: SE; column_2: Seminar; Ort: BE; SWS: 2; ECTS: 6 - column_1: VL; column_2: Vorlesung; Ort: BE; SWS: 2; ECTS: 3 - column_1: SLK; column_2: Selbstlernkurs (Übung/
6. [studyplans] Master_90_59edacccbc814f4ca7dd2a3d388690f68f8d8f12.txt p.1 - Section: 3A: Literaturwissenschaft Table rows: - column_1: SE; column_2: Seminar; Ort: FR; SWS: 2; ECTS: 6 - column_1: SA; column_2: Seminararbeit; Ort: FR; SWS: -; ECTS: 6 - ECTS: 12 Raw table: | | | Ort | SWS | ECTS | 
7. [studyplans] Master_90_59edacccbc814f4ca7dd2a3d388690f68f8d8f12.txt p.1 - Section: 3B: Sprachwissenschaft Table rows: - column_1: SE; column_2: Seminar; Ort: BE; SWS: 2; ECTS: 6 - column_1: SA; column_2: Seminararbeit; Ort: BE; SWS: -; ECTS: 6 - ECTS: 12 Raw table: | | | Ort | SWS | ECTS | |--
8. [studyplans] Master_90_59edacccbc814f4ca7dd2a3d388690f68f8d8f12.txt p.1 - Section: 4A: Transfer interdisziplinär Table rows: - column_1: SE; column_2: Seminar; Ort: BE/FR; SWS: 2; ECTS: 6 - column_1: K; column_2: Kolloquium; Ort: BE/FR; SWS: 2; ECTS: 3 - column_1: PP; column_2: Praktisches Pro
9. [studyplans] Master_90_59edacccbc814f4ca7dd2a3d388690f68f8d8f12.txt p.1 - Section: 4B: Transfer Beruf (Praktikum) Table rows: - column_1: P; column_2: Praktikum und Bericht; ECTS: 9 - column_1: K; column_2: Kolloquium; Ort: BE/FR; SWS: 2; ECTS: 3 - ECTS: 12 Raw table: | | | Ort | SWS | ECTS | 
10. [studyplans] Master_90_59edacccbc814f4ca7dd2a3d388690f68f8d8f12.txt p.1 - Section: 4C: Transfer Ideengeschichte Table rows: - column_1: VL/SE; column_2: Vorlesung oder Seminar; Ort: BE; SWS: 2; ECTS: 3 - column_1: SA; column_2: Seminararbeit; Ort: FR; SWS: 2; ECTS: 6 - column_1: K; column_2: K</t>
        </is>
      </c>
      <c r="X4" s="2" t="inlineStr">
        <is>
          <t>[{"source": null, "page": 1, "snippet": "Section: Inhaltsverzeichnis\n\nTable rows:\n- 1.: 2; Gesetzliche Grundlagen ......................................................................................................... 1: Beschreibung des Programms ............................................................................................... 1\n- 1.: 3; Gesetzliche Grundlagen ......................................................................................................... 1: Ausbildungsziele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"59edacccbc814f4ca7dd2a3d388690f68f8d8f12::semantic_table::chunk::0002", "chunk_type": "table", "section": "Inhaltsverzeichnis", "page_start": 1, "page_end": 1, "chunk_pages": [1], "contains_table": true, "block_kinds": ["table"], "prev_chunk_id": "59edacccbc814f4ca7dd2a3d388690f68f8d8f12::semantic_table::chunk::0001", "next_chunk_id": "59edacccbc814f4ca7dd2a3d388690f68f8d8f12::semantic_table::chunk::0003",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 3\n- 1.: 8; Gesetzliche Grundlagen ......................................................................................................... 1: Studienreisen und Exkursionen .............................................................................................. 9\n- 1.: 9; Gesetzliche Grundlagen ......................................................................................................... 1: Prüfungsmodalitäten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"59edacccbc814f4ca7dd2a3d388690f68f8d8f12::semantic_table::chunk::0003", "chunk_type": "table", "section": "Inhaltsverzeichnis", "page_start": 1, "page_end": 1, "chunk_pages": [1], "contains_table": true, "block_kinds": ["table"], "prev_chunk_id": "59edacccbc814f4ca7dd2a3d388690f68f8d8f12::semantic_table::chunk::0002", "next_chunk_id": "59edacccbc814f4ca7dd2a3d388690f68f8d8f12::semantic_table::chunk::0004",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 3 |\n| 6 | Allgemeine Organisation ......................................................................................................... 3 |\n| 7 | Beschreibung der Module ....................................................................................................... 3 |\n| 8 | Studienreisen und Exkursionen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"59edacccbc814f4ca7dd2a3d388690f68f8d8f12::semantic_table::chunk::0004", "chunk_type": "table", "section": "Inhaltsverzeichnis", "page_start": 1, "page_end": 1, "chunk_pages": [1], "contains_table": true, "block_kinds": ["table"], "prev_chunk_id": "59edacccbc814f4ca7dd2a3d388690f68f8d8f12::semantic_table::chunk::0003", "next_chunk_id": "59edacccbc814f4ca7dd2a3d388690f68f8d8f12::semantic_table::chunk::0005",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"Section: Modul 1: Literaturwissenschaft\n\nTable rows:\n- column_1: SE; column_2: Seminar; Ort: FR; SWS: 2; ECTS: 6\n- column_1: VL; column_2: Vorlesung; Ort: FR; SWS: 2; ECTS: 3\n- column_1: SLK; column_2: Selbstlernkurs (Übung/Essay/Exkursion, gekoppelt an VL); Ort: FR; SWS: -/2; ECTS: 3\n- ECTS: 12\n\nRaw table:\n| | | Ort | SWS | ECTS |\n|-----|---------------------------------------------------------|-------|-------|--------|\n| SE | Seminar | FR | 2 | 6 |\n| VL | Vorlesung | FR | 2 | 3 |\n| SLK | Selbs",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"59edacccbc814f4ca7dd2a3d388690f68f8d8f12::semantic_table::chunk::0020", "chunk_type": "table", "section": "Modul 1: Literaturwissenschaft", "page_start": 1, "page_end": 1, "chunk_pages": [1], "contains_table": true, "block_kinds": ["table"], "prev_chunk_id": "59edacccbc814f4ca7dd2a3d388690f68f8d8f12::semantic_table::chunk::0019", "next_chunk_id": "59edacccbc814f4ca7dd2a3d388690f68f8d8f12::semantic_table::chunk::0021",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"Section: Modul 2: Sprachwissenschaft\n\nTable rows:\n- column_1: SE; column_2: Seminar; Ort: BE; SWS: 2; ECTS: 6\n- column_1: VL; column_2: Vorlesung; Ort: BE; SWS: 2; ECTS: 3\n- column_1: SLK; column_2: Selbstlernkurs (Übung/Essay/Exkursion, gekoppelt an VL); Ort: BE; SWS: -/2; ECTS: 3\n- ECTS: 12\n\nRaw table:\n| | | Ort | SWS | ECTS |\n|-----|---------------------------------------------------------|-------|-------|--------|\n| SE | Seminar | BE | 2 | 6 |\n| VL | Vorlesung | BE | 2 | 3 |\n| SLK | Selbstle",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"59edacccbc814f4ca7dd2a3d388690f68f8d8f12::semantic_table::chunk::0023", "chunk_type": "table", "section": "Modul 2: Sprachwissenschaft", "page_start": 1, "page_end": 1, "chunk_pages": [1], "contains_table": true, "block_kinds": ["table"], "prev_chunk_id": "59edacccbc814f4ca7dd2a3d388690f68f8d8f12::semantic_table::chunk::0022", "next_chunk_id": "59edacccbc814f4ca7dd2a3d388690f68f8d8f12::semantic_table::chunk::0024",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"Section: 3A: Literaturwissenschaft\n\nTable rows:\n- column_1: SE; column_2: Seminar; Ort: FR; SWS: 2; ECTS: 6\n- column_1: SA; column_2: Seminararbeit; Ort: FR; SWS: -; ECTS: 6\n- ECTS: 12\n\nRaw table:\n| | | Ort | SWS | ECTS |\n|----|---------------|-------|-------|--------|\n| SE | Seminar | FR | 2 | 6 |\n| SA | Seminararbeit | FR | - | 6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"59edacccbc814f4ca7dd2a3d388690f68f8d8f12::semantic_table::chunk::0027", "chunk_type": "table", "section": "3A: Literaturwissenschaft", "page_start": 1, "page_end": 1, "chunk_pages": [1], "contains_table": true, "block_kinds": ["table"], "prev_chunk_id": "59edacccbc814f4ca7dd2a3d388690f68f8d8f12::semantic_table::chunk::0026", "next_chunk_id": "59edacccbc814f4ca7dd2a3d388690f68f8d8f12::semantic_table::chunk::0028",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"Section: 3B: Sprachwissenschaft\n\nTable rows:\n- column_1: SE; column_2: Seminar; Ort: BE; SWS: 2; ECTS: 6\n- column_1: SA; column_2: Seminararbeit; Ort: BE; SWS: -; ECTS: 6\n- ECTS: 12\n\nRaw table:\n| | | Ort | SWS | ECTS |\n|----|---------------|-------|-------|--------|\n| SE | Seminar | BE | 2 | 6 |\n| SA | Seminararbeit | BE | - | 6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"59edacccbc814f4ca7dd2a3d388690f68f8d8f12::semantic_table::chunk::0029", "chunk_type": "table", "section": "3B: Sprachwissenschaft", "page_start": 1, "page_end": 1, "chunk_pages": [1], "contains_table": true, "block_kinds": ["table"], "prev_chunk_id": "59edacccbc814f4ca7dd2a3d388690f68f8d8f12::semantic_table::chunk::0028", "next_chunk_id": "59edacccbc814f4ca7dd2a3d388690f68f8d8f12::semantic_table::chunk::0030",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"Section: 4A: Transfer interdisziplinär\n\nTable rows:\n- column_1: SE; column_2: Seminar; Ort: BE/FR; SWS: 2; ECTS: 6\n- column_1: K; column_2: Kolloquium; Ort: BE/FR; SWS: 2; ECTS: 3\n- column_1: PP; column_2: Praktisches Projekt; Ort: -; SWS: -; ECTS: 3\n- ECTS: 12\n\nRaw table:\n| | | Ort | SWS | ECTS |\n|----|---------------------|-------|-------|--------|\n| SE | Seminar | BE/FR | 2 | 6 |\n| K | Kolloquium | BE/FR | 2 | 3 |\n| PP | Praktisches Projekt | - | - | 3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"59edacccbc814f4ca7dd2a3d388690f68f8d8f12::semantic_table::chunk::0034", "chunk_type": "table", "section": "4A: Transfer interdisziplinär", "page_start": 1, "page_end": 1, "chunk_pages": [1], "contains_table": true, "block_kinds": ["table"], "prev_chunk_id": "59edacccbc814f4ca7dd2a3d388690f68f8d8f12::semantic_table::chunk::0033", "next_chunk_id": "59edacccbc814f4ca7dd2a3d388690f68f8d8f12::semantic_table::chunk::0035",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"Section: 4B: Transfer Beruf (Praktikum)\n\nTable rows:\n- column_1: P; column_2: Praktikum und Bericht; ECTS: 9\n- column_1: K; column_2: Kolloquium; Ort: BE/FR; SWS: 2; ECTS: 3\n- ECTS: 12\n\nRaw table:\n| | | Ort | SWS | ECTS |\n|----|-----------------------|-------|-------|--------|\n| P | Praktikum und Bericht | | | 9 |\n| K | Kolloquium | BE/FR | 2 | 3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"59edacccbc814f4ca7dd2a3d388690f68f8d8f12::semantic_table::chunk::0037", "chunk_type": "table", "section": "4B: Transfer Beruf (Praktikum)", "page_start": 1, "page_end": 1, "chunk_pages": [1], "contains_table": true, "block_kinds": ["table"], "prev_chunk_id": "59edacccbc814f4ca7dd2a3d388690f68f8d8f12::semantic_table::chunk::0036", "next_chunk_id": "59edacccbc814f4ca7dd2a3d388690f68f8d8f12::semantic_table::chunk::0038",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"Section: 4C: Transfer Ideengeschichte\n\nTable rows:\n- column_1: VL/SE; column_2: Vorlesung oder Seminar; Ort: BE; SWS: 2; ECTS: 3\n- column_1: SA; column_2: Seminararbeit; Ort: FR; SWS: 2; ECTS: 6\n- column_1: K; column_2: Kolloquium; Ort: BE/FR; SWS: 2; ECTS: 3\n- ECTS: 12\n\nRaw table:\n| | | Ort | SWS | ECTS |\n|-------|------------------------|-------|-------|--------|\n| VL/SE | Vorlesung oder Seminar | BE | 2 | 3 |\n| SA | Seminararbeit | FR | 2 | 6 |\n| K | Kolloquium | BE/FR | 2 | 3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"59edacccbc814f4ca7dd2a3d388690f68f8d8f12::semantic_table::chunk::0040", "chunk_type": "table", "section": "4C: Transfer Ideengeschichte", "page_start": 1, "page_end": 1, "chunk_pages": [1], "contains_table": true, "block_kinds": ["table"], "prev_chunk_id": "59edacccbc814f4ca7dd2a3d388690f68f8d8f12::semantic_table::chunk::0039", "next_chunk_id": "59edacccbc814f4ca7dd2a3d388690f68f8d8f12::semantic_table::chunk::0041",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t>
        </is>
      </c>
      <c r="Y4" s="2" t="inlineStr">
        <is>
          <t>Master_90_59edacccbc814f4ca7dd2a3d388690f68f8d8f12.txt</t>
        </is>
      </c>
      <c r="Z4" s="2" t="inlineStr">
        <is>
          <t>studyplans</t>
        </is>
      </c>
      <c r="AA4" s="2" t="n">
        <v>1</v>
      </c>
      <c r="AB4" s="2" t="inlineStr">
        <is>
          <t>Section: Inhaltsverzeichnis Table rows: - 1.: 2; Gesetzliche Grundlagen ......................................................................................................... 1: Beschreibung des Programms ............................................................................................... 1 - 1.: 3; Gesetzliche Grundlagen ............</t>
        </is>
      </c>
      <c r="AC4" s="2" t="n">
        <v>0</v>
      </c>
      <c r="AD4" s="2" t="n">
        <v>0</v>
      </c>
      <c r="AE4" s="2" t="n">
        <v>0</v>
      </c>
      <c r="AF4" s="2" t="n">
        <v>0</v>
      </c>
      <c r="AG4" s="2" t="n">
        <v>0</v>
      </c>
      <c r="AH4" s="2" t="inlineStr"/>
      <c r="AI4" s="2" t="inlineStr"/>
      <c r="AJ4" s="2" t="inlineStr"/>
      <c r="AK4" s="2" t="inlineStr"/>
      <c r="AL4" s="2" t="inlineStr"/>
      <c r="AM4" s="2" t="inlineStr"/>
      <c r="AN4" s="2" t="inlineStr">
        <is>
          <t>Fill manual_relevant_ranks after reviewing retrieved_sources_ranked, e.g. 1,3,5.</t>
        </is>
      </c>
    </row>
    <row r="5">
      <c r="A5" s="2" t="inlineStr">
        <is>
          <t>2026-05-18T23:56:48</t>
        </is>
      </c>
      <c r="B5" s="2" t="n">
        <v>5</v>
      </c>
      <c r="C5" s="2" t="n">
        <v>4</v>
      </c>
      <c r="D5" s="2" t="inlineStr">
        <is>
          <t>general_uni_data</t>
        </is>
      </c>
      <c r="E5" s="2" t="inlineStr">
        <is>
          <t>easy</t>
        </is>
      </c>
      <c r="F5" s="2" t="inlineStr">
        <is>
          <t>en</t>
        </is>
      </c>
      <c r="G5" s="2" t="inlineStr">
        <is>
          <t>How many ects credits does a master program have?</t>
        </is>
      </c>
      <c r="H5" s="2" t="inlineStr">
        <is>
          <t>standard number of ects. Possibly highlighting possible deviations per faculty</t>
        </is>
      </c>
      <c r="I5" s="2" t="inlineStr">
        <is>
          <t xml:space="preserve">RAG  </t>
        </is>
      </c>
      <c r="J5" s="2" t="inlineStr"/>
      <c r="K5" s="2" t="inlineStr">
        <is>
          <t>base_data vectorstore</t>
        </is>
      </c>
      <c r="L5" s="2" t="inlineStr"/>
      <c r="M5" s="2" t="inlineStr">
        <is>
          <t>base_data</t>
        </is>
      </c>
      <c r="N5" s="2" t="n">
        <v>200</v>
      </c>
      <c r="O5" s="2" t="n">
        <v>1</v>
      </c>
      <c r="P5" s="2" t="n">
        <v>15185.72</v>
      </c>
      <c r="Q5" s="2" t="inlineStr"/>
      <c r="R5" s="2" t="n">
        <v>10</v>
      </c>
      <c r="S5" s="2" t="inlineStr"/>
      <c r="T5" s="2" t="inlineStr">
        <is>
          <t>Master_120_09f4bd6a51cf2c49c32336cd4099f24000d81954.txt; Master_120_1253e811dc7c10018aaffeabe539ef18ce21c299.txt; Master_120_1253e811dc7c10018aaffeabe539ef18ce21c299.txt; Master_120_28f0a44a437eb3a95c3ff6bc5be31d9f44a0fcde.txt; Master_120_28f0a44a437eb3a95c3ff6bc5be31d9f44a0fcde.txt; Master_120_28f0a44a437eb3a95c3ff6bc5be31d9f44a0fcde.txt; Master_120_28f0a44a437eb3a95c3ff6bc5be31d9f44a0fcde.txt; Master_120_28f0a44a437eb3a95c3ff6bc5be31d9f44a0fcde.txt; Master_120_28f0a44a437eb3a95c3ff6bc5be31d9f44a0fcde.txt; Master_120_28f0a44a437eb3a95c3ff6bc5be31d9f44a0fcde.txt</t>
        </is>
      </c>
      <c r="U5" s="2" t="inlineStr">
        <is>
          <t>studyplans; studyplans; studyplans; studyplans; studyplans; studyplans; studyplans; studyplans; studyplans; studyplans</t>
        </is>
      </c>
      <c r="V5" s="2" t="inlineStr">
        <is>
          <t>1; 1; 1; 1; 1; 1; 1; 1; 1; 1</t>
        </is>
      </c>
      <c r="W5" s="2" t="inlineStr">
        <is>
          <t>1. [studyplans] Master_120_09f4bd6a51cf2c49c32336cd4099f24000d81954.txt p.1 - Section: 1 To be chosen during the last semester of study Table rows: - Title of UE: Compulsory Courses - Code: SPH.04203; Title of UE: Atomic spectroscopy (lecture and exercises); tot. h.: 42; ECTS: 3.5 - Code: SPH.0440
2. [studyplans] Master_120_1253e811dc7c10018aaffeabe539ef18ce21c299.txt p.1 - Section: Elective Course Units Table rows: - Code: SBL.00420 a#; Title of UE: Career profiling in life sciences; Semester: SS; tot. h.: 8; ECTS: 1 - Code: I02.00106; Title of UE: B2-C2 English for Master Students of Scie
3. [studyplans] Master_120_1253e811dc7c10018aaffeabe539ef18ce21c299.txt p.1 - ---------------------------|------------|-----------|--------| | SBL.00420 a# | Career profiling in life sciences | SS | 8 | 1 | | I02.00106 | B2-C2 English for Master Students of Science I | AS | - | 3 | | I02.00107 | B
4. [studyplans] Master_120_28f0a44a437eb3a95c3ff6bc5be31d9f44a0fcde.txt p.1 - lopmental biology of marine animal models; Semester: AS; tot. h.: 8; ECTS: 1 - Code: SBL.00414; column_2: Cell fate and tissue regeneration; Semester: AS; tot. h.: 8; ECTS: 1 - Code: SBL.00415; column_2: Cell proliferati
5. [studyplans] Master_120_28f0a44a437eb3a95c3ff6bc5be31d9f44a0fcde.txt p.1 - ntal biology | SS | 20 | 2 | | SBL.10004 | Ethics in stem cell research | SS | 8 | 1 | | SBL.10006 | Developmental biology of marine animal models | AS | 8 | 1 | | SBL.00414 | Cell fate and tissue regeneration | AS | 8 |
6. [studyplans] Master_120_28f0a44a437eb3a95c3ff6bc5be31d9f44a0fcde.txt p.1 - i lecture): Introductory course in laboratory animal science; SS: AS, SS; 28: 20; 3: 1 - SBL.00123: Language Center UniFr; Cellular and genetic networks (BeFri lecture): Select 1-2 English courses with B2 as a minimum ta
7. [studyplans] Master_120_28f0a44a437eb3a95c3ff6bc5be31d9f44a0fcde.txt p.1 - 1 | | SBL.00504 | Basics in biostatistics # | AS | 14 | 1.5 | | SBL.30001 | Introduction toR | AS | 3 days | 2 | | SBC.04202 | Eucaryotic cell growth control | AS | 12 | 1.5 | | SBC.04203 | Genotyping (practical course) 
8. [studyplans] Master_120_28f0a44a437eb3a95c3ff6bc5be31d9f44a0fcde.txt p.1 - 0416; column_2: Biological rhythms; Semester: SS; tot. h.: 8; ECTS: 1 - Code: SBL.00428; column_2: Optogenetics and photopharmacology; Semester: SS; tot. h.: 8; ECTS: 1 - Code: SME.05001; column_2: Neurobiology seminars;
9. [studyplans] Master_120_28f0a44a437eb3a95c3ff6bc5be31d9f44a0fcde.txt p.1 - odelling human diseases in experimental genetic systems | SS | 20 | 2 | | SBL.10002 | From bench to bedside | SS | 5 | 0.5 | | SBL.00416 | Biological rhythms | SS | 8 | 1 | | SBL.00428 | Optogenetics and photopharmacolog
10. [studyplans] Master_120_28f0a44a437eb3a95c3ff6bc5be31d9f44a0fcde.txt p.1 - SME.07100; Career profiling in life sciences: Models for human diseases; SS: AS; 8: 28; 1: 3 - SBL.00420: SME.07200; Career profiling in life sciences: Infection, inflammation and cancer; SS: AS; 8: 28; 1: 3 - SBL.00420:</t>
        </is>
      </c>
      <c r="X5" s="2" t="inlineStr">
        <is>
          <t>[{"source": null, "page": 1, "snippet": "Section: 1 To be chosen during the last semester of study\n\nTable rows:\n- Title of UE: Compulsory Courses\n- Code: SPH.04203; Title of UE: Atomic spectroscopy (lecture and exercises); tot. h.: 42; ECTS: 3.5\n- Code: SPH.04404; Title of UE: Structure and dynamics of matter (lecture and exercises); tot. h.: 42; ECTS: 3.5\n- Code: SPH.04606; Title of UE: Introduction to the many-body problem (lecture and exercises); tot. h.: 42; ECTS: 3.5\n- Code: SPH.04008; Title of UE: Colloquia; tot. h.: 14; ECTS: 0.", "metadata": {"parsed_at": "2026-04-09T06:09:23.012Z", "pages": 1, "parser": "docling", "doc_key": "09f4bd6a51cf2c49c32336cd4099f24000d81954", "degree_level": "Master", "total_ects": 120, "program_name": "Experimental Biomedical Research", "doc_label": "Master of Science in Physics", "source_url": "https://cdn.unifr.ch/scimed/plans/2022/Plan_MSc_PH_en.pdf", "source_type": "pdf", "curriculum_url": "http://studies.unifr.ch/go/vBvMa", "fetched_at": "2026-04-03T11:26:40.960Z", "source_file": "Master_120_09f4bd6a51cf2c49c32336cd4099f24000d81954.txt", "index_variant": "table_semantic_v1", "chunk_id": "09f4bd6a51cf2c49c32336cd4099f24000d81954::semantic_table::chunk::0024", "chunk_type": "table", "section": "1 To be chosen during the last semester of study", "page_start": 1, "page_end": 1, "chunk_pages": [1], "contains_table": true, "block_kinds": ["table"], "prev_chunk_id": "09f4bd6a51cf2c49c32336cd4099f24000d81954::semantic_table::chunk::0023", "next_chunk_id": "09f4bd6a51cf2c49c32336cd4099f24000d81954::semantic_table::chunk::0025",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"query": "How many ects credits does a master program have?", "query_language": "en"}], "returned_count": 10}}, {"source": null, "page": 1, "snippet": "Section: Elective Course Units\n\nTable rows:\n- Code: SBL.00420 a#; Title of UE: Career profiling in life sciences; Semester: SS; tot. h.: 8; ECTS: 1\n- Code: I02.00106; Title of UE: B2-C2 English for Master Students of Science I; Semester: AS; tot. h.: -; ECTS: 3\n- Code: I02.00107; Title of UE: B2-C2 English for Master Students of Science II; Semester: SS; tot. h.: -; ECTS: 3\n- Code: SBL.00115 #; Title of UE: The RNA world; Semester: AS; tot. h.: 12; ECTS: 1.5\n- Code: SBL.00419 #; Title of UE: Adv", "metadata": {"parsed_at": "2026-04-09T06:27:03.283Z", "pages": 1, "parser": "docling", "doc_key": "1253e811dc7c10018aaffeabe539ef18ce21c299", "degree_level": "Master", "total_ects": 120, "program_name": "Experimental Biomedical Research", "doc_label": "SpMSc in Experimental Biomedical&amp;nbsp;Research", "source_url": "https://cdn.unifr.ch/scimed/plans/2022/Plan_MScSp_EBR_en.pdf", "source_type": "pdf", "curriculum_url": "http://studies.unifr.ch/go/vBvMa", "fetched_at": "2026-04-03T11:26:42.337Z", "source_file": "Master_120_1253e811dc7c10018aaffeabe539ef18ce21c299.txt", "index_variant": "table_semantic_v1", "chunk_id": "1253e811dc7c10018aaffeabe539ef18ce21c299::semantic_table::chunk::0024", "chunk_type": "table", "section": "Elective Course Units", "page_start": 1, "page_end": 1, "chunk_pages": [1], "contains_table": true, "block_kinds": ["table"], "prev_chunk_id": "1253e811dc7c10018aaffeabe539ef18ce21c299::semantic_table::chunk::0023", "next_chunk_id": "1253e811dc7c10018aaffeabe539ef18ce21c299::semantic_table::chunk::0025",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"query": "How many ects credits does a master program have?", "query_language": "en"}], "returned_count": 10}}, {"source": null, "page": 1, "snippet": "---------------------------|------------|-----------|--------|\n| SBL.00420 a# | Career profiling in life sciences | SS | 8 | 1 |\n| I02.00106 | B2-C2 English for Master Students of Science I | AS | - | 3 |\n| I02.00107 | B2-C2 English for Master Students of Science II | SS | - | 3 |\n| SBL.00115 # | The RNA world | AS | 12 | 1.5 |\n| SBL.00419 # | Advanced imaging | SS | 8 | 1 |\n| SBL.00451 b# | Introduction to mass spectrometry and proteomics | AS | 8 | 1 |\n| SBL.00452 b# | Advanced quantitative pr", "metadata": {"parsed_at": "2026-04-09T06:27:03.283Z", "pages": 1, "parser": "docling", "doc_key": "1253e811dc7c10018aaffeabe539ef18ce21c299", "degree_level": "Master", "total_ects": 120, "program_name": "Experimental Biomedical Research", "doc_label": "SpMSc in Experimental Biomedical&amp;nbsp;Research", "source_url": "https://cdn.unifr.ch/scimed/plans/2022/Plan_MScSp_EBR_en.pdf", "source_type": "pdf", "curriculum_url": "http://studies.unifr.ch/go/vBvMa", "fetched_at": "2026-04-03T11:26:42.337Z", "source_file": "Master_120_1253e811dc7c10018aaffeabe539ef18ce21c299.txt", "index_variant": "table_semantic_v1", "chunk_id": "1253e811dc7c10018aaffeabe539ef18ce21c299::semantic_table::chunk::0025", "chunk_type": "table", "section": "Elective Course Units", "page_start": 1, "page_end": 1, "chunk_pages": [1], "contains_table": true, "block_kinds": ["table"], "prev_chunk_id": "1253e811dc7c10018aaffeabe539ef18ce21c299::semantic_table::chunk::0024", "next_chunk_id": "1253e811dc7c10018aaffeabe539ef18ce21c299::semantic_table::chunk::0026",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"query": "How many ects credits does a master program have?", "query_language": "en"}], "returned_count": 10}}, {"source": null, "page": 1, "snippet": "lopmental biology of marine animal models; Semester: AS; tot. h.: 8; ECTS: 1\n- Code: SBL.00414; column_2: Cell fate and tissue regeneration; Semester: AS; tot. h.: 8; ECTS: 1\n- Code: SBL.00415; column_2: Cell proliferation; Semester: SS; tot. h.: 8; ECTS: 1\n- Code: SBL.00429; column_2: Animal models of regeneration; Semester: SS; tot. h.: 20; ECTS: 2\n- Code: Total ECTS credits in obligatory courses; column_2: Total ECTS credits in obligatory courses; ECTS: 26.5\n\nRaw table:\n| Code | | Semester |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"28f0a44a437eb3a95c3ff6bc5be31d9f44a0fcde::semantic_table::chunk::0029", "chunk_type": "table", "section": "2.1.1 Option Developmental Biology and Regeneration", "page_start": 1, "page_end": 1, "chunk_pages": [1], "contains_table": true, "block_kinds": ["table"], "prev_chunk_id": "28f0a44a437eb3a95c3ff6bc5be31d9f44a0fcde::semantic_table::chunk::0028", "next_chunk_id": "28f0a44a437eb3a95c3ff6bc5be31d9f44a0fcde::semantic_table::chunk::0030",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"query": "How many ects credits does a master program have?", "query_language": "en"}], "returned_count": 10}}, {"source": null, "page": 1, "snippet": "ntal biology | SS | 20 | 2 |\n| SBL.10004 | Ethics in stem cell research | SS | 8 | 1 |\n| SBL.10006 | Developmental biology of marine animal models | AS | 8 | 1 |\n| SBL.00414 | Cell fate and tissue regeneration | AS | 8 | 1 |\n| SBL.00415 | Cell proliferation | SS | 8 | 1 |\n| SBL.00429 | Animal models of regeneration | SS | 20 | 2 |\n| Total ECTS credits in obligatory courses | Total ECTS credits in obligatory courses | | | 26.5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"28f0a44a437eb3a95c3ff6bc5be31d9f44a0fcde::semantic_table::chunk::0030", "chunk_type": "table", "section": "2.1.1 Option Developmental Biology and Regeneration", "page_start": 1, "page_end": 1, "chunk_pages": [1], "contains_table": true, "block_kinds": ["table"], "prev_chunk_id": "28f0a44a437eb3a95c3ff6bc5be31d9f44a0fcde::semantic_table::chunk::0029", "next_chunk_id": "28f0a44a437eb3a95c3ff6bc5be31d9f44a0fcde::semantic_table::chunk::0031",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"query": "How many ects credits does a master program have?", "query_language": "en"}], "returned_count": 10}}, {"source": null, "page": 1, "snippet": "i lecture): Introductory course in laboratory animal science; SS: AS, SS; 28: 20; 3: 1\n- SBL.00123: Language Center UniFr; Cellular and genetic networks (BeFri lecture): Select 1-2 English courses with B2 as a minimum target level; SS: AS/SS; 28: -; 3: max 6\n- SBL.00123: Elective courses from the section medicine *; Cellular and genetic networks (BeFri lecture): Elective courses from the section medicine *; SS: Elective courses from the section medicine *; 28: Elective courses from the section m",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"28f0a44a437eb3a95c3ff6bc5be31d9f44a0fcde::semantic_table::chunk::0035", "chunk_type": "table", "section": "Recommended courses", "page_start": 1, "page_end": 1, "chunk_pages": [1], "contains_table": true, "block_kinds": ["table"], "prev_chunk_id": "28f0a44a437eb3a95c3ff6bc5be31d9f44a0fcde::semantic_table::chunk::0034", "next_chunk_id": "28f0a44a437eb3a95c3ff6bc5be31d9f44a0fcde::semantic_table::chunk::0036",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"query": "How many ects credits does a master program have?", "query_language": "en"}], "returned_count": 10}}, {"source": null, "page": 1, "snippet": "1 |\n| SBL.00504 | Basics in biostatistics # | AS | 14 | 1.5 |\n| SBL.30001 | Introduction toR | AS | 3 days | 2 |\n| SBC.04202 | Eucaryotic cell growth control | AS | 12 | 1.5 |\n| SBC.04203 | Genotyping (practical course) | AS | 90 | 2.5 |\n| SBC.07110 | Introduction to UNIX and BASH | AS | 5 days | 2.5 |\n| SBL.10013 | Zebrafish License course (practical) | AS, SS | 20 | 1 |\n| UNIL | Introductory course in laboratory animal science | AS, SS | 20 | 1 |\n| Language Center UniFr | Select 1-2 English co",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"28f0a44a437eb3a95c3ff6bc5be31d9f44a0fcde::semantic_table::chunk::0037", "chunk_type": "table", "section": "Recommended courses", "page_start": 1, "page_end": 1, "chunk_pages": [1], "contains_table": true, "block_kinds": ["table"], "prev_chunk_id": "28f0a44a437eb3a95c3ff6bc5be31d9f44a0fcde::semantic_table::chunk::0036", "next_chunk_id": "28f0a44a437eb3a95c3ff6bc5be31d9f44a0fcde::semantic_table::chunk::0038",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"query": "How many ects credits does a master program have?", "query_language": "en"}], "returned_count": 10}}, {"source": null, "page": 1, "snippet": "0416; column_2: Biological rhythms; Semester: SS; tot. h.: 8; ECTS: 1\n- Code: SBL.00428; column_2: Optogenetics and photopharmacology; Semester: SS; tot. h.: 8; ECTS: 1\n- Code: SME.05001; column_2: Neurobiology seminars; Semester: AS; tot. h.: 5; ECTS: 0.5\n- Code: SME.06001; column_2: Neurobiology seminars; Semester: SS; tot. h.: 5; ECTS: 0.5\n- Code: Total ECTS credits in obligatory courses; column_2: Total ECTS credits in obligatory courses; ECTS: 26.5\n\nRaw table:\n| Code | | Semester | tot. h.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"28f0a44a437eb3a95c3ff6bc5be31d9f44a0fcde::semantic_table::chunk::0041", "chunk_type": "table", "section": "2.1.2 Option Neurobiology", "page_start": 1, "page_end": 1, "chunk_pages": [1], "contains_table": true, "block_kinds": ["table"], "prev_chunk_id": "28f0a44a437eb3a95c3ff6bc5be31d9f44a0fcde::semantic_table::chunk::0040", "next_chunk_id": "28f0a44a437eb3a95c3ff6bc5be31d9f44a0fcde::semantic_table::chunk::0042",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"query": "How many ects credits does a master program have?", "query_language": "en"}], "returned_count": 10}}, {"source": null, "page": 1, "snippet": "odelling human diseases in experimental genetic systems | SS | 20 | 2 |\n| SBL.10002 | From bench to bedside | SS | 5 | 0.5 |\n| SBL.00416 | Biological rhythms | SS | 8 | 1 |\n| SBL.00428 | Optogenetics and photopharmacology | SS | 8 | 1 |\n| SME.05001 | Neurobiology seminars | AS | 5 | 0.5 |\n| SME.06001 | Neurobiology seminars | SS | 5 | 0.5 |\n| Total ECTS credits in obligatory courses | Total ECTS credits in obligatory courses | | | 26.5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"28f0a44a437eb3a95c3ff6bc5be31d9f44a0fcde::semantic_table::chunk::0042", "chunk_type": "table", "section": "2.1.2 Option Neurobiology", "page_start": 1, "page_end": 1, "chunk_pages": [1], "contains_table": true, "block_kinds": ["table"], "prev_chunk_id": "28f0a44a437eb3a95c3ff6bc5be31d9f44a0fcde::semantic_table::chunk::0041", "next_chunk_id": "28f0a44a437eb3a95c3ff6bc5be31d9f44a0fcde::semantic_table::chunk::0043",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"query": "How many ects credits does a master program have?", "query_language": "en"}], "returned_count": 10}}, {"source": null, "page": 1, "snippet": "SME.07100; Career profiling in life sciences: Models for human diseases; SS: AS; 8: 28; 1: 3\n- SBL.00420: SME.07200; Career profiling in life sciences: Infection, inflammation and cancer; SS: AS; 8: 28; 1: 3\n- SBL.00420: SME.07300; Career profiling in life sciences: Central nervous system regeneration and repair; SS: AS; 8: 28; 1: 3\n- SBL.00420: SME.07215; Career profiling in life sciences: Hot topics in cancer research, Metabolic health and Regenerative biomedicine; SS: SS; 8: 28; 1: 3\n- SBL.00",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"28f0a44a437eb3a95c3ff6bc5be31d9f44a0fcde::semantic_table::chunk::0048", "chunk_type": "table", "section": "Recommended courses", "page_start": 1, "page_end": 1, "chunk_pages": [1], "contains_table": true, "block_kinds": ["table"], "prev_chunk_id": "28f0a44a437eb3a95c3ff6bc5be31d9f44a0fcde::semantic_table::chunk::0047", "next_chunk_id": "28f0a44a437eb3a95c3ff6bc5be31d9f44a0fcde::semantic_table::chunk::0049",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"query": "How many ects credits does a master program have?", "query_language": "en"}], "returned_count": 10}}]</t>
        </is>
      </c>
      <c r="Y5" s="2" t="inlineStr">
        <is>
          <t>Master_120_09f4bd6a51cf2c49c32336cd4099f24000d81954.txt</t>
        </is>
      </c>
      <c r="Z5" s="2" t="inlineStr">
        <is>
          <t>studyplans</t>
        </is>
      </c>
      <c r="AA5" s="2" t="n">
        <v>1</v>
      </c>
      <c r="AB5" s="2" t="inlineStr">
        <is>
          <t>Section: 1 To be chosen during the last semester of study Table rows: - Title of UE: Compulsory Courses - Code: SPH.04203; Title of UE: Atomic spectroscopy (lecture and exercises); tot. h.: 42; ECTS: 3.5 - Code: SPH.04404; Title of UE: Structure and dynamics of matter (lecture and exercises); tot. h.: 42; ECTS: 3.5 - Code: SPH.04606; Title of UE: I</t>
        </is>
      </c>
      <c r="AC5" s="2" t="n">
        <v>0</v>
      </c>
      <c r="AD5" s="2" t="n">
        <v>0</v>
      </c>
      <c r="AE5" s="2" t="n">
        <v>0</v>
      </c>
      <c r="AF5" s="2" t="n">
        <v>0</v>
      </c>
      <c r="AG5" s="2" t="n">
        <v>0</v>
      </c>
      <c r="AH5" s="2" t="inlineStr"/>
      <c r="AI5" s="2" t="inlineStr"/>
      <c r="AJ5" s="2" t="inlineStr"/>
      <c r="AK5" s="2" t="inlineStr"/>
      <c r="AL5" s="2" t="inlineStr"/>
      <c r="AM5" s="2" t="inlineStr"/>
      <c r="AN5" s="2" t="inlineStr">
        <is>
          <t>Fill manual_relevant_ranks after reviewing retrieved_sources_ranked, e.g. 1,3,5.</t>
        </is>
      </c>
    </row>
    <row r="6">
      <c r="A6" s="2" t="inlineStr">
        <is>
          <t>2026-05-18T23:56:48</t>
        </is>
      </c>
      <c r="B6" s="2" t="n">
        <v>6</v>
      </c>
      <c r="C6" s="2" t="n">
        <v>5</v>
      </c>
      <c r="D6" s="2" t="inlineStr">
        <is>
          <t>general_uni_data</t>
        </is>
      </c>
      <c r="E6" s="2" t="inlineStr">
        <is>
          <t>medium</t>
        </is>
      </c>
      <c r="F6" s="2" t="inlineStr">
        <is>
          <t>en</t>
        </is>
      </c>
      <c r="G6" s="2" t="inlineStr">
        <is>
          <t>Which faculties exist?</t>
        </is>
      </c>
      <c r="H6" s="2" t="inlineStr">
        <is>
          <t>list of faculties</t>
        </is>
      </c>
      <c r="I6" s="2" t="inlineStr">
        <is>
          <t xml:space="preserve">RAG  </t>
        </is>
      </c>
      <c r="J6" s="2" t="inlineStr"/>
      <c r="K6" s="2" t="inlineStr">
        <is>
          <t>base_data vectorstore</t>
        </is>
      </c>
      <c r="L6" s="2" t="inlineStr"/>
      <c r="M6" s="2" t="inlineStr">
        <is>
          <t>base_data</t>
        </is>
      </c>
      <c r="N6" s="2" t="n">
        <v>200</v>
      </c>
      <c r="O6" s="2" t="n">
        <v>1</v>
      </c>
      <c r="P6" s="2" t="n">
        <v>9115.23</v>
      </c>
      <c r="Q6" s="2" t="inlineStr"/>
      <c r="R6" s="2" t="n">
        <v>10</v>
      </c>
      <c r="S6" s="2" t="inlineStr"/>
      <c r="T6" s="2" t="inlineStr">
        <is>
          <t>unifr_studies_disability.json; structure_of_studies.json; unifr_elite_sports.json; unifr_elite_sports.json; unifr_elite_sports.json; languages_of_study.json; unifr_elite_sports.json; unifr_elite_sports.json; unifr_elite_sports.json; unifr_elite_sports.json</t>
        </is>
      </c>
      <c r="U6" s="2" t="inlineStr">
        <is>
          <t>base_data; base_data; base_data; base_data; base_data; base_data; base_data; base_data; base_data; base_data</t>
        </is>
      </c>
      <c r="V6" s="2" t="inlineStr">
        <is>
          <t xml:space="preserve">; ; ; ; ; ; ; ; ; </t>
        </is>
      </c>
      <c r="W6" s="2" t="inlineStr">
        <is>
          <t>1. [base_data] unifr_studies_disability.json p. - Academic advisors Academic advisors Each faculty of the University also offers academic advice, and have at their disposal academic advisors who assist students with study planning, and respond to specific study-related 
2. [base_data] structure_of_studies.json p. - Bachelor Bachelor The Faculty of Law offers a full major study programme (180 ECTS credits) leading to a Bachelor of Law. The programme can be taken full-time or part-time. This programme can be combined with one or two 
3. [base_data] unifr_elite_sports.json p. - Bachelor Bachelor The Faculty of Law offers a full major study programme (180 ECTS credits) leading to a Bachelor of Law. The programme can be taken full-time or part-time. This programme can be combined with one or two 
4. [base_data] unifr_elite_sports.json p. - How to apply How to apply - For admission to the University of Fribourg, the procedure, deadlines and regulatory admission requirements must be respected and met. Admission to the University has no bearing on the possibl
5. [base_data] unifr_elite_sports.json p. - Study Programme Information Study Programme Information Questions concerning the study programmes offered at the University of Fribourg are handled by the responsible person for studies information. She informs Swiss and
6. [base_data] languages_of_study.json p. - Language courses Language courses The Language Centre of the University of Fribourg offers courses in French, German, English and Italian to students from all Faculties. In some cases, the ECTS credits obtained can be va
7. [base_data] unifr_elite_sports.json p. - Language courses Language courses The Language Centre of the University of Fribourg offers courses in French, German, English and Italian to students from all Faculties. In some cases, the ECTS credits obtained can be va
8. [base_data] unifr_elite_sports.json p. - Examination fees Examination fees The faculties are responsible for setting and collecting examination fees.
9. [base_data] unifr_elite_sports.json p. - Examinations Examinations Registration for examinations is done in all faculties by Internet. As the procedures and deadlines differ from one faculty to another, it is important to find out in advance about the examinati
10. [base_data] unifr_elite_sports.json p. - Changes in degree or study programmes</t>
        </is>
      </c>
      <c r="X6" s="2" t="inlineStr">
        <is>
          <t>[{"source": null, "page": null, "snippet": "Academic advisors\n\nAcademic advisors\nEach faculty of the University also offers academic advice, and have at their disposal academic advisors who assist students with study planning, and respond to specific study-related questions. You may find the addresses of the corresponding contact persons on the respective websites of the faculties.\n- Theology\n- Law\n- Management, economics and social sciences\n- Humanities\n- Science and medicine\nBachelor / Master / Doctorate\n\nTheology: https://www.unifr.ch/", "metadata": {"doc_key": "unifr_studies_disability_www_unifr_ch_campus_en_support_learning_and_success_orientation_html", "source_type": "unifr_studies_disability_page", "source_url": "https://www.unifr.ch/campus/en/support/learning-and-success/orientation.html", "source_reference": "https://www.unifr.ch/campus/en/support/learning-and-success/orientation.html", "title": "Studies information &amp; guidance | Campus | University of Fribourg", "page_heading": "Studies information &amp; guidance", "language": "en", "parent_url": "https://www.unifr.ch/campus/en/support/learning-and-success/studies-and-disability.html", "source_file": "unifr_studies_disability.json", "parser": "scrapy_base_info_json", "index_variant": "base_info_semantic_v1", "section_index": 2, "section": "Academic advisors", "chunk_id": "unifr_studies_disability_www_unifr_ch_campus_en_support_learning_and_success_orientation_html::section::002::chunk::001", "chunk_type": "section", "prev_chunk_id": "unifr_studies_disability_www_unifr_ch_campus_en_support_learning_and_success_orientation_html::section::001::chunk::001", "next_chunk_id": "unifr_studies_disability_www_unifr_ch_campus_en_support_learning_and_success_orientation_html::section::003::chunk::001",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"Which faculties exist?", "query_language": "en"}], "returned_count": 10}}, {"source": null, "page": null, "snippet": "Bachelor\n\nBachelor\nThe Faculty of Law offers a full major study programme (180 ECTS credits) leading to a Bachelor of Law. The programme can be taken full-time or part-time. This programme can be combined with one or two study programmes as an addition (60 ECTS credits in total).\nStudents from other faculties may also study law as a minor study programme (60/30 ECTS credits).", "metadata": {"doc_key": "unifr_structure_of_studies_en", "source_type": "unifr_general_info_page", "source_url": "https://www.unifr.ch/studies/en/organisation/beginning-of-studies/structure-of-studies/", "title": "Structure of studies | Studies | University of Fribourg", "page_heading": "Structure of studies", "language": "en", "source_file": "structure_of_studies.json", "parser": "scrapy_base_info_json", "index_variant": "base_info_semantic_v1", "section_index": 6, "section": "Bachelor", "source_reference": "https://www.unifr.ch/studies/en/organisation/beginning-of-studies/structure-of-studies/", "chunk_id": "unifr_structure_of_studies_en::section::006::chunk::001", "chunk_type": "section", "prev_chunk_id": "unifr_structure_of_studies_en::section::005::chunk::001", "next_chunk_id": "unifr_structure_of_studies_en::section::007::chunk::001",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"Which faculties exist?", "query_language": "en"}], "returned_count": 10}}, {"source": null, "page": null, "snippet": "Bachelor\n\nBachelor\nThe Faculty of Law offers a full major study programme (180 ECTS credits) leading to a Bachelor of Law. The programme can be taken full-time or part-time. This programme can be combined with one or two study programmes as an addition (60 ECTS credits in total).\nStudents from other faculties may also study law as a minor study programme (60/30 ECTS credits).", "metadata": {"doc_key": "unifr_elite_sport_www_unifr_ch_studies_en_organisation_beginning_of_studies_structure_of_studies", "source_type": "unifr_elite_sport_page", "source_url": "https://www.unifr.ch/studies/en/organisation/beginning-of-studies/structure-of-studies/", "source_reference": "https://www.unifr.ch/studies/en/organisation/beginning-of-studies/structure-of-studies/", "title": "Structure of studies | Studies | University of Fribourg", "page_heading": "Structure of studies", "language": "en", "parent_url": "https://www.unifr.ch/studies/en/organisation/during-studies/studies-and-elite-sportswomen-and-sportsmen.html", "source_file": "unifr_elite_sports.json", "parser": "scrapy_base_info_json", "index_variant": "base_info_semantic_v1", "section_index": 6, "section": "Bachelor", "chunk_id": "unifr_elite_sport_www_unifr_ch_studies_en_organisation_beginning_of_studies_structure_of_studies::section::006::chunk::001", "chunk_type": "section", "prev_chunk_id": "unifr_elite_sport_www_unifr_ch_studies_en_organisation_beginning_of_studies_structure_of_studies::section::005::chunk::001", "next_chunk_id": "unifr_elite_sport_www_unifr_ch_studies_en_organisation_beginning_of_studies_structure_of_studies::section::007::chunk::001",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"Which faculties exist?", "query_language": "en"}], "returned_count": 10}}, {"source": null, "page": null, "snippet": "How to apply\n\nHow to apply\n- For admission to the University of Fribourg, the procedure, deadlines and regulatory admission requirements must be respected and met.\nAdmission to the University has no bearing on the possible granting of elite athlete status by the faculties, just as the granting of elite athlete status has no bearing on the decision to admit to the University of Fribourg.\nInformations admission\nContact\n\nInformations admission: https://www.unifr.ch/studies/en/admission/\nContact: ht", "metadata": {"doc_key": "unifr_elite_sport_www_unifr_ch_studies_en_organisation_during_studies_studies_and_elite_sportswomen_and_sportsmen_html", "source_type": "unifr_elite_sport_page", "source_url": "https://www.unifr.ch/studies/en/organisation/during-studies/studies-and-elite-sportswomen-and-sportsmen.html", "source_reference": "https://www.unifr.ch/studies/en/organisation/during-studies/studies-and-elite-sportswomen-and-sportsmen.html", "title": "Studies &amp; elite sportswomen and sportsmen | Studies | University of Fribourg", "page_heading": "Studies &amp; elite sportswomen and sportsmen", "language": "en", "source_file": "unifr_elite_sports.json", "parser": "scrapy_base_info_json", "index_variant": "base_info_semantic_v1", "section_index": 3, "section": "How to apply", "chunk_id": "unifr_elite_sport_www_unifr_ch_studies_en_organisation_during_studies_studies_and_elite_sportswomen_and_sportsmen_html::section::003::chunk::001", "chunk_type": "section", "prev_chunk_id": "unifr_elite_sport_www_unifr_ch_studies_en_organisation_during_studies_studies_and_elite_sportswomen_and_sportsmen_html::section::002::chunk::001", "next_chunk_id": "unifr_elite_sport_www_unifr_ch_studies_en_organisation_during_studies_studies_and_elite_sportswomen_and_sportsmen_html::section::004::chunk::001",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"Which faculties exist?", "query_language": "en"}], "returned_count": 10}}, {"source": null, "page": null, "snippet": "Study Programme Information\n\nStudy Programme Information\nQuestions concerning the study programmes offered at the University of Fribourg are handled by the responsible person for studies information. She informs Swiss and foreign students and future students in general about the whole range of study programmes available, the academic programmes leading to the award of a degree, the study programmes taught and the possibilities of combining them. Very specific questions are handled directly by th", "metadata": {"doc_key": "unifr_elite_sport_www_unifr_ch_studies_en_organisation_beginning_of_studies_student_advice_and_information_html", "source_type": "unifr_elite_sport_page", "source_url": "https://www.unifr.ch/studies/en/organisation/beginning-of-studies/student-advice-and-information.html", "source_reference": "https://www.unifr.ch/studies/en/organisation/beginning-of-studies/student-advice-and-information.html", "title": "Student Advice and Information | Studies | University of Fribourg", "page_heading": "Student Advice and Information", "language": "en", "parent_url": "https://www.unifr.ch/studies/en/organisation/during-studies/studies-and-elite-sportswomen-and-sportsmen.html", "source_file": "unifr_elite_sports.json", "parser": "scrapy_base_info_json", "index_variant": "base_info_semantic_v1", "section_index": 2, "section": "Study Programme Information", "chunk_id": "unifr_elite_sport_www_unifr_ch_studies_en_organisation_beginning_of_studies_student_advice_and_information_html::section::002::chunk::001", "chunk_type": "section", "prev_chunk_id": "unifr_elite_sport_www_unifr_ch_studies_en_organisation_beginning_of_studies_student_advice_and_information_html::section::001::chunk::001", "next_chunk_id": "unifr_elite_sport_www_unifr_ch_studies_en_organisation_beginning_of_studies_student_advice_and_information_html::section::003::chunk::001",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"Which faculties exist?", "query_language": "en"}], "returned_count": 10}}, {"source": null, "page": null, "snippet": "Language courses\n\nLanguage courses\nThe Language Centre of the University of Fribourg offers courses in French, German, English and Italian to students from all Faculties. In some cases, the ECTS credits obtained can be validated within your degree programme. In addition, legal German and French courses as well as the «bilingue plus » training are offered to students in the Faculty of Law.\nThe Language Centre also runs intensive German, French and English courses before the beginning of the semes", "metadata": {"doc_key": "unifr_languages_of_study_en", "source_type": "unifr_general_info_page", "source_url": "https://www.unifr.ch/studies/en/organisation/beginning-of-studies/languages-of-study.html", "title": "Languages of study | Studies | University of Fribourg", "page_heading": "Languages of study", "language": "en", "source_file": "languages_of_study.json", "parser": "scrapy_base_info_json", "index_variant": "base_info_semantic_v1", "section_index": 4, "section": "Language courses", "source_reference": "https://www.unifr.ch/studies/en/organisation/beginning-of-studies/languages-of-study.html#me3", "chunk_id": "unifr_languages_of_study_en::section::004::chunk::001", "chunk_type": "section", "prev_chunk_id": "unifr_languages_of_study_en::section::003::chunk::006", "next_chunk_id": "unifr_languages_of_study_en::section::005::chunk::001",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"Which faculties exist?", "query_language": "en"}], "returned_count": 10}}, {"source": null, "page": null, "snippet": "Language courses\n\nLanguage courses\nThe Language Centre of the University of Fribourg offers courses in French, German, English and Italian to students from all Faculties. In some cases, the ECTS credits obtained can be validated within your degree programme. In addition, legal German and French courses as well as the «bilingue plus » training are offered to students in the Faculty of Law.\nThe Language Centre also runs intensive German, French and English courses before the beginning of the semes", "metadata": {"doc_key": "unifr_elite_sport_www_unifr_ch_studies_en_organisation_beginning_of_studies_languages_of_study_html", "source_type": "unifr_elite_sport_page", "source_url": "https://www.unifr.ch/studies/en/organisation/beginning-of-studies/languages-of-study.html", "source_reference": "https://www.unifr.ch/studies/en/organisation/beginning-of-studies/languages-of-study.html", "title": "Languages of study | Studies | University of Fribourg", "page_heading": "Languages of study", "language": "en", "parent_url": "https://www.unifr.ch/studies/en/organisation/during-studies/studies-and-elite-sportswomen-and-sportsmen.html", "source_file": "unifr_elite_sports.json", "parser": "scrapy_base_info_json", "index_variant": "base_info_semantic_v1", "section_index": 4, "section": "Language courses", "chunk_id": "unifr_elite_sport_www_unifr_ch_studies_en_organisation_beginning_of_studies_languages_of_study_html::section::004::chunk::001", "chunk_type": "section", "prev_chunk_id": "unifr_elite_sport_www_unifr_ch_studies_en_organisation_beginning_of_studies_languages_of_study_html::section::003::chunk::006", "next_chunk_id": "unifr_elite_sport_www_unifr_ch_studies_en_organisation_beginning_of_studies_languages_of_study_html::section::005::chunk::001",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"Which faculties exist?", "query_language": "en"}], "returned_count": 10}}, {"source": null, "page": null, "snippet": "Examination fees\n\nExamination fees\nThe faculties are responsible for setting and collecting examination fees.", "metadata": {"doc_key": "unifr_elite_sport_www_unifr_ch_studies_en_organisation_administrative_services_unifr_students_university_fees", "source_type": "unifr_elite_sport_page", "source_url": "https://www.unifr.ch/studies/en/organisation/administrative-services-unifr-students/university-fees/", "source_reference": "https://www.unifr.ch/studies/en/organisation/administrative-services-unifr-students/university-fees/", "title": "University fees | Studies | University of Fribourg", "page_heading": "University fees", "language": "en", "parent_url": "https://www.unifr.ch/studies/en/organisation/during-studies/studies-and-elite-sportswomen-and-sportsmen.html", "source_file": "unifr_elite_sports.json", "parser": "scrapy_base_info_json", "index_variant": "base_info_semantic_v1", "section_index": 3, "section": "Examination fees", "chunk_id": "unifr_elite_sport_www_unifr_ch_studies_en_organisation_administrative_services_unifr_students_university_fees::section::003::chunk::001", "chunk_type": "section", "prev_chunk_id": "unifr_elite_sport_www_unifr_ch_studies_en_organisation_administrative_services_unifr_students_university_fees::section::002::chunk::008", "next_chunk_id": "unifr_elite_sport_www_unifr_ch_studies_en_organisation_administrative_services_unifr_students_university_fees::section::004::chunk::001",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"Which faculties exist?", "query_language": "en"}], "returned_count": 10}}, {"source": null, "page": null, "snippet": "Examinations\n\nExaminations\nRegistration for examinations is done in all faculties by Internet. As the procedures and deadlines differ from one faculty to another, it is important to find out in advance about the examination procedures for each teaching unit from the faculty responsible.", "metadata": {"doc_key": "unifr_elite_sport_www_unifr_ch_studies_en_organisation_during_studies_examinations_html", "source_type": "unifr_elite_sport_page", "source_url": "https://www.unifr.ch/studies/en/organisation/during-studies/examinations.html", "source_reference": "https://www.unifr.ch/studies/en/organisation/during-studies/examinations.html", "title": "Examinations | Studies | University of Fribourg", "page_heading": "Examinations", "language": "en", "parent_url": "https://www.unifr.ch/studies/en/organisation/during-studies/studies-and-elite-sportswomen-and-sportsmen.html", "source_file": "unifr_elite_sports.json", "parser": "scrapy_base_info_json", "index_variant": "base_info_semantic_v1", "section_index": 1, "section": "Examinations", "chunk_id": "unifr_elite_sport_www_unifr_ch_studies_en_organisation_during_studies_examinations_html::section::001::chunk::001", "chunk_type": "section", "next_chunk_id": "unifr_elite_sport_www_unifr_ch_studies_en_organisation_during_studies_examinations_html::section::002::chunk::001",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"Which faculties exist?", "query_language": "en"}], "returned_count": 10}}, {"source": null, "page": null, "snippet": "Changes in degree or study programmes", "metadata": {"doc_key": "unifr_elite_sport_www_unifr_ch_studies_en_organisation_administrative_services_unifr_students_changes_degree_study_programmes_html", "source_type": "unifr_elite_sport_page", "source_url": "https://www.unifr.ch/studies/en/organisation/administrative-services-unifr-students/changes-degree-study-programmes.html", "source_reference": "https://www.unifr.ch/studies/en/organisation/administrative-services-unifr-students/changes-degree-study-programmes.html", "title": "Changes in degree or study programmes | Studies | University of Fribourg", "page_heading": "Changes in degree or study programmes", "language": "en", "parent_url": "https://www.unifr.ch/studies/en/organisation/during-studies/studies-and-elite-sportswomen-and-sportsmen.html", "source_file": "unifr_elite_sports.json", "parser": "scrapy_base_info_json", "index_variant": "base_info_semantic_v1", "section_index": 1, "section": "Changes in degree or study programmes", "chunk_id": "unifr_elite_sport_www_unifr_ch_studies_en_organisation_administrative_services_unifr_students_changes_degree_study_programmes_html::section::001::chunk::001", "chunk_type": "section", "next_chunk_id": "unifr_elite_sport_www_unifr_ch_studies_en_organisation_administrative_services_unifr_students_changes_degree_study_programmes_html::section::001::chunk::002",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"Which faculties exist?", "query_language": "en"}], "returned_count": 10}}]</t>
        </is>
      </c>
      <c r="Y6" s="2" t="inlineStr">
        <is>
          <t>unifr_studies_disability.json</t>
        </is>
      </c>
      <c r="Z6" s="2" t="inlineStr">
        <is>
          <t>base_data</t>
        </is>
      </c>
      <c r="AA6" s="2" t="inlineStr"/>
      <c r="AB6" s="2" t="inlineStr">
        <is>
          <t>Academic advisors Academic advisors Each faculty of the University also offers academic advice, and have at their disposal academic advisors who assist students with study planning, and respond to specific study-related questions. You may find the addresses of the corresponding contact persons on the respective websites of the faculties. - Theology</t>
        </is>
      </c>
      <c r="AC6" s="2" t="n">
        <v>1</v>
      </c>
      <c r="AD6" s="2" t="n">
        <v>1</v>
      </c>
      <c r="AE6" s="2" t="n">
        <v>1</v>
      </c>
      <c r="AF6" s="2" t="n">
        <v>1</v>
      </c>
      <c r="AG6" s="2" t="n">
        <v>1</v>
      </c>
      <c r="AH6" s="2" t="inlineStr"/>
      <c r="AI6" s="2" t="inlineStr"/>
      <c r="AJ6" s="2" t="inlineStr"/>
      <c r="AK6" s="2" t="inlineStr"/>
      <c r="AL6" s="2" t="inlineStr"/>
      <c r="AM6" s="2" t="inlineStr"/>
      <c r="AN6" s="2" t="inlineStr">
        <is>
          <t>Fill manual_relevant_ranks after reviewing retrieved_sources_ranked, e.g. 1,3,5.</t>
        </is>
      </c>
    </row>
    <row r="7">
      <c r="A7" s="2" t="inlineStr">
        <is>
          <t>2026-05-18T23:56:48</t>
        </is>
      </c>
      <c r="B7" s="2" t="n">
        <v>7</v>
      </c>
      <c r="C7" s="2" t="n">
        <v>6</v>
      </c>
      <c r="D7" s="2" t="inlineStr">
        <is>
          <t>program_overview</t>
        </is>
      </c>
      <c r="E7" s="2" t="inlineStr">
        <is>
          <t>hard</t>
        </is>
      </c>
      <c r="F7" s="2" t="inlineStr">
        <is>
          <t>en</t>
        </is>
      </c>
      <c r="G7" s="2" t="inlineStr">
        <is>
          <t>What is the suggested order of courses for the bachelor in business informatics 180 ects.</t>
        </is>
      </c>
      <c r="H7" s="2" t="inlineStr">
        <is>
          <t>ordered list of courses</t>
        </is>
      </c>
      <c r="I7" s="2" t="inlineStr">
        <is>
          <t xml:space="preserve">RAG  </t>
        </is>
      </c>
      <c r="J7" s="2" t="inlineStr"/>
      <c r="K7" s="2" t="inlineStr">
        <is>
          <t>study vectorstore</t>
        </is>
      </c>
      <c r="L7" s="2" t="inlineStr"/>
      <c r="M7" s="2" t="inlineStr">
        <is>
          <t>base_data</t>
        </is>
      </c>
      <c r="N7" s="2" t="n">
        <v>200</v>
      </c>
      <c r="O7" s="2" t="n">
        <v>1</v>
      </c>
      <c r="P7" s="2" t="n">
        <v>20476.04</v>
      </c>
      <c r="Q7" s="2" t="inlineStr"/>
      <c r="R7" s="2" t="n">
        <v>10</v>
      </c>
      <c r="S7" s="2" t="inlineStr"/>
      <c r="T7" s="2" t="inlineStr">
        <is>
          <t>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t>
        </is>
      </c>
      <c r="U7" s="2" t="inlineStr">
        <is>
          <t>studyplans; studyplans; studyplans; studyplans; studyplans; studyplans; studyplans; studyplans; studyplans; studyplans</t>
        </is>
      </c>
      <c r="V7" s="2" t="inlineStr">
        <is>
          <t>1; 1; 1; 1; 1; 1; 1; 1; 1; 1</t>
        </is>
      </c>
      <c r="W7" s="2" t="inlineStr">
        <is>
          <t>1. [studyplans] Bachelor_180_80b173004838b5856a2ed1a73ccc60de140ce7f4.txt p.1 - Section: 1. Jahr 60 ECTS Table rows: - SIN.01023: EIG.00036; Einführung in die Programmierung: Informatique de gestion I; Bloechle: Fischer; HS-2025: HS-2025; BA: BA; fr, de: fr; Schriftliche Prüfung: Schriftliche Prüfun
2. [studyplans] Bachelor_180_80b173004838b5856a2ed1a73ccc60de140ce7f4.txt p.1 - fung; 6: 4.5 - SIN.01023: ESE.00048; Einführung in die Programmierung: Mathematik I; Bloechle: Leuenberger; HS-2025: HS-2025; BA: BA; fr, de: de; Schriftliche Prüfung: Schriftliche Prüfung; 6: 4.5 - SIN.01023: ESE.00047;
3. [studyplans] Bachelor_180_80b173004838b5856a2ed1a73ccc60de140ce7f4.txt p.1 - Bloechle: Kauth, Kauth; HS-2025: FS-2026; BA: BA; fr, de: fr; Schriftliche Prüfung: Schriftliche Prüfung; 6: 4.5 - SIN.01023: ESE.00052; Einführung in die Programmierung: Mathematik II; Bloechle: Leuenberger; HS-2025: FS
4. [studyplans] Bachelor_180_80b173004838b5856a2ed1a73ccc60de140ce7f4.txt p.1 - I | Leuenberger | HS-2025 | BA | de | Schriftliche Prüfung | 4.5 | | ESE.00047 | Mathématiques I | Schindl | HS-2025 | BA | fr | Schriftliche Prüfung | 4.5 | | SIN.02023 | Objektorientierte Programmierung | Cudré-Mauroux
5. [studyplans] Bachelor_180_80b173004838b5856a2ed1a73ccc60de140ce7f4.txt p.1 - Section: 2. Studienjahr 60 ECTS Table rows: - SIN.03023: SIN.03024; Algorithmik: Datenbanken; Grossenbacher: Fill; HS-2025: HS-2025; BA: BA; en: en; Schriftliche Prüfung: Schriftliche Prüfung; 6: 6 - SIN.03023: EGE.00273
6. [studyplans] Bachelor_180_80b173004838b5856a2ed1a73ccc60de140ce7f4.txt p.1 - t et financement | Isakov | HS-2025 | BA | fr | Schriftliche Prüfung | 6 | | EGE.00274 | MAN01D: Investitions- und Finanzierungstheorie | Wallmeier | HS-2025 | BA | de | Schriftliche Prüfung | 6 | | EGE.00275 | MAN02F: M
7. [studyplans] Bachelor_180_80b173004838b5856a2ed1a73ccc60de140ce7f4.txt p.1 - Section: 2. Studienjahr 60 ECTS Table rows: - Code: ESE.00040; Lehreinheit: Microéconomie I; Lehrer(innen): Gugler; Semester: HS-2025; Niveau: BA; Sprache: fr; Bewertung: Schriftliche Prüfung; ECTS: 6 - Code: ESE.00041; 
8. [studyplans] Bachelor_180_80b173004838b5856a2ed1a73ccc60de140ce7f4.txt p.1 - au | Sprache | Bewertung | ECTS | |-----------|---------------------------------|-----------------|------------|----------|-----------|----------------------|--------| | ESE.00040 | Microéconomie I | Gugler | HS-2025 | B
9. [studyplans] Bachelor_180_80b173004838b5856a2ed1a73ccc60de140ce7f4.txt p.1 - Section: Informationskompetenz in den Wirtschaftswissenschaften Table rows: - EDK.00951: EDK.00954; Compétences documentaires en économie 1 - Groupe A: Compétences documentaires en économie 1 - Groupe B; Brodard, Lüscher
10. [studyplans] Bachelor_180_80b173004838b5856a2ed1a73ccc60de140ce7f4.txt p.1 - EDK.00951: EDK.00965; Compétences documentaires en économie 1 - Groupe A: Compétences documentaires en informatique de Gestion 2 - Groupe G; Brodard, Lüscher: Brodard, Lüscher; HS-2025: FS-2026; BA: BA; fr: fr; Fortlaufe</t>
        </is>
      </c>
      <c r="X7" s="2" t="inlineStr">
        <is>
          <t>[{"source": null, "page": 1, "snippet": "Section: 1. Jahr 60 ECTS\n\nTable rows:\n- SIN.01023: EIG.00036; Einführung in die Programmierung: Informatique de gestion I; Bloechle: Fischer; HS-2025: HS-2025; BA: BA; fr, de: fr; Schriftliche Prüfung: Schriftliche Prüfung; 6: 6\n- SIN.01023: EIG.00037; Einführung in die Programmierung: Wirtschaftsinformatik I; Bloechle: Fill; HS-2025: HS-2025; BA: BA; fr, de: de; Schriftliche Prüfung: Schriftliche Prüfung; 6: 6\n- SIN.01023: EGE.00136; Einführung in die Programmierung: Einführung in die Betriebsw",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"80b173004838b5856a2ed1a73ccc60de140ce7f4::semantic_table::chunk::0010", "chunk_type": "table", "section": "1. Jahr 60 ECTS", "page_start": 1, "page_end": 1, "chunk_pages": [1], "contains_table": true, "block_kinds": ["table"], "prev_chunk_id": "80b173004838b5856a2ed1a73ccc60de140ce7f4::semantic_table::chunk::0009", "next_chunk_id": "80b173004838b5856a2ed1a73ccc60de140ce7f4::semantic_table::chunk::0011",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"fung; 6: 4.5\n- SIN.01023: ESE.00048; Einführung in die Programmierung: Mathematik I; Bloechle: Leuenberger; HS-2025: HS-2025; BA: BA; fr, de: de; Schriftliche Prüfung: Schriftliche Prüfung; 6: 4.5\n- SIN.01023: ESE.00047; Einführung in die Programmierung: Mathématiques I; Bloechle: Schindl; HS-2025: HS-2025; BA: BA; fr, de: fr; Schriftliche Prüfung: Schriftliche Prüfung; 6: 4.5\n- SIN.01023: SIN.02023; Einführung in die Programmierung: Objektorientierte Programmierung; Bloechle: Cudré-Mauroux, Ton",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"80b173004838b5856a2ed1a73ccc60de140ce7f4::semantic_table::chunk::0011", "chunk_type": "table", "section": "1. Jahr 60 ECTS", "page_start": 1, "page_end": 1, "chunk_pages": [1], "contains_table": true, "block_kinds": ["table"], "prev_chunk_id": "80b173004838b5856a2ed1a73ccc60de140ce7f4::semantic_table::chunk::0010", "next_chunk_id": "80b173004838b5856a2ed1a73ccc60de140ce7f4::semantic_table::chunk::0012",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"Bloechle: Kauth, Kauth; HS-2025: FS-2026; BA: BA; fr, de: fr; Schriftliche Prüfung: Schriftliche Prüfung; 6: 4.5\n- SIN.01023: ESE.00052; Einführung in die Programmierung: Mathematik II; Bloechle: Leuenberger; HS-2025: FS-2026; BA: BA; fr, de: de; Schriftliche Prüfung: Schriftliche Prüfung; 6: 4.5\n- SIN.01023: ESE.00051; Einführung in die Programmierung: Mathématiques II; HS-2025: FS-2026; BA: BA; fr, de: fr; Schriftliche Prüfung: Schriftliche Prüfung; 6: 4.5\n\nRaw table:\n| SIN.01023 | Einführung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"80b173004838b5856a2ed1a73ccc60de140ce7f4::semantic_table::chunk::0012", "chunk_type": "table", "section": "1. Jahr 60 ECTS", "page_start": 1, "page_end": 1, "chunk_pages": [1], "contains_table": true, "block_kinds": ["table"], "prev_chunk_id": "80b173004838b5856a2ed1a73ccc60de140ce7f4::semantic_table::chunk::0011", "next_chunk_id": "80b173004838b5856a2ed1a73ccc60de140ce7f4::semantic_table::chunk::0013",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"I | Leuenberger | HS-2025 | BA | de | Schriftliche Prüfung | 4.5 |\n| ESE.00047 | Mathématiques I | Schindl | HS-2025 | BA | fr | Schriftliche Prüfung | 4.5 |\n| SIN.02023 | Objektorientierte Programmierung | Cudré-Mauroux, Tonon | FS-2026 | BA | en | Schriftliche Prüfung | 6 |\n| EIG.00038 | Informatique de gestion II | Fischer | FS-2026 | BA | fr | Schriftliche Prüfung | 6 |\n| EIG.00039 | Wirtschaftsinformatik II | Fill | FS-2026 | BA | de | Schriftliche Prüfung | 6 |\n| EGE.00253 | Organisation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"80b173004838b5856a2ed1a73ccc60de140ce7f4::semantic_table::chunk::0013", "chunk_type": "table", "section": "1. Jahr 60 ECTS", "page_start": 1, "page_end": 1, "chunk_pages": [1], "contains_table": true, "block_kinds": ["table"], "prev_chunk_id": "80b173004838b5856a2ed1a73ccc60de140ce7f4::semantic_table::chunk::0012", "next_chunk_id": "80b173004838b5856a2ed1a73ccc60de140ce7f4::semantic_table::chunk::0014",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"Section: 2. Studienjahr 60 ECTS\n\nTable rows:\n- SIN.03023: SIN.03024; Algorithmik: Datenbanken; Grossenbacher: Fill; HS-2025: HS-2025; BA: BA; en: en; Schriftliche Prüfung: Schriftliche Prüfung; 6: 6\n- SIN.03023: EGE.00273; Algorithmik: MAN01F: Investissement et financement; Grossenbacher: Isakov; HS-2025: HS-2025; BA: BA; en: fr; Schriftliche Prüfung: Schriftliche Prüfung; 6: 6\n- SIN.03023: EGE.00274; Algorithmik: MAN01D: Investitions- und Finanzierungstheorie; Grossenbacher: Wallmeier; HS-2025:",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"80b173004838b5856a2ed1a73ccc60de140ce7f4::semantic_table::chunk::0015", "chunk_type": "table", "section": "2. Studienjahr 60 ECTS", "page_start": 1, "page_end": 1, "chunk_pages": [1], "contains_table": true, "block_kinds": ["table"], "prev_chunk_id": "80b173004838b5856a2ed1a73ccc60de140ce7f4::semantic_table::chunk::0014", "next_chunk_id": "80b173004838b5856a2ed1a73ccc60de140ce7f4::semantic_table::chunk::0016",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"t et financement | Isakov | HS-2025 | BA | fr | Schriftliche Prüfung | 6 |\n| EGE.00274 | MAN01D: Investitions- und Finanzierungstheorie | Wallmeier | HS-2025 | BA | de | Schriftliche Prüfung | 6 |\n| EGE.00275 | MAN02F: Marketing (f, 4.5 ECTS) | Furrer | HS-2025 | BA | fr | Schriftliche Prüfung | 4.5 |\n| EGE.00276 | MAN02D: Marketing (d, 4.5 ECTS) | Bambauer-Sachse | HS-2025 | BA | de | Schriftliche Prüfung | 4.5 |\n| EGE.00139 | Droit I | Dubey, Fournier | HS-2025 | BA | fr | Schriftliche Prüfung",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"80b173004838b5856a2ed1a73ccc60de140ce7f4::semantic_table::chunk::0016", "chunk_type": "table", "section": "2. Studienjahr 60 ECTS", "page_start": 1, "page_end": 1, "chunk_pages": [1], "contains_table": true, "block_kinds": ["table"], "prev_chunk_id": "80b173004838b5856a2ed1a73ccc60de140ce7f4::semantic_table::chunk::0015", "next_chunk_id": "80b173004838b5856a2ed1a73ccc60de140ce7f4::semantic_table::chunk::0017",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"Section: 2. Studienjahr 60 ECTS\n\nTable rows:\n- Code: ESE.00040; Lehreinheit: Microéconomie I; Lehrer(innen): Gugler; Semester: HS-2025; Niveau: BA; Sprache: fr; Bewertung: Schriftliche Prüfung; ECTS: 6\n- Code: ESE.00041; Lehreinheit: Mikroökonomie I; Lehrer(innen): Büchel; Semester: HS-2025; Niveau: BA; Sprache: de; Bewertung: Schriftliche Prüfung; ECTS: 6\n- Code: SIN.04023; Lehreinheit: Software Engineering; Lehrer(innen): Fischer; Semester: FS-2026; Niveau: BA; Sprache: fr; Bewertung: Schriftl",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"80b173004838b5856a2ed1a73ccc60de140ce7f4::semantic_table::chunk::0017", "chunk_type": "table", "section": "2. Studienjahr 60 ECTS", "page_start": 1, "page_end": 1, "chunk_pages": [1], "contains_table": true, "block_kinds": ["table"], "prev_chunk_id": "80b173004838b5856a2ed1a73ccc60de140ce7f4::semantic_table::chunk::0016", "next_chunk_id": "80b173004838b5856a2ed1a73ccc60de140ce7f4::semantic_table::chunk::0018",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"au | Sprache | Bewertung | ECTS |\n|-----------|---------------------------------|-----------------|------------|----------|-----------|----------------------|--------|\n| ESE.00040 | Microéconomie I | Gugler | HS-2025 | BA | fr | Schriftliche Prüfung | 6 |\n| ESE.00041 | Mikroökonomie I | Büchel | HS-2025 | BA | de | Schriftliche Prüfung | 6 |\n| SIN.04023 | Software Engineering | Fischer | FS-2026 | BA | fr | Schriftliche Prüfung | 6 |\n| EIG.00015 | Operations Management (d) | Trautmann | FS-2026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"80b173004838b5856a2ed1a73ccc60de140ce7f4::semantic_table::chunk::0018", "chunk_type": "table", "section": "2. Studienjahr 60 ECTS", "page_start": 1, "page_end": 1, "chunk_pages": [1], "contains_table": true, "block_kinds": ["table"], "prev_chunk_id": "80b173004838b5856a2ed1a73ccc60de140ce7f4::semantic_table::chunk::0017", "next_chunk_id": "80b173004838b5856a2ed1a73ccc60de140ce7f4::semantic_table::chunk::0019",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"Section: Informationskompetenz in den Wirtschaftswissenschaften\n\nTable rows:\n- EDK.00951: EDK.00954; Compétences documentaires en économie 1 - Groupe A: Compétences documentaires en économie 1 - Groupe B; Brodard, Lüscher: Brodard, Lüscher; HS-2025: HS-2025; BA: BA; fr: fr; Fortlaufende Evaluation: Fortlaufende Evaluation; 0: 0\n- EDK.00951: EDK.00955; Compétences documentaires en économie 1 - Groupe A: Compétences documentaires en économie 1 - Groupe C; Brodard, Lüscher: Brodard, Lüscher; HS-202",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"80b173004838b5856a2ed1a73ccc60de140ce7f4::semantic_table::chunk::0020", "chunk_type": "table", "section": "Informationskompetenz in den Wirtschaftswissenschaften", "page_start": 1, "page_end": 1, "chunk_pages": [1], "contains_table": true, "block_kinds": ["table"], "prev_chunk_id": "80b173004838b5856a2ed1a73ccc60de140ce7f4::semantic_table::chunk::0019", "next_chunk_id": "80b173004838b5856a2ed1a73ccc60de140ce7f4::semantic_table::chunk::0021",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"EDK.00951: EDK.00965; Compétences documentaires en économie 1 - Groupe A: Compétences documentaires en informatique de Gestion 2 - Groupe G; Brodard, Lüscher: Brodard, Lüscher; HS-2025: FS-2026; BA: BA; fr: fr; Fortlaufende Evaluation: Fortlaufende Evaluation; 0: 0\n- EDK.00951: EDK.00967; Compétences documentaires en économie 1 - Groupe A: Informationskompetenz in der Wirtschaftsinformatik; Brodard, Lüscher: Lüscher; HS-2025: HS-2025; BA: BA; fr: de; Fortlaufende Evaluation: Fortlaufende Evaluat",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"80b173004838b5856a2ed1a73ccc60de140ce7f4::semantic_table::chunk::0021", "chunk_type": "table", "section": "Informationskompetenz in den Wirtschaftswissenschaften", "page_start": 1, "page_end": 1, "chunk_pages": [1], "contains_table": true, "block_kinds": ["table"], "prev_chunk_id": "80b173004838b5856a2ed1a73ccc60de140ce7f4::semantic_table::chunk::0020", "next_chunk_id": "80b173004838b5856a2ed1a73ccc60de140ce7f4::semantic_table::chunk::0022",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t>
        </is>
      </c>
      <c r="Y7" s="2" t="inlineStr">
        <is>
          <t>Bachelor_180_80b173004838b5856a2ed1a73ccc60de140ce7f4.txt</t>
        </is>
      </c>
      <c r="Z7" s="2" t="inlineStr">
        <is>
          <t>studyplans</t>
        </is>
      </c>
      <c r="AA7" s="2" t="n">
        <v>1</v>
      </c>
      <c r="AB7" s="2" t="inlineStr">
        <is>
          <t>Section: 1. Jahr 60 ECTS Table rows: - SIN.01023: EIG.00036; Einführung in die Programmierung: Informatique de gestion I; Bloechle: Fischer; HS-2025: HS-2025; BA: BA; fr, de: fr; Schriftliche Prüfung: Schriftliche Prüfung; 6: 6 - SIN.01023: EIG.00037; Einführung in die Programmierung: Wirtschaftsinformatik I; Bloechle: Fill; HS-2025: HS-2025; BA: B</t>
        </is>
      </c>
      <c r="AC7" s="2" t="n">
        <v>0</v>
      </c>
      <c r="AD7" s="2" t="n">
        <v>0</v>
      </c>
      <c r="AE7" s="2" t="n">
        <v>0</v>
      </c>
      <c r="AF7" s="2" t="n">
        <v>0</v>
      </c>
      <c r="AG7" s="2" t="n">
        <v>0</v>
      </c>
      <c r="AH7" s="2" t="inlineStr"/>
      <c r="AI7" s="2" t="inlineStr"/>
      <c r="AJ7" s="2" t="inlineStr"/>
      <c r="AK7" s="2" t="inlineStr"/>
      <c r="AL7" s="2" t="inlineStr"/>
      <c r="AM7" s="2" t="inlineStr"/>
      <c r="AN7" s="2" t="inlineStr">
        <is>
          <t>Fill manual_relevant_ranks after reviewing retrieved_sources_ranked, e.g. 1,3,5.</t>
        </is>
      </c>
    </row>
    <row r="8">
      <c r="A8" s="2" t="inlineStr">
        <is>
          <t>2026-05-18T23:56:48</t>
        </is>
      </c>
      <c r="B8" s="2" t="n">
        <v>8</v>
      </c>
      <c r="C8" s="2" t="n">
        <v>7</v>
      </c>
      <c r="D8" s="2" t="inlineStr">
        <is>
          <t>program_overview</t>
        </is>
      </c>
      <c r="E8" s="2" t="inlineStr">
        <is>
          <t>medium</t>
        </is>
      </c>
      <c r="F8" s="2" t="inlineStr">
        <is>
          <t>en</t>
        </is>
      </c>
      <c r="G8" s="2" t="inlineStr">
        <is>
          <t>What profile does a student of management have?</t>
        </is>
      </c>
      <c r="H8" s="2" t="inlineStr">
        <is>
          <t>summary of program leanings and obtained profile</t>
        </is>
      </c>
      <c r="I8" s="2" t="inlineStr">
        <is>
          <t xml:space="preserve">RAG  </t>
        </is>
      </c>
      <c r="J8" s="2" t="inlineStr"/>
      <c r="K8" s="2" t="inlineStr">
        <is>
          <t>study vectorstore</t>
        </is>
      </c>
      <c r="L8" s="2" t="inlineStr"/>
      <c r="M8" s="2" t="inlineStr"/>
      <c r="N8" s="2" t="n">
        <v>200</v>
      </c>
      <c r="O8" s="2" t="n">
        <v>1</v>
      </c>
      <c r="P8" s="2" t="n">
        <v>11148.41</v>
      </c>
      <c r="Q8" s="2" t="inlineStr"/>
      <c r="R8" s="2" t="n">
        <v>10</v>
      </c>
      <c r="S8" s="2" t="inlineStr"/>
      <c r="T8" s="2" t="inlineStr">
        <is>
          <t>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t>
        </is>
      </c>
      <c r="U8" s="2" t="inlineStr">
        <is>
          <t>studyplans; studyplans; studyplans; studyplans; studyplans; studyplans; studyplans; studyplans; studyplans; studyplans</t>
        </is>
      </c>
      <c r="V8" s="2" t="inlineStr">
        <is>
          <t>1; 1; 1; 1; 1; 1; 1; 1; 1; 1</t>
        </is>
      </c>
      <c r="W8" s="2" t="inlineStr">
        <is>
          <t>1. [studyplans] Master_30_a11887e2ddf0e048b0446c6bb3c79526bf350234.txt p.1 - Section: Stand des Kursangebots Table rows: - Code: Wahlkurse - 30 ECTS; Lehreinheit: Wahlkurse - 30 ECTS - Code: STR: Strategy; Lehreinheit: STR: Strategy - Code: EGE.00101; Lehreinheit: Case studies in international st
2. [studyplans] Master_30_a11887e2ddf0e048b0446c6bb3c79526bf350234.txt p.1 - Section: Stand des Kursangebots Table rows: - Code: EIG.00031; Lehreinheit: Advanced Topics in Decision Support; Lehrer(innen): Ries; Semester: FS-2026; Niveau: MA; Sprache: en; Bewertung: Schriftliche Prüfung; ECTS: 4.5
3. [studyplans] Master_30_a11887e2ddf0e048b0446c6bb3c79526bf350234.txt p.1 - g; ECTS: 4.5 - Code: EEP.00495; Lehreinheit: Advanced Microeconomics; Lehrer(innen): Büchel, Valvassori Bolgè; Semester: HS-2025; Niveau: MA; Sprache: en; Bewertung: Schriftliche Prüfung; ECTS: 6 - Code: EGE.00473; Lehre
4. [studyplans] Master_30_a11887e2ddf0e048b0446c6bb3c79526bf350234.txt p.1 - heit: Advanced Entrepreneurship; Lehrer(innen): Fauchart, Tang; Semester: HS-2025; Niveau: MA; Sprache: en; Bewertung: Fortlaufende Evaluation; ECTS: 4.5 - Code: EGE.00306; Lehreinheit: Seminar in Social Entrepreneurship
5. [studyplans] Master_30_a11887e2ddf0e048b0446c6bb3c79526bf350234.txt p.1 - ent; Semester: OHRM: Organisation and Human Resource Management; Niveau: OHRM: Organisation and Human Resource Management; Sprache: OHRM: Organisation and Human Resource Management; Bewertung: OHRM: Organisation and Huma
6. [studyplans] Master_30_a11887e2ddf0e048b0446c6bb3c79526bf350234.txt p.1 - 2025 | MA | de | Schriftliche Prüfung | 4.5 | | EEP.00095 | Microeconomics of Competitiveness (MOC) | Gugler | FS-2026 | MA | en | Fortlaufende | 4.5 | | EGE.00257 | Winning Consulting Projects | Thom | FS-2026 | MA | en
7. [studyplans] Master_30_a11887e2ddf0e048b0446c6bb3c79526bf350234.txt p.1 - NNO-ENT: Innovation &amp; Entrepreneurship | INNO-ENT: Innovation &amp; Entrepreneurship | INNO-ENT: Innovation &amp; Entrepreneurship | INNO-ENT: Innovation &amp; Entrepreneurship | | EGE.00254 | Advanced Entrepreneurship | Fauchart, T
8. [studyplans] Master_30_a11887e2ddf0e048b0446c6bb3c79526bf350234.txt p.1 - EGE.00194 | Intercultural Management | Davoine | HS-2025 | MA | en | Schriftliche Prüfung | 4.5 | | EGE.00045 | Organization Behavior | von Wittich | HS-2025 | MA | en | Fortlaufende | 4.5 |
9. [studyplans] Master_30_a11887e2ddf0e048b0446c6bb3c79526bf350234.txt p.1 - Section: Stand des Kursangebots Table rows: - Code: EGE.00257; Lehreinheit: Winning Consulting Projects; Lehrer(innen): Thom; Semester: FS-2026; Niveau: MA; Sprache: en; Bewertung: Fortlaufende Evaluation; ECTS: 3 - Code
10. [studyplans] Master_30_a11887e2ddf0e048b0446c6bb3c79526bf350234.txt p.1 - einheit: Management des ressources humaines et matérielles dans les organisations à but non lucratif; Lehrer(innen): Gmür; Semester: HS-2025; Niveau: MA; Sprache: fr; Bewertung: Fortlaufende Evaluation und schriftliche P</t>
        </is>
      </c>
      <c r="X8" s="2" t="inlineStr">
        <is>
          <t>[{"source": null, "page": 1, "snippet": "Section: Stand des Kursangebots\n\nTable rows:\n- Code: Wahlkurse - 30 ECTS; Lehreinheit: Wahlkurse - 30 ECTS\n- Code: STR: Strategy; Lehreinheit: STR: Strategy\n- Code: EGE.00101; Lehreinheit: Case studies in international strategy; Lehrer(innen): Jenisch, Morschett; Semester: HS-2025; Niveau: MA; Sprache: en; Bewertung: Fortlaufende Evaluation; ECTS: 4.5\n- Code: EGE.00048; Lehreinheit: Fundamentals of International Management; Lehrer(innen): Flankova; Semester: HS-2025; Niveau: MA; Sprache: en; Bew",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"a11887e2ddf0e048b0446c6bb3c79526bf350234::semantic_table::chunk::0007", "chunk_type": "table", "section": "Stand des Kursangebots", "page_start": 1, "page_end": 1, "chunk_pages": [1], "contains_table": true, "block_kinds": ["table"], "prev_chunk_id": "a11887e2ddf0e048b0446c6bb3c79526bf350234::semantic_table::chunk::0006", "next_chunk_id": "a11887e2ddf0e048b0446c6bb3c79526bf350234::semantic_table::chunk::0008",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"Section: Stand des Kursangebots\n\nTable rows:\n- Code: EIG.00031; Lehreinheit: Advanced Topics in Decision Support; Lehrer(innen): Ries; Semester: FS-2026; Niveau: MA; Sprache: en; Bewertung: Schriftliche Prüfung; ECTS: 4.5\n- Code: EGE.00250; Lehreinheit: Intercultural Business Projects; Lehrer(innen): Furrer, Morschett; Semester: FS-2026; Niveau: MA; Sprache: en; Bewertung: Fortlaufende Evaluation; ECTS: 4.5\n- Code: EEP.00332; Lehreinheit: Märkte und Strategien; Lehrer(innen): Büchel; Semester: H",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"a11887e2ddf0e048b0446c6bb3c79526bf350234::semantic_table::chunk::0009", "chunk_type": "table", "section": "Stand des Kursangebots", "page_start": 1, "page_end": 1, "chunk_pages": [1], "contains_table": true, "block_kinds": ["table"], "prev_chunk_id": "a11887e2ddf0e048b0446c6bb3c79526bf350234::semantic_table::chunk::0008", "next_chunk_id": "a11887e2ddf0e048b0446c6bb3c79526bf350234::semantic_table::chunk::0010",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"g; ECTS: 4.5\n- Code: EEP.00495; Lehreinheit: Advanced Microeconomics; Lehrer(innen): Büchel, Valvassori Bolgè; Semester: HS-2025; Niveau: MA; Sprache: en; Bewertung: Schriftliche Prüfung; ECTS: 6\n- Code: EGE.00473; Lehreinheit: Developing an Innovation Strategy; Lehrer(innen): Nüesch; Semester: HS-2025; Niveau: MA; Sprache: en; Bewertung: Fortlaufende Evaluation und schriftliche Prüfung; ECTS: 4.5\n- Code: EGE.00485; Lehreinheit: MAN08E: Strategic Management; Lehrer(innen): Mena; Semester: FS-202",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"a11887e2ddf0e048b0446c6bb3c79526bf350234::semantic_table::chunk::0010", "chunk_type": "table", "section": "Stand des Kursangebots", "page_start": 1, "page_end": 1, "chunk_pages": [1], "contains_table": true, "block_kinds": ["table"], "prev_chunk_id": "a11887e2ddf0e048b0446c6bb3c79526bf350234::semantic_table::chunk::0009", "next_chunk_id": "a11887e2ddf0e048b0446c6bb3c79526bf350234::semantic_table::chunk::0011",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"heit: Advanced Entrepreneurship; Lehrer(innen): Fauchart, Tang; Semester: HS-2025; Niveau: MA; Sprache: en; Bewertung: Fortlaufende Evaluation; ECTS: 4.5\n- Code: EGE.00306; Lehreinheit: Seminar in Social Entrepreneurship; Lehrer(innen): Erpf; Semester: HS-2025; Niveau: MA; Sprache: en; Bewertung: Fortlaufende Evaluation; ECTS: 3\n- Code: EGE.00255; Lehreinheit: Nouveaux trends de l'innovation; Lehrer(innen): Fauchart; Semester: FS-2026; Niveau: MA; Sprache: fr; Bewertung: Fortlaufende Evaluation;",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"a11887e2ddf0e048b0446c6bb3c79526bf350234::semantic_table::chunk::0011", "chunk_type": "table", "section": "Stand des Kursangebots", "page_start": 1, "page_end": 1, "chunk_pages": [1], "contains_table": true, "block_kinds": ["table"], "prev_chunk_id": "a11887e2ddf0e048b0446c6bb3c79526bf350234::semantic_table::chunk::0010", "next_chunk_id": "a11887e2ddf0e048b0446c6bb3c79526bf350234::semantic_table::chunk::0012",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"ent; Semester: OHRM: Organisation and Human Resource Management; Niveau: OHRM: Organisation and Human Resource Management; Sprache: OHRM: Organisation and Human Resource Management; Bewertung: OHRM: Organisation and Human Resource Management; ECTS: OHRM: Organisation and Human Resource Management\n- Code: EGE.00060; Lehreinheit: Compétences managériales; Lehrer(innen): Davoine; Semester: FS-2026; Niveau: MA; Sprache: fr; Bewertung: Fortlaufende Evaluation und schriftliche Prüfung; ECTS: 4.5\n- Cod",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"a11887e2ddf0e048b0446c6bb3c79526bf350234::semantic_table::chunk::0012", "chunk_type": "table", "section": "Stand des Kursangebots", "page_start": 1, "page_end": 1, "chunk_pages": [1], "contains_table": true, "block_kinds": ["table"], "prev_chunk_id": "a11887e2ddf0e048b0446c6bb3c79526bf350234::semantic_table::chunk::0011", "next_chunk_id": "a11887e2ddf0e048b0446c6bb3c79526bf350234::semantic_table::chunk::0013",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"2025 | MA | de | Schriftliche Prüfung | 4.5 |\n| EEP.00095 | Microeconomics of Competitiveness (MOC) | Gugler | FS-2026 | MA | en | Fortlaufende | 4.5 |\n| EGE.00257 | Winning Consulting Projects | Thom | FS-2026 | MA | en | Fortlaufende Evaluation | 3 |\n| EGE.00283 | MAN08F: Management stratégique | Mena | FS-2026 | BA | fr | Schriftliche Prüfung | 4.5 |\n| EGE.00453 | Collaborative Value Creation in Ecosystems | Hilb | FS-2026 | MA | en | Fortlaufende Evaluation | 4.5 |\n| EEP.00518 | Organisation",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"a11887e2ddf0e048b0446c6bb3c79526bf350234::semantic_table::chunk::0013", "chunk_type": "table", "section": "Stand des Kursangebots", "page_start": 1, "page_end": 1, "chunk_pages": [1], "contains_table": true, "block_kinds": ["table"], "prev_chunk_id": "a11887e2ddf0e048b0446c6bb3c79526bf350234::semantic_table::chunk::0012", "next_chunk_id": "a11887e2ddf0e048b0446c6bb3c79526bf350234::semantic_table::chunk::0014",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"NNO-ENT: Innovation &amp; Entrepreneurship | INNO-ENT: Innovation &amp; Entrepreneurship | INNO-ENT: Innovation &amp; Entrepreneurship | INNO-ENT: Innovation &amp; Entrepreneurship |\n| EGE.00254 | Advanced Entrepreneurship | Fauchart, Tang | HS-2025 | MA | en | Fortlaufende Evaluation | 4.5 |\n| EGE.00306 | Seminar in Social Entrepreneurship | Erpf | HS-2025 | MA | en | Fortlaufende Evaluation | 3 |\n| EGE.00255 | Nouveaux trends de l'innovation | Fauchart | FS-2026 | MA | fr | Fortlaufende Evaluation | 4.5 |\n| E",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"a11887e2ddf0e048b0446c6bb3c79526bf350234::semantic_table::chunk::0014", "chunk_type": "table", "section": "Stand des Kursangebots", "page_start": 1, "page_end": 1, "chunk_pages": [1], "contains_table": true, "block_kinds": ["table"], "prev_chunk_id": "a11887e2ddf0e048b0446c6bb3c79526bf350234::semantic_table::chunk::0013", "next_chunk_id": "a11887e2ddf0e048b0446c6bb3c79526bf350234::semantic_table::chunk::0015",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"EGE.00194 | Intercultural Management | Davoine | HS-2025 | MA | en | Schriftliche Prüfung | 4.5 |\n| EGE.00045 | Organization Behavior | von Wittich | HS-2025 | MA | en | Fortlaufende | 4.5 |",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"a11887e2ddf0e048b0446c6bb3c79526bf350234::semantic_table::chunk::0015", "chunk_type": "table", "section": "Stand des Kursangebots", "page_start": 1, "page_end": 1, "chunk_pages": [1], "contains_table": true, "block_kinds": ["table"], "prev_chunk_id": "a11887e2ddf0e048b0446c6bb3c79526bf350234::semantic_table::chunk::0014", "next_chunk_id": "a11887e2ddf0e048b0446c6bb3c79526bf350234::semantic_table::chunk::0016",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"Section: Stand des Kursangebots\n\nTable rows:\n- Code: EGE.00257; Lehreinheit: Winning Consulting Projects; Lehrer(innen): Thom; Semester: FS-2026; Niveau: MA; Sprache: en; Bewertung: Fortlaufende Evaluation; ECTS: 3\n- Code: EEP.00127; Lehreinheit: Business and Human Rights; Lehrer(innen): Umlas; Semester: HS-2025; Niveau: MA; Sprache: en; Bewertung: Fortlaufende Evaluation; ECTS: 3\n- Code: EGE.00282; Lehreinheit: MAN05D: Human Resource Management; Lehrer(innen): Gmür; Semester: HS-2025; Niveau: B",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"a11887e2ddf0e048b0446c6bb3c79526bf350234::semantic_table::chunk::0017", "chunk_type": "table", "section": "Stand des Kursangebots", "page_start": 1, "page_end": 1, "chunk_pages": [1], "contains_table": true, "block_kinds": ["table"], "prev_chunk_id": "a11887e2ddf0e048b0446c6bb3c79526bf350234::semantic_table::chunk::0016", "next_chunk_id": "a11887e2ddf0e048b0446c6bb3c79526bf350234::semantic_table::chunk::0018",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"einheit: Management des ressources humaines et matérielles dans les organisations à but non lucratif; Lehrer(innen): Gmür; Semester: HS-2025; Niveau: MA; Sprache: fr; Bewertung: Fortlaufende Evaluation und schriftliche Prüfung; ECTS: 4.5\n- Code: EGE.00483; Lehreinheit: Ethical Leadership and Organizational Culture; Lehrer(innen): Gonin; Semester: FS-2026; Niveau: MA; Sprache: en; Bewertung: Fortlaufende Evaluation; ECTS: 4.5\n- Code: EGE.00487; Lehreinheit: Organizational Resilience of Multinatio",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"a11887e2ddf0e048b0446c6bb3c79526bf350234::semantic_table::chunk::0018", "chunk_type": "table", "section": "Stand des Kursangebots", "page_start": 1, "page_end": 1, "chunk_pages": [1], "contains_table": true, "block_kinds": ["table"], "prev_chunk_id": "a11887e2ddf0e048b0446c6bb3c79526bf350234::semantic_table::chunk::0017", "next_chunk_id": "a11887e2ddf0e048b0446c6bb3c79526bf350234::semantic_table::chunk::0019",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t>
        </is>
      </c>
      <c r="Y8" s="2" t="inlineStr">
        <is>
          <t>Master_30_a11887e2ddf0e048b0446c6bb3c79526bf350234.txt</t>
        </is>
      </c>
      <c r="Z8" s="2" t="inlineStr">
        <is>
          <t>studyplans</t>
        </is>
      </c>
      <c r="AA8" s="2" t="n">
        <v>1</v>
      </c>
      <c r="AB8" s="2" t="inlineStr">
        <is>
          <t>Section: Stand des Kursangebots Table rows: - Code: Wahlkurse - 30 ECTS; Lehreinheit: Wahlkurse - 30 ECTS - Code: STR: Strategy; Lehreinheit: STR: Strategy - Code: EGE.00101; Lehreinheit: Case studies in international strategy; Lehrer(innen): Jenisch, Morschett; Semester: HS-2025; Niveau: MA; Sprache: en; Bewertung: Fortlaufende Evaluation; ECTS: 4</t>
        </is>
      </c>
      <c r="AC8" s="2" t="n">
        <v>0</v>
      </c>
      <c r="AD8" s="2" t="n">
        <v>0</v>
      </c>
      <c r="AE8" s="2" t="n">
        <v>0</v>
      </c>
      <c r="AF8" s="2" t="n">
        <v>0</v>
      </c>
      <c r="AG8" s="2" t="n">
        <v>0</v>
      </c>
      <c r="AH8" s="2" t="inlineStr"/>
      <c r="AI8" s="2" t="inlineStr"/>
      <c r="AJ8" s="2" t="inlineStr"/>
      <c r="AK8" s="2" t="inlineStr"/>
      <c r="AL8" s="2" t="inlineStr"/>
      <c r="AM8" s="2" t="inlineStr"/>
      <c r="AN8" s="2" t="inlineStr">
        <is>
          <t>Fill manual_relevant_ranks after reviewing retrieved_sources_ranked, e.g. 1,3,5.</t>
        </is>
      </c>
    </row>
    <row r="9">
      <c r="A9" s="2" t="inlineStr">
        <is>
          <t>2026-05-18T23:56:48</t>
        </is>
      </c>
      <c r="B9" s="2" t="n">
        <v>9</v>
      </c>
      <c r="C9" s="2" t="n">
        <v>8</v>
      </c>
      <c r="D9" s="2" t="inlineStr">
        <is>
          <t>program_overview</t>
        </is>
      </c>
      <c r="E9" s="2" t="inlineStr">
        <is>
          <t>medium</t>
        </is>
      </c>
      <c r="F9" s="2" t="inlineStr">
        <is>
          <t>en</t>
        </is>
      </c>
      <c r="G9" s="2" t="inlineStr">
        <is>
          <t>What skills are learned in the Mathmatics program?</t>
        </is>
      </c>
      <c r="H9" s="2" t="inlineStr">
        <is>
          <t>summary/list of skills earned</t>
        </is>
      </c>
      <c r="I9" s="2" t="inlineStr">
        <is>
          <t xml:space="preserve">RAG  </t>
        </is>
      </c>
      <c r="J9" s="2" t="inlineStr"/>
      <c r="K9" s="2" t="inlineStr">
        <is>
          <t>study vectorstore</t>
        </is>
      </c>
      <c r="L9" s="2" t="inlineStr"/>
      <c r="M9" s="2" t="inlineStr"/>
      <c r="N9" s="2" t="n">
        <v>200</v>
      </c>
      <c r="O9" s="2" t="n">
        <v>1</v>
      </c>
      <c r="P9" s="2" t="n">
        <v>12324.84</v>
      </c>
      <c r="Q9" s="2" t="inlineStr"/>
      <c r="R9" s="2" t="n">
        <v>10</v>
      </c>
      <c r="S9" s="2" t="inlineStr"/>
      <c r="T9" s="2" t="inlineStr">
        <is>
          <t>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t>
        </is>
      </c>
      <c r="U9" s="2" t="inlineStr">
        <is>
          <t>studyplans; studyplans; studyplans; studyplans; studyplans; studyplans; studyplans; studyplans; studyplans; studyplans</t>
        </is>
      </c>
      <c r="V9" s="2" t="inlineStr">
        <is>
          <t>1; 1; 1; 1; 1; 1; 1; 1; 1; 1</t>
        </is>
      </c>
      <c r="W9" s="2" t="inlineStr">
        <is>
          <t>1. [studyplans] Master_90_ac63854b237749c8e734fb8a94f0c163a11510d8.txt p.1 - Section: Pflichtmodule (mindestens 45 ECTS insgesamt) Table rows: - Code: Module I: Data Analytics (Data); Lehreinheit: Module I: Data Analytics (Data); Lehrer(innen): Module I: Data Analytics (Data); Semester: Module I:
2. [studyplans] Master_90_ac63854b237749c8e734fb8a94f0c163a11510d8.txt p.1 - Schriftliche Prüfung; ECTS: 3.5 - Code: SBL.30001; Lehreinheit: Einführung in R; Lehrer(innen): Wegmann; Semester: HS-2025; Niveau: MA; Sprache: en; Bewertung: Schriftliche Prüfung; ECTS: 2 - Code: SBL.20001; Lehreinheit
3. [studyplans] Master_90_ac63854b237749c8e734fb8a94f0c163a11510d8.txt p.1 - f Markets and Organisations (Eco); Sprache: Module II: Economics of Markets and Organisations (Eco); Bewertung: Module II: Economics of Markets and Organisations (Eco); ECTS: Module II: Economics of Markets and Organisat
4. [studyplans] Master_90_ac63854b237749c8e734fb8a94f0c163a11510d8.txt p.1 - ewertung: Schriftliche Prüfung; ECTS: 6 - Code: EEP.00518; Lehreinheit: Organisational Economics; Lehrer(innen): Herz; Semester: FS-2026; Niveau: MA; Sprache: en; Bewertung: Schriftliche Prüfung; ECTS: 4.5 - Code: EIG.00
5. [studyplans] Master_90_ac63854b237749c8e734fb8a94f0c163a11510d8.txt p.1 - -----------------------------------------------------|---------------------------------------------------------| | Module I: Data Analytics (Data) | Module I: Data Analytics (Data) | Module I: Data Analytics (Data) | Mod
6. [studyplans] Master_90_ac63854b237749c8e734fb8a94f0c163a11510d8.txt p.1 - Policy and Impact Evaluation | Huber | FS-2026 | MA | en | Schriftliche Prüfung | 4.5 | | EEP.00496 | Econometric Methods and Applications | Huber | HS-2025 | MA | en | Schriftliche Prüfung | 6 | | EEP.00517 | Advanced T
7. [studyplans] Master_90_ac63854b237749c8e734fb8a94f0c163a11510d8.txt p.1 - | HS-2025 | MA | en | Schriftliche Prüfung | 6 | | EEP.00518 | Organisational Economics | Herz | FS-2026 | MA | en | Schriftliche Prüfung | 4.5 | | EIG.00244 | Choice-based optimization and its application to revenue man
8. [studyplans] Master_90_ac63854b237749c8e734fb8a94f0c163a11510d8.txt p.1 - lernten Methoden. Mögliche; Bewertung: Elective Module: 'Specialisation'. Select courses for up to max 18 ECTS Wahlmodul: Spezialisierung - Modul III: Spezialisierung Dieses Modul ermöglicht eine individuelle Vertiefung 
9. [studyplans] Master_90_ac63854b237749c8e734fb8a94f0c163a11510d8.txt p.1 - tion; ECTS: 4.5 - Code: Masterarbeit; Lehreinheit: Masterarbeit; Lehrer(innen): Masterarbeit; Semester: Masterarbeit; Niveau: Masterarbeit; Sprache: Masterarbeit; Bewertung: Masterarbeit; ECTS: Masterarbeit - Code: EDK.0
10. [studyplans] Master_90_ac63854b237749c8e734fb8a94f0c163a11510d8.txt p.1 - g - Modul III: Spezialisierung Dieses Modul ermöglicht eine individuelle Vertiefung durch zusätzliche Kurse zur Anwendung der erlernten Methoden. Mögliche | Elective Module: 'Specialisation'. Select courses for up to max</t>
        </is>
      </c>
      <c r="X9" s="2" t="inlineStr">
        <is>
          <t>[{"source": null, "page": 1, "snippet": "Section: Pflichtmodule (mindestens 45 ECTS insgesamt)\n\nTable rows:\n- Code: Module I: Data Analytics (Data); Lehreinheit: Module I: Data Analytics (Data); Lehrer(innen): Module I: Data Analytics (Data); Semester: Module I: Data Analytics (Data); Niveau: Module I: Data Analytics (Data); Sprache: Module I: Data Analytics (Data); Bewertung: Module I: Data Analytics (Data); ECTS: Module I: Data Analytics (Data)\n- Code: Pflichtkurse; Lehreinheit: Pflichtkurse; Lehrer(innen): Pflichtkurse; Semester: Pf",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"ac63854b237749c8e734fb8a94f0c163a11510d8::semantic_table::chunk::0011", "chunk_type": "table", "section": "Pflichtmodule (mindestens 45 ECTS insgesamt)", "page_start": 1, "page_end": 1, "chunk_pages": [1], "contains_table": true, "block_kinds": ["table"], "prev_chunk_id": "ac63854b237749c8e734fb8a94f0c163a11510d8::semantic_table::chunk::0010", "next_chunk_id": "ac63854b237749c8e734fb8a94f0c163a11510d8::semantic_table::chunk::0012",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"query": "What skills are learned in the Mathmatics program?", "query_language": "en"}], "returned_count": 10}}, {"source": null, "page": 1, "snippet": "Schriftliche Prüfung; ECTS: 3.5\n- Code: SBL.30001; Lehreinheit: Einführung in R; Lehrer(innen): Wegmann; Semester: HS-2025; Niveau: MA; Sprache: en; Bewertung: Schriftliche Prüfung; ECTS: 2\n- Code: SBL.20001; Lehreinheit: Biostatistik I - verallgemeinerte lineare Modelle und gemischte Modelle; Lehrer(innen): Bersier, Rohr; Semester: HS-2025; Niveau: MA; Sprache: en; Bewertung: Schriftliche Prüfung, Mündliche Prüfung; ECTS: 3\n- Code: SBL.30002; Lehreinheit: Machine learning; Lehrer(innen): Wegman",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"ac63854b237749c8e734fb8a94f0c163a11510d8::semantic_table::chunk::0012", "chunk_type": "table", "section": "Pflichtmodule (mindestens 45 ECTS insgesamt)", "page_start": 1, "page_end": 1, "chunk_pages": [1], "contains_table": true, "block_kinds": ["table"], "prev_chunk_id": "ac63854b237749c8e734fb8a94f0c163a11510d8::semantic_table::chunk::0011", "next_chunk_id": "ac63854b237749c8e734fb8a94f0c163a11510d8::semantic_table::chunk::0013",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"query": "What skills are learned in the Mathmatics program?", "query_language": "en"}], "returned_count": 10}}, {"source": null, "page": 1, "snippet": "f Markets and Organisations (Eco); Sprache: Module II: Economics of Markets and Organisations (Eco); Bewertung: Module II: Economics of Markets and Organisations (Eco); ECTS: Module II: Economics of Markets and Organisations (Eco)\n- Code: EEP.00332; Lehreinheit: Märkte und Strategien; Lehrer(innen): Büchel; Semester: HS-2025; Niveau: MA; Sprache: de; Bewertung: Schriftliche Prüfung; ECTS: 4.5\n- Code: EGE.00269; Lehreinheit: Digital Commerce in B2C and B2B Markets; Lehrer(innen): Schu; Semester: ",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"ac63854b237749c8e734fb8a94f0c163a11510d8::semantic_table::chunk::0013", "chunk_type": "table", "section": "Pflichtmodule (mindestens 45 ECTS insgesamt)", "page_start": 1, "page_end": 1, "chunk_pages": [1], "contains_table": true, "block_kinds": ["table"], "prev_chunk_id": "ac63854b237749c8e734fb8a94f0c163a11510d8::semantic_table::chunk::0012", "next_chunk_id": "ac63854b237749c8e734fb8a94f0c163a11510d8::semantic_table::chunk::0014",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"query": "What skills are learned in the Mathmatics program?", "query_language": "en"}], "returned_count": 10}}, {"source": null, "page": 1, "snippet": "ewertung: Schriftliche Prüfung; ECTS: 6\n- Code: EEP.00518; Lehreinheit: Organisational Economics; Lehrer(innen): Herz; Semester: FS-2026; Niveau: MA; Sprache: en; Bewertung: Schriftliche Prüfung; ECTS: 4.5\n- Code: EIG.00244; Lehreinheit: Choice-based optimization and its application to revenue management; Lehrer(innen): Pacheco Paneque; Semester: FS-2026; Niveau: MA; Sprache: en; Bewertung: Schriftliche Prüfung; ECTS: 4.5\n- Code: EEP.00328; Lehreinheit: Network Science &amp; Economics; Lehrer(innen)",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"ac63854b237749c8e734fb8a94f0c163a11510d8::semantic_table::chunk::0014", "chunk_type": "table", "section": "Pflichtmodule (mindestens 45 ECTS insgesamt)", "page_start": 1, "page_end": 1, "chunk_pages": [1], "contains_table": true, "block_kinds": ["table"], "prev_chunk_id": "ac63854b237749c8e734fb8a94f0c163a11510d8::semantic_table::chunk::0013", "next_chunk_id": "ac63854b237749c8e734fb8a94f0c163a11510d8::semantic_table::chunk::0015",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"query": "What skills are learned in the Mathmatics program?", "query_language": "en"}], "returned_count": 10}}, {"source": null, "page": 1, "snippet": "-----------------------------------------------------|---------------------------------------------------------|\n| Module I: Data Analytics (Data) | Module I: Data Analytics (Data) | Module I: Data Analytics (Data) | Module I: Data Analytics (Data) | Module I: Data Analytics (Data) | Module I: Data Analytics (Data) | Module I: Data Analytics (Data) | Module I: Data Analytics (Data) |\n| Pflichtkurse | Pflichtkurse | Pflichtkurse | Pflichtkurse | Pflichtkurse | Pflichtkurse | Pflichtkurse | Pflich",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"ac63854b237749c8e734fb8a94f0c163a11510d8::semantic_table::chunk::0015", "chunk_type": "table", "section": "Pflichtmodule (mindestens 45 ECTS insgesamt)", "page_start": 1, "page_end": 1, "chunk_pages": [1], "contains_table": true, "block_kinds": ["table"], "prev_chunk_id": "ac63854b237749c8e734fb8a94f0c163a11510d8::semantic_table::chunk::0014", "next_chunk_id": "ac63854b237749c8e734fb8a94f0c163a11510d8::semantic_table::chunk::0016",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"query": "What skills are learned in the Mathmatics program?", "query_language": "en"}], "returned_count": 10}}, {"source": null, "page": 1, "snippet": "Policy and Impact Evaluation | Huber | FS-2026 | MA | en | Schriftliche Prüfung | 4.5 |\n| EEP.00496 | Econometric Methods and Applications | Huber | HS-2025 | MA | en | Schriftliche Prüfung | 6 |\n| EEP.00517 | Advanced Topics in Data Analytics and Machine Learning | Kauth | HS-2025 | MA | en | Fortlaufende Evaluation | 1.5 |\n| Module II: Economics of Markets and Organisations (Eco) | Module II: Economics of Markets and Organisations (Eco) | Module II: Economics of Markets and Organisations (Eco)",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"ac63854b237749c8e734fb8a94f0c163a11510d8::semantic_table::chunk::0016", "chunk_type": "table", "section": "Pflichtmodule (mindestens 45 ECTS insgesamt)", "page_start": 1, "page_end": 1, "chunk_pages": [1], "contains_table": true, "block_kinds": ["table"], "prev_chunk_id": "ac63854b237749c8e734fb8a94f0c163a11510d8::semantic_table::chunk::0015", "next_chunk_id": "ac63854b237749c8e734fb8a94f0c163a11510d8::semantic_table::chunk::0017",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"query": "What skills are learned in the Mathmatics program?", "query_language": "en"}], "returned_count": 10}}, {"source": null, "page": 1, "snippet": "| HS-2025 | MA | en | Schriftliche Prüfung | 6 |\n| EEP.00518 | Organisational Economics | Herz | FS-2026 | MA | en | Schriftliche Prüfung | 4.5 |\n| EIG.00244 | Choice-based optimization and its application to revenue management | Pacheco Paneque | FS-2026 | MA | en | Schriftliche Prüfung | 4.5 |\n| EEP.00328 | Network Science &amp; Economics | Büchel | FS-2026 | MA | en | Schriftliche Prüfung | 4.5 |\n| EGE.00255 | Nouveaux trends de l'innovation | Fauchart | FS-2026 | MA | fr | Fortlaufende | 4.5 |\n|",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"ac63854b237749c8e734fb8a94f0c163a11510d8::semantic_table::chunk::0017", "chunk_type": "table", "section": "Pflichtmodule (mindestens 45 ECTS insgesamt)", "page_start": 1, "page_end": 1, "chunk_pages": [1], "contains_table": true, "block_kinds": ["table"], "prev_chunk_id": "ac63854b237749c8e734fb8a94f0c163a11510d8::semantic_table::chunk::0016", "next_chunk_id": "ac63854b237749c8e734fb8a94f0c163a11510d8::semantic_table::chunk::0018",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"query": "What skills are learned in the Mathmatics program?", "query_language": "en"}], "returned_count": 10}}, {"source": null, "page": 1, "snippet": "lernten Methoden. Mögliche; Bewertung: Elective Module: 'Specialisation'. Select courses for up to max 18 ECTS Wahlmodul: Spezialisierung - Modul III: Spezialisierung Dieses Modul ermöglicht eine individuelle Vertiefung durch zusätzliche Kurse zur Anwendung der erlernten Methoden. Mögliche; ECTS: Elective Module: 'Specialisation'. Select courses for up to max 18 ECTS Wahlmodul: Spezialisierung - Modul III: Spezialisierung Dieses Modul ermöglicht eine individuelle Vertiefung durch zusätzliche Kur",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"ac63854b237749c8e734fb8a94f0c163a11510d8::semantic_table::chunk::0019", "chunk_type": "table", "section": "Pflichtmodule (mindestens 45 ECTS insgesamt)", "page_start": 1, "page_end": 1, "chunk_pages": [1], "contains_table": true, "block_kinds": ["table"], "prev_chunk_id": "ac63854b237749c8e734fb8a94f0c163a11510d8::semantic_table::chunk::0018", "next_chunk_id": "ac63854b237749c8e734fb8a94f0c163a11510d8::semantic_table::chunk::0020",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"query": "What skills are learned in the Mathmatics program?", "query_language": "en"}], "returned_count": 10}}, {"source": null, "page": 1, "snippet": "tion; ECTS: 4.5\n- Code: Masterarbeit; Lehreinheit: Masterarbeit; Lehrer(innen): Masterarbeit; Semester: Masterarbeit; Niveau: Masterarbeit; Sprache: Masterarbeit; Bewertung: Masterarbeit; ECTS: Masterarbeit\n- Code: EDK.01671; Lehreinheit: Masterarbeit; Lehrer(innen): Décanat; Semester: FS-2026; Niveau: MA; Bewertung: Fortlaufende Evaluation; ECTS: 27\n- Code: EDK.01671; Lehreinheit: Masterarbeit; Lehrer(innen): Décanat; Semester: HS-2025; Niveau: MA; Bewertung: Fortlaufende Evaluation; ECTS: 27\n\n",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"ac63854b237749c8e734fb8a94f0c163a11510d8::semantic_table::chunk::0020", "chunk_type": "table", "section": "Pflichtmodule (mindestens 45 ECTS insgesamt)", "page_start": 1, "page_end": 1, "chunk_pages": [1], "contains_table": true, "block_kinds": ["table"], "prev_chunk_id": "ac63854b237749c8e734fb8a94f0c163a11510d8::semantic_table::chunk::0019", "next_chunk_id": "ac63854b237749c8e734fb8a94f0c163a11510d8::semantic_table::chunk::0021",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"query": "What skills are learned in the Mathmatics program?", "query_language": "en"}], "returned_count": 10}}, {"source": null, "page": 1, "snippet": "g - Modul III: Spezialisierung Dieses Modul ermöglicht eine individuelle Vertiefung durch zusätzliche Kurse zur Anwendung der erlernten Methoden. Mögliche | Elective Module: 'Specialisation'. Select courses for up to max 18 ECTS Wahlmodul: Spezialisierung - Modul III: Spezialisierung Dieses Modul ermöglicht eine individuelle Vertiefung durch zusätzliche Kurse zur Anwendung der erlernten Methoden. Mögliche | Elective Module: 'Specialisation'. Select courses for up to max 18 ECTS Wahlmodul: Spezia",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"ac63854b237749c8e734fb8a94f0c163a11510d8::semantic_table::chunk::0022", "chunk_type": "table", "section": "Pflichtmodule (mindestens 45 ECTS insgesamt)", "page_start": 1, "page_end": 1, "chunk_pages": [1], "contains_table": true, "block_kinds": ["table"], "prev_chunk_id": "ac63854b237749c8e734fb8a94f0c163a11510d8::semantic_table::chunk::0021", "next_chunk_id": "ac63854b237749c8e734fb8a94f0c163a11510d8::semantic_table::chunk::0023",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"query": "What skills are learned in the Mathmatics program?", "query_language": "en"}], "returned_count": 10}}]</t>
        </is>
      </c>
      <c r="Y9" s="2" t="inlineStr">
        <is>
          <t>Master_90_ac63854b237749c8e734fb8a94f0c163a11510d8.txt</t>
        </is>
      </c>
      <c r="Z9" s="2" t="inlineStr">
        <is>
          <t>studyplans</t>
        </is>
      </c>
      <c r="AA9" s="2" t="n">
        <v>1</v>
      </c>
      <c r="AB9" s="2" t="inlineStr">
        <is>
          <t>Section: Pflichtmodule (mindestens 45 ECTS insgesamt) Table rows: - Code: Module I: Data Analytics (Data); Lehreinheit: Module I: Data Analytics (Data); Lehrer(innen): Module I: Data Analytics (Data); Semester: Module I: Data Analytics (Data); Niveau: Module I: Data Analytics (Data); Sprache: Module I: Data Analytics (Data); Bewertung: Module I: Da</t>
        </is>
      </c>
      <c r="AC9" s="2" t="n">
        <v>0</v>
      </c>
      <c r="AD9" s="2" t="n">
        <v>0</v>
      </c>
      <c r="AE9" s="2" t="n">
        <v>0</v>
      </c>
      <c r="AF9" s="2" t="n">
        <v>0</v>
      </c>
      <c r="AG9" s="2" t="n">
        <v>0</v>
      </c>
      <c r="AH9" s="2" t="inlineStr"/>
      <c r="AI9" s="2" t="inlineStr"/>
      <c r="AJ9" s="2" t="inlineStr"/>
      <c r="AK9" s="2" t="inlineStr"/>
      <c r="AL9" s="2" t="inlineStr"/>
      <c r="AM9" s="2" t="inlineStr"/>
      <c r="AN9" s="2" t="inlineStr">
        <is>
          <t>Fill manual_relevant_ranks after reviewing retrieved_sources_ranked, e.g. 1,3,5.</t>
        </is>
      </c>
    </row>
    <row r="10">
      <c r="A10" s="2" t="inlineStr">
        <is>
          <t>2026-05-18T23:56:48</t>
        </is>
      </c>
      <c r="B10" s="2" t="n">
        <v>10</v>
      </c>
      <c r="C10" s="2" t="n">
        <v>9</v>
      </c>
      <c r="D10" s="2" t="inlineStr">
        <is>
          <t>program_overview</t>
        </is>
      </c>
      <c r="E10" s="2" t="inlineStr">
        <is>
          <t>medium</t>
        </is>
      </c>
      <c r="F10" s="2" t="inlineStr">
        <is>
          <t>de</t>
        </is>
      </c>
      <c r="G10" s="2" t="inlineStr">
        <is>
          <t>Welche Kurse sind im Studienprogramm Philosophie enthalten?</t>
        </is>
      </c>
      <c r="H10" s="2" t="inlineStr">
        <is>
          <t>list of courses</t>
        </is>
      </c>
      <c r="I10" s="2" t="inlineStr">
        <is>
          <t xml:space="preserve">RAG  </t>
        </is>
      </c>
      <c r="J10" s="2" t="inlineStr"/>
      <c r="K10" s="2" t="inlineStr">
        <is>
          <t>study vectorstore</t>
        </is>
      </c>
      <c r="L10" s="2" t="inlineStr"/>
      <c r="M10" s="2" t="inlineStr"/>
      <c r="N10" s="2" t="n">
        <v>200</v>
      </c>
      <c r="O10" s="2" t="n">
        <v>1</v>
      </c>
      <c r="P10" s="2" t="n">
        <v>13858.26</v>
      </c>
      <c r="Q10" s="2" t="inlineStr"/>
      <c r="R10" s="2" t="n">
        <v>10</v>
      </c>
      <c r="S10" s="2" t="inlineStr"/>
      <c r="T10" s="2" t="inlineStr">
        <is>
          <t>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t>
        </is>
      </c>
      <c r="U10" s="2" t="inlineStr">
        <is>
          <t>studyplans; studyplans; studyplans; studyplans; studyplans; studyplans; studyplans; studyplans; studyplans; studyplans</t>
        </is>
      </c>
      <c r="V10" s="2" t="inlineStr">
        <is>
          <t>1; 1; 1; 1; 1; 1; 1; 1; 1; 1</t>
        </is>
      </c>
      <c r="W10" s="2" t="inlineStr">
        <is>
          <t>1. [studyplans] Bachelor_120_991e33011e85c80ce74b56fe4592b6869e64c6fb.txt p.1 - 3 - column_1: Lateinische oder griechische Sprache und Literatur: zur Wahl; PUNKTE: 3 - column_1: 8. KOMPLEMENTÄRKOMPETENZEN (SOFT SKILLS); PUNKTE: 12 - column_1: Geschichte, Archäologie - column_1: Literatur, Literaturt
2. [studyplans] Bachelor_120_991e33011e85c80ce74b56fe4592b6869e64c6fb.txt p.1 - Renaissancestudien: 1 Vorlesung oder 1 Lektüre | 3 | | Lateinische oder griechische Sprache und Literatur: zur Wahl | 3 | | 8. KOMPLEMENTÄRKOMPETENZEN (SOFT SKILLS) | 12 | | Geschichte, Archäologie | | | Literatur, Liter
3. [studyplans] Bachelor_120_991e33011e85c80ce74b56fe4592b6869e64c6fb.txt p.1 - Section: DIE MODULE Table rows: - column_1: 1. PROPÄDEUTIK GRIECHISCH; PUNKTE: 15 - column_1: Geschichte der griechischen Literatur; PUNKTE: 3 - column_1: Griechische Geschichte; PUNKTE: 3 - column_1: Übungen Griechisch;
4. [studyplans] Bachelor_120_991e33011e85c80ce74b56fe4592b6869e64c6fb.txt p.1 - Section: MODUL 7: BASISKOMPETENZEN (18 ECTS) Table rows: - 18 PUNKTE: 3 PUNKTE; Das Modul Basiskompetenzen (18 ECTS Punkte) besteht aus sechs Lehrveranstaltungen, die sich auf die drei Jahre des Bachelorstudiums verteile
5. [studyplans] Bachelor_120_991e33011e85c80ce74b56fe4592b6869e64c6fb.txt p.1 - situiert diese in ihrem literarischen, historischen und theologischen Umfeld. Die Lehrveranstaltung wird während des dritten Studienjahres belegt. - 18 PUNKTE: 3 PUNKTE; Das Modul Basiskompetenzen (18 ECTS Punkte) besteh
6. [studyplans] Bachelor_120_991e33011e85c80ce74b56fe4592b6869e64c6fb.txt p.1 - ethoden der Philologie ein und macht sie mit den wichtigsten Hilfsmitteln vertraut. Sie muss während des ersten Studienjahres belegt werden. | | 3 PUNKTE | Griechisch-römische Mythologie Diese Vorlesung vermittelt einen 
7. [studyplans] Bachelor_120_991e33011e85c80ce74b56fe4592b6869e64c6fb.txt p.1 - Previous context: ltungen einhält und die Evaluationen in der entsprechenden Unterrichtssprache erfolgreich absolviert, erhält ein BA Diplom in Klassischer Philologie mit dem Vermerk 'zweisprachig'. Section: Studienaufba
8. [studyplans] Bachelor_120_991e33011e85c80ce74b56fe4592b6869e64c6fb.txt p.1 - Previous context: heorie | | | Antike Philosophie | | | Patristik | | | Antike Sprachen (Koptisch, Syrisch, Ägyptisch …) | | | Ägyptologie | | | Latein der Renaissance | | | Rezeption der Antike | | Section: MODUL 1: PRO
9. [studyplans] Bachelor_120_991e33011e85c80ce74b56fe4592b6869e64c6fb.txt p.1 - Previous context: ENZEN / SOFT SKILLS (12 ECTS) Dieses Modul rundet den Bachelor Studiengang ab durch die Erwerbung von ergänzenden Kompetenzen in Geschichte, Archäologie, Literatur, Sprachen, etc. Section: 4 Lehrveranst
10. [studyplans] Bachelor_120_991e33011e85c80ce74b56fe4592b6869e64c6fb.txt p.1 - Previous context: Archäologie, Literatur, Literaturtheorie, antike Philosophie, Patristik, alte Sprachen (Koptisch, Syrisch, Ägyptisch, …), Ägyptologie, Latein der Renaissance, Rezeption der Antike. Section: DIE EVALUATI</t>
        </is>
      </c>
      <c r="X10" s="2" t="inlineStr">
        <is>
          <t>[{"source": null, "page": 1, "snippet": "3\n- column_1: Lateinische oder griechische Sprache und Literatur: zur Wahl; PUNKTE: 3\n- column_1: 8. KOMPLEMENTÄRKOMPETENZEN (SOFT SKILLS); PUNKTE: 12\n- column_1: Geschichte, Archäologie\n- column_1: Literatur, Literaturtheorie\n- column_1: Antike Philosophie\n- column_1: Patristik\n- column_1: Antike Sprachen (Koptisch, Syrisch, Ägyptisch …)\n- column_1: Ägyptologie\n- column_1: Latein der Renaissance\n- column_1: Rezeption der Antike\n\nRaw table:\n| | PUNKTE |\n|-----------------------------------------",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"991e33011e85c80ce74b56fe4592b6869e64c6fb::semantic_table::chunk::0007", "chunk_type": "table", "section": "DIE MODULE", "page_start": 1, "page_end": 1, "chunk_pages": [1], "contains_table": true, "block_kinds": ["table"], "prev_chunk_id": "991e33011e85c80ce74b56fe4592b6869e64c6fb::semantic_table::chunk::0006", "next_chunk_id": "991e33011e85c80ce74b56fe4592b6869e64c6fb::semantic_table::chunk::0008",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"Renaissancestudien: 1 Vorlesung oder 1 Lektüre | 3 |\n| Lateinische oder griechische Sprache und Literatur: zur Wahl | 3 |\n| 8. KOMPLEMENTÄRKOMPETENZEN (SOFT SKILLS) | 12 |\n| Geschichte, Archäologie | |\n| Literatur, Literaturtheorie | |\n| Antike Philosophie | |\n| Patristik | |\n| Antike Sprachen (Koptisch, Syrisch, Ägyptisch …) | |\n| Ägyptologie | |\n| Latein der Renaissance | |\n| Rezeption der Antike | |",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"991e33011e85c80ce74b56fe4592b6869e64c6fb::semantic_table::chunk::0008", "chunk_type": "table", "section": "DIE MODULE", "page_start": 1, "page_end": 1, "chunk_pages": [1], "contains_table": true, "block_kinds": ["table"], "prev_chunk_id": "991e33011e85c80ce74b56fe4592b6869e64c6fb::semantic_table::chunk::0007", "next_chunk_id": "991e33011e85c80ce74b56fe4592b6869e64c6fb::semantic_table::chunk::0009",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"Section: DIE MODULE\n\nTable rows:\n- column_1: 1. PROPÄDEUTIK GRIECHISCH; PUNKTE: 15\n- column_1: Geschichte der griechischen Literatur; PUNKTE: 3\n- column_1: Griechische Geschichte; PUNKTE: 3\n- column_1: Übungen Griechisch; PUNKTE: 3\n- column_1: Griechische Sprache; PUNKTE: 3\n- column_1: Griechische Lektüre 1. Jahr; PUNKTE: 3\n- column_1: 2. PROPÄDEUTIK LATEIN; PUNKTE: 15\n- column_1: Geschichte der lateinischen Literatur; PUNKTE: 3\n- column_1: Römische Geschichte; PUNKTE: 3\n- column_1: Übungen Late",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"991e33011e85c80ce74b56fe4592b6869e64c6fb::semantic_table::chunk::0006", "chunk_type": "table", "section": "DIE MODULE", "page_start": 1, "page_end": 1, "chunk_pages": [1], "contains_table": true, "block_kinds": ["table"], "prev_chunk_id": "991e33011e85c80ce74b56fe4592b6869e64c6fb::semantic_table::chunk::0005", "next_chunk_id": "991e33011e85c80ce74b56fe4592b6869e64c6fb::semantic_table::chunk::0007",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"Section: MODUL 7: BASISKOMPETENZEN (18 ECTS)\n\nTable rows:\n- 18 PUNKTE: 3 PUNKTE; Das Modul Basiskompetenzen (18 ECTS Punkte) besteht aus sechs Lehrveranstaltungen, die sich auf die drei Jahre des Bachelorstudiums verteilen.: Einführung in die Klassische Philologie Diese Lehrveranstaltung führt die Studierenden in die Methoden der Philologie ein und macht sie mit den wichtigsten Hilfsmitteln vertraut. Sie muss während des ersten Studienjahres belegt werden.\n- 18 PUNKTE: 3 PUNKTE; Das Modul Basisk",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"991e33011e85c80ce74b56fe4592b6869e64c6fb::semantic_table::chunk::0021", "chunk_type": "table", "section": "MODUL 7: BASISKOMPETENZEN (18 ECTS)", "page_start": 1, "page_end": 1, "chunk_pages": [1], "contains_table": true, "block_kinds": ["table"], "prev_chunk_id": "991e33011e85c80ce74b56fe4592b6869e64c6fb::semantic_table::chunk::0020", "next_chunk_id": "991e33011e85c80ce74b56fe4592b6869e64c6fb::semantic_table::chunk::0022",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"situiert diese in ihrem literarischen, historischen und theologischen Umfeld. Die Lehrveranstaltung wird während des dritten Studienjahres belegt.\n- 18 PUNKTE: 3 PUNKTE; Das Modul Basiskompetenzen (18 ECTS Punkte) besteht aus sechs Lehrveranstaltungen, die sich auf die drei Jahre des Bachelorstudiums verteilen.: Lateinische Renaissancestudien Die Studierenden belegen einen Literaturkurs oder eine Lektüre ihrer Wahl im Bereich der lateinischen Renaissancestudien.\n- 18 PUNKTE: 3; Das Modul Basisko",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"991e33011e85c80ce74b56fe4592b6869e64c6fb::semantic_table::chunk::0022", "chunk_type": "table", "section": "MODUL 7: BASISKOMPETENZEN (18 ECTS)", "page_start": 1, "page_end": 1, "chunk_pages": [1], "contains_table": true, "block_kinds": ["table"], "prev_chunk_id": "991e33011e85c80ce74b56fe4592b6869e64c6fb::semantic_table::chunk::0021", "next_chunk_id": "991e33011e85c80ce74b56fe4592b6869e64c6fb::semantic_table::chunk::0023",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"ethoden der Philologie ein und macht sie mit den wichtigsten Hilfsmitteln vertraut. Sie muss während des ersten Studienjahres belegt werden. |\n| 3 PUNKTE | Griechisch-römische Mythologie Diese Vorlesung vermittelt einen Überblick über die wichtigsten antiken Mythen und ihre literarischen Repräsentationen. Sie wird normalerweise während des zweiten Studienjahres belegt. |\n| 3 PUNKTE | Einführung in die Literatur der Spätantike Diese Vorlesung gibt anhand einer repräsentativen Textauswahl einen Üb",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"991e33011e85c80ce74b56fe4592b6869e64c6fb::semantic_table::chunk::0023", "chunk_type": "table", "section": "MODUL 7: BASISKOMPETENZEN (18 ECTS)", "page_start": 1, "page_end": 1, "chunk_pages": [1], "contains_table": true, "block_kinds": ["table"], "prev_chunk_id": "991e33011e85c80ce74b56fe4592b6869e64c6fb::semantic_table::chunk::0022", "next_chunk_id": "991e33011e85c80ce74b56fe4592b6869e64c6fb::semantic_table::chunk::0024",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"Previous context: ltungen einhält und die Evaluationen in der entsprechenden Unterrichtssprache erfolgreich absolviert, erhält ein BA Diplom in Klassischer Philologie mit dem Vermerk 'zweisprachig'.\n\nSection: Studienaufbau\n\nDas Studienprogramm, welches die drei Studienjahre für den Bachelor abdeckt, besteht im ersten Jahr aus zwei propädeutischen Modulen (je 15 ECTS Punkte), in denen bestehende Kenntnisse in lateinischer und griechischer Sprache und Literatur vertieft sowie methodische Grundlage",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"991e33011e85c80ce74b56fe4592b6869e64c6fb::semantic_table::chunk::0005", "chunk_type": "semantic", "section": "Studienaufbau", "page_start": 1, "page_end": 1, "chunk_pages": [1], "contains_table": false, "block_kinds": ["text"], "prev_chunk_id": "991e33011e85c80ce74b56fe4592b6869e64c6fb::semantic_table::chunk::0004", "next_chunk_id": "991e33011e85c80ce74b56fe4592b6869e64c6fb::semantic_table::chunk::0006",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"Previous context: heorie | |\n| Antike Philosophie | |\n| Patristik | |\n| Antike Sprachen (Koptisch, Syrisch, Ägyptisch …) | |\n| Ägyptologie | |\n| Latein der Renaissance | |\n| Rezeption der Antike | |\n\nSection: MODUL 1: PROPÄDEUTIK GRIECHISCH (15 ECTS)\n\n- 15 PUNKTE Das propädeutische Modul Griechisch (15 ECTS Punkte) vertieft die Grundkenntnisse in Sprache, Literatur und historischem Kontext und führt in die Methoden der Klassischen Philologie ein.\n\nSection: MODUL 1: PROPÄDEUTIK GRIECHISCH (15 ECT",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"991e33011e85c80ce74b56fe4592b6869e64c6fb::semantic_table::chunk::0009", "chunk_type": "semantic", "section": "MODUL 1: PROPÄDEUTIK GRIECHISCH (15 ECTS)", "page_start": 1, "page_end": 1, "chunk_pages": [1], "contains_table": false, "block_kinds": ["list", "text"], "prev_chunk_id": "991e33011e85c80ce74b56fe4592b6869e64c6fb::semantic_table::chunk::0008", "next_chunk_id": "991e33011e85c80ce74b56fe4592b6869e64c6fb::semantic_table::chunk::0010",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"Previous context: ENZEN / SOFT SKILLS (12 ECTS)\n\nDieses Modul rundet den Bachelor Studiengang ab durch die Erwerbung von ergänzenden Kompetenzen in Geschichte, Archäologie, Literatur, Sprachen, etc.\n\nSection: 4 Lehrveranstaltungen\n\nFür die Validierung dieses Moduls belegen die Studierenden für insgesamt 12 ECTS-Punkte Lehrveranstaltungen, die sie aus einem oder mehreren der folgenden Studienbereiche auswählen: Geschichte, Archäologie, Literatur, Literaturtheorie, antike Philosophie, Patristik, a",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"991e33011e85c80ce74b56fe4592b6869e64c6fb::semantic_table::chunk::0027", "chunk_type": "semantic", "section": "4 Lehrveranstaltungen", "page_start": 1, "page_end": 1, "chunk_pages": [1], "contains_table": false, "block_kinds": ["text"], "prev_chunk_id": "991e33011e85c80ce74b56fe4592b6869e64c6fb::semantic_table::chunk::0026", "next_chunk_id": "991e33011e85c80ce74b56fe4592b6869e64c6fb::semantic_table::chunk::0028",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"Previous context: Archäologie, Literatur, Literaturtheorie, antike Philosophie, Patristik, alte Sprachen (Koptisch, Syrisch, Ägyptisch, …), Ägyptologie, Latein der Renaissance, Rezeption der Antike.\n\nSection: DIE EVALUATION\n\n̈\n\nSection: DIE EVALUATION\n\nDieser Studienplan stu tzt sich auf die Richtlinien u ber die Evaluation der Studienleistungen, die Vergabe der ECTS-Punkte und die Validierung der Module an der Philosophischen Fakulta t der Universita t Freiburg (Schweiz). In jeder Lehrveranstal",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"991e33011e85c80ce74b56fe4592b6869e64c6fb::semantic_table::chunk::0028", "chunk_type": "semantic", "section": "DIE EVALUATION", "page_start": 1, "page_end": 1, "chunk_pages": [1], "contains_table": false, "block_kinds": ["text"], "prev_chunk_id": "991e33011e85c80ce74b56fe4592b6869e64c6fb::semantic_table::chunk::0027", "next_chunk_id": "991e33011e85c80ce74b56fe4592b6869e64c6fb::semantic_table::chunk::0029",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t>
        </is>
      </c>
      <c r="Y10" s="2" t="inlineStr">
        <is>
          <t>Bachelor_120_991e33011e85c80ce74b56fe4592b6869e64c6fb.txt</t>
        </is>
      </c>
      <c r="Z10" s="2" t="inlineStr">
        <is>
          <t>studyplans</t>
        </is>
      </c>
      <c r="AA10" s="2" t="n">
        <v>1</v>
      </c>
      <c r="AB10" s="2" t="inlineStr">
        <is>
          <t>3 - column_1: Lateinische oder griechische Sprache und Literatur: zur Wahl; PUNKTE: 3 - column_1: 8. KOMPLEMENTÄRKOMPETENZEN (SOFT SKILLS); PUNKTE: 12 - column_1: Geschichte, Archäologie - column_1: Literatur, Literaturtheorie - column_1: Antike Philosophie - column_1: Patristik - column_1: Antike Sprachen (Koptisch, Syrisch, Ägyptisch …) - column_</t>
        </is>
      </c>
      <c r="AC10" s="2" t="n">
        <v>0</v>
      </c>
      <c r="AD10" s="2" t="n">
        <v>0</v>
      </c>
      <c r="AE10" s="2" t="n">
        <v>0</v>
      </c>
      <c r="AF10" s="2" t="n">
        <v>0</v>
      </c>
      <c r="AG10" s="2" t="n">
        <v>0</v>
      </c>
      <c r="AH10" s="2" t="inlineStr"/>
      <c r="AI10" s="2" t="inlineStr"/>
      <c r="AJ10" s="2" t="inlineStr"/>
      <c r="AK10" s="2" t="inlineStr"/>
      <c r="AL10" s="2" t="inlineStr"/>
      <c r="AM10" s="2" t="inlineStr"/>
      <c r="AN10" s="2" t="inlineStr">
        <is>
          <t>Fill manual_relevant_ranks after reviewing retrieved_sources_ranked, e.g. 1,3,5.</t>
        </is>
      </c>
    </row>
    <row r="11">
      <c r="A11" s="2" t="inlineStr">
        <is>
          <t>2026-05-18T23:56:48</t>
        </is>
      </c>
      <c r="B11" s="2" t="n">
        <v>11</v>
      </c>
      <c r="C11" s="2" t="n">
        <v>10</v>
      </c>
      <c r="D11" s="2" t="inlineStr">
        <is>
          <t>program_overview</t>
        </is>
      </c>
      <c r="E11" s="2" t="inlineStr">
        <is>
          <t>easy</t>
        </is>
      </c>
      <c r="F11" s="2" t="inlineStr">
        <is>
          <t>fr</t>
        </is>
      </c>
      <c r="G11" s="2" t="inlineStr">
        <is>
          <t>Quel est la langue d'enseignement du bachelor en informatique de gestion?</t>
        </is>
      </c>
      <c r="H11" s="2" t="inlineStr">
        <is>
          <t xml:space="preserve">explanation of bilingualism </t>
        </is>
      </c>
      <c r="I11" s="2" t="inlineStr">
        <is>
          <t xml:space="preserve">RAG  </t>
        </is>
      </c>
      <c r="J11" s="2" t="inlineStr"/>
      <c r="K11" s="2" t="inlineStr">
        <is>
          <t>study vectorstore</t>
        </is>
      </c>
      <c r="L11" s="2" t="inlineStr"/>
      <c r="M11" s="2" t="inlineStr"/>
      <c r="N11" s="2" t="n">
        <v>200</v>
      </c>
      <c r="O11" s="2" t="n">
        <v>1</v>
      </c>
      <c r="P11" s="2" t="n">
        <v>16851.97</v>
      </c>
      <c r="Q11" s="2" t="inlineStr"/>
      <c r="R11" s="2" t="n">
        <v>10</v>
      </c>
      <c r="S11" s="2" t="inlineStr"/>
      <c r="T11" s="2" t="inlineStr">
        <is>
          <t>Bachelor_60_0db1ecc33192dca3d59fdf22e534a0faf17d221c.txt; Bachelor_60_0db1ecc33192dca3d59fdf22e534a0faf17d221c.txt; Bachelor_60_0db1ecc33192dca3d59fdf22e534a0faf17d221c.txt; Bachelor_60_0db1ecc33192dca3d59fdf22e534a0faf17d221c.txt; Bachelor_60_0db1ecc33192dca3d59fdf22e534a0faf17d221c.txt; Bachelor_60_de187ddb3891357b61d0665e5a4f0f2bc5bfd0bf.txt; Bachelor_60_de187ddb3891357b61d0665e5a4f0f2bc5bfd0bf.txt; Bachelor_60_de187ddb3891357b61d0665e5a4f0f2bc5bfd0bf.txt; Bachelor_60_de187ddb3891357b61d0665e5a4f0f2bc5bfd0bf.txt; Bachelor_60_de187ddb3891357b61d0665e5a4f0f2bc5bfd0bf.txt</t>
        </is>
      </c>
      <c r="U11" s="2" t="inlineStr">
        <is>
          <t>studyplans; studyplans; studyplans; studyplans; studyplans; studyplans; studyplans; studyplans; studyplans; studyplans</t>
        </is>
      </c>
      <c r="V11" s="2" t="inlineStr">
        <is>
          <t>1; 1; 1; 1; 1; 1; 1; 1; 1; 1</t>
        </is>
      </c>
      <c r="W11" s="2" t="inlineStr">
        <is>
          <t>1. [studyplans] Bachelor_60_0db1ecc33192dca3d59fdf22e534a0faf17d221c.txt p.1 - Section: STRUCTURE CONSEILLÉE DES ÉTUDES Table rows: - Semestres 1 - 6: 1 (SA); Semestres 1 - 6: 2 (SP); Semestres 1 - 6: 3 (SA); Semestres 1 - 6: 4 (SP); Semestres 1 - 6: 5 (SA); Semestres 1 - 6: 6 (SP) - column_1: 1 Pr
2. [studyplans] Bachelor_60_0db1ecc33192dca3d59fdf22e534a0faf17d221c.txt p.1 - FLE (plan d'études DEDS A); Semestres 1 - 6: 1 séminaire « Interculturel » 1 séminaire « Littérature » 1 séminaire à choisir dans le programme FLE (plan d'études DEDS A); Semestres 1 - 6: 1 séminaire « Interculturel » 1 
3. [studyplans] Bachelor_60_0db1ecc33192dca3d59fdf22e534a0faf17d221c.txt p.1 - /natives | Langue débutant | Tandem | | | | | | 2 Linguistique | | 2, 3 ou 4 séminaires (selon plan d'études) Cours | 2, 3 ou 4 séminaires (selon plan d'études) Cours | 2, 3 ou 4 séminaires (selon plan d'études) Cours | 
4. [studyplans] Bachelor_60_0db1ecc33192dca3d59fdf22e534a0faf17d221c.txt p.1 - Section: SEMESTRE D'AUTOMNE (SA) Table rows: - column_1: 8-10; Mardi: Interculturel : Séminaire; Mercredi: Langue : écrit B2 (non natifs/ves); Jeudi: Didactique : Séminaire - column_1: 10-12; Mardi: Linguistique : Sémina
5. [studyplans] Bachelor_60_0db1ecc33192dca3d59fdf22e534a0faf17d221c.txt p.1 - Section: SEMESTRE DE PRINTEMPS (SP) Table rows: - column_1: 8-10; Mercredi: Langue : écrit C1 (non natifs/ves) - column_1: 10-12; Mercredi: Langue : oral B2- C1 (non natifs/ves); Jeudi: Didactique : Séminaire; Vendredi: 
6. [studyplans] Bachelor_60_de187ddb3891357b61d0665e5a4f0f2bc5bfd0bf.txt p.1 - Section: Studienjahr 2025/2026 Table rows: - WILLKOMMEN IM DAF-STUDIUM!: ERSTE SCHRITTE; 4: 5 - WILLKOMMEN IM DAF-STUDIUM!: Sich informieren; 4: 5 - WILLKOMMEN IM DAF-STUDIUM!: Veranstaltungen vor Semesterbeginn; 4: 5 - 
7. [studyplans] Bachelor_60_de187ddb3891357b61d0665e5a4f0f2bc5bfd0bf.txt p.1 - : ORGANISATION IHRES STUDIUMS IM BA DaF [60]; 4: 12 - WILLKOMMEN IM DAF-STUDIUM!: Empfohlener Studienaufbau über 3 Jahre bei Beginn im HS25; 4: 12 - WILLKOMMEN IM DAF-STUDIUM!: Empfohlener Studienaufbau bei Beginn im FS2
8. [studyplans] Bachelor_60_de187ddb3891357b61d0665e5a4f0f2bc5bfd0bf.txt p.1 - ON IHRES STUDIUMS IM BA DaF [60] | 12 | | Empfohlener Studienaufbau über 3 Jahre bei Beginn im HS25 | 12 | | Empfohlener Studienaufbau bei Beginn im FS26 | 13 | | Empfohlener Studienaufbau über 2 Jahre, Beginn HS25 | 14 
9. [studyplans] Bachelor_60_de187ddb3891357b61d0665e5a4f0f2bc5bfd0bf.txt p.1 - Section: Studienjahr 2025/2026 Table rows: - ÜBERSICHTEN BA DaF [60] ab HS 2025: Was ist wann bei wem im Angebot? Eine praktische Hilfe zur inhaltlichen und zeitlichen Planung des DaF-Studiums; 18: 18 - ÜBERSICHTEN BA Da
10. [studyplans] Bachelor_60_de187ddb3891357b61d0665e5a4f0f2bc5bfd0bf.txt p.1 - Section: ORGANISATION IHRES STUDIUMS IM BA DaF [60] &gt; Modul 4: Table rows: - 1.Sem.: 2.Sem.; HS 25: FS 26; M1: M1; M2: M2; M3 incl. VL: M3 - 1.Sem.: 3.Sem.; HS 25: HS 26; M1: M1; M2: M2 incl. VL; M3 incl. VL: M3 - 1.Sem.</t>
        </is>
      </c>
      <c r="X11" s="2" t="inlineStr">
        <is>
          <t>[{"source": null, "page": 1, "snippet": "Section: STRUCTURE CONSEILLÉE DES ÉTUDES\n\nTable rows:\n- Semestres 1 - 6: 1 (SA); Semestres 1 - 6: 2 (SP); Semestres 1 - 6: 3 (SA); Semestres 1 - 6: 4 (SP); Semestres 1 - 6: 5 (SA); Semestres 1 - 6: 6 (SP)\n- column_1: 1 Pratique Langue A Non natifs/natives; Semestres 1 - 6: Ecrit B2 Grammaire B2-C1; Semestres 1 - 6: Ecrit C1 Oral B2- C1; Semestres 1 - 6: Stage linguistique Peut être effectué à l'inter-semestre; Semestres 1 - 6: Stage linguistique Peut être effectué à l'inter-semestre\n- column_1: ",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"0db1ecc33192dca3d59fdf22e534a0faf17d221c::semantic_table::chunk::0008", "chunk_type": "table", "section": "STRUCTURE CONSEILLÉE DES ÉTUDES", "page_start": 1, "page_end": 1, "chunk_pages": [1], "contains_table": true, "block_kinds": ["table"], "prev_chunk_id": "0db1ecc33192dca3d59fdf22e534a0faf17d221c::semantic_table::chunk::0007", "next_chunk_id": "0db1ecc33192dca3d59fdf22e534a0faf17d221c::semantic_table::chunk::0009", "rag_source": "studyplans", "category": "studyplans", "retrieval_debug":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"query": "Quel est la langue d'enseignement du bachelor en informatique de gestion?", "query_language": "fr"}], "returned_count": 10}}, {"source": null, "page": 1, "snippet": "FLE (plan d'études DEDS A); Semestres 1 - 6: 1 séminaire « Interculturel » 1 séminaire « Littérature » 1 séminaire à choisir dans le programme FLE (plan d'études DEDS A); Semestres 1 - 6: 1 séminaire « Interculturel » 1 séminaire « Littérature » 1 séminaire à choisir dans le programme FLE (plan d'études DEDS A)\n- column_1: Travaux de séminaire; Semestres 1 - 6: 1 ou 2 travaux (selon plan d'études); Semestres 1 - 6: 1 ou 2 travaux (selon plan d'études); Semestres 1 - 6: 1 ou 2 travaux (selon plan",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"0db1ecc33192dca3d59fdf22e534a0faf17d221c::semantic_table::chunk::0009", "chunk_type": "table", "section": "STRUCTURE CONSEILLÉE DES ÉTUDES", "page_start": 1, "page_end": 1, "chunk_pages": [1], "contains_table": true, "block_kinds": ["table"], "prev_chunk_id": "0db1ecc33192dca3d59fdf22e534a0faf17d221c::semantic_table::chunk::0008", "next_chunk_id": "0db1ecc33192dca3d59fdf22e534a0faf17d221c::semantic_table::chunk::0010", "rag_source": "studyplans", "category": "studyplans", "retrieval_debug":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"query": "Quel est la langue d'enseignement du bachelor en informatique de gestion?", "query_language": "fr"}], "returned_count": 10}}, {"source": null, "page": 1, "snippet": "/natives | Langue débutant | Tandem | | | | |\n| 2 Linguistique | | 2, 3 ou 4 séminaires (selon plan d'études) Cours | 2, 3 ou 4 séminaires (selon plan d'études) Cours | 2, 3 ou 4 séminaires (selon plan d'études) Cours | 2, 3 ou 4 séminaires (selon plan d'études) Cours | 2, 3 ou 4 séminaires (selon plan d'études) Cours |\n| 3 Didactique | Cours | 3 ou 4 séminaires (selon plan d'études) | 3 ou 4 séminaires (selon plan d'études) | 3 ou 4 séminaires (selon plan d'études) | 3 ou 4 séminaires (selon pl",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"0db1ecc33192dca3d59fdf22e534a0faf17d221c::semantic_table::chunk::0010", "chunk_type": "table", "section": "STRUCTURE CONSEILLÉE DES ÉTUDES", "page_start": 1, "page_end": 1, "chunk_pages": [1], "contains_table": true, "block_kinds": ["table"], "prev_chunk_id": "0db1ecc33192dca3d59fdf22e534a0faf17d221c::semantic_table::chunk::0009", "next_chunk_id": "0db1ecc33192dca3d59fdf22e534a0faf17d221c::semantic_table::chunk::0011", "rag_source": "studyplans", "category": "studyplans", "retrieval_debug":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"query": "Quel est la langue d'enseignement du bachelor en informatique de gestion?", "query_language": "fr"}], "returned_count": 10}}, {"source": null, "page": 1, "snippet": "Section: SEMESTRE D'AUTOMNE (SA)\n\nTable rows:\n- column_1: 8-10; Mardi: Interculturel : Séminaire; Mercredi: Langue : écrit B2 (non natifs/ves); Jeudi: Didactique : Séminaire\n- column_1: 10-12; Mardi: Linguistique : Séminaire; Mercredi: Langue : grammaire B2-C1 (non natifs/ves); Jeudi: Didactique : Séminaire\n- column_1: 13-15; Mardi: Linguistique : Séminaire; Mercredi: Linguistique : Séminaire; Vendredi: Interculturel : Séminaire\n- column_1: 15-17; Mardi: Didactique : Séminaire; Mercredi: Linguis",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"0db1ecc33192dca3d59fdf22e534a0faf17d221c::semantic_table::chunk::0014", "chunk_type": "table", "section": "SEMESTRE D'AUTOMNE (SA)", "page_start": 1, "page_end": 1, "chunk_pages": [1], "contains_table": true, "block_kinds": ["table"], "prev_chunk_id": "0db1ecc33192dca3d59fdf22e534a0faf17d221c::semantic_table::chunk::0013", "next_chunk_id": "0db1ecc33192dca3d59fdf22e534a0faf17d221c::semantic_table::chunk::0015", "rag_source": "studyplans", "category": "studyplans", "retrieval_debug":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"query": "Quel est la langue d'enseignement du bachelor en informatique de gestion?", "query_language": "fr"}], "returned_count": 10}}, {"source": null, "page": 1, "snippet": "Section: SEMESTRE DE PRINTEMPS (SP)\n\nTable rows:\n- column_1: 8-10; Mercredi: Langue : écrit C1 (non natifs/ves)\n- column_1: 10-12; Mercredi: Langue : oral B2- C1 (non natifs/ves); Jeudi: Didactique : Séminaire; Vendredi: Didactique : Séminaire\n- column_1: 13-15; Mardi: Interculturel / Littérature : Séminaire; Mercredi: Didactique : Séminaire; Jeudi: Linguistique : Séminaire; Vendredi: Interculturel : Cours\n- column_1: 15-17\n- column_1: 17-19; Mardi: Linguistique : Cours; Mercredi: Accompagnement",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"0db1ecc33192dca3d59fdf22e534a0faf17d221c::semantic_table::chunk::0016", "chunk_type": "table", "section": "SEMESTRE DE PRINTEMPS (SP)", "page_start": 1, "page_end": 1, "chunk_pages": [1], "contains_table": true, "block_kinds": ["table"], "prev_chunk_id": "0db1ecc33192dca3d59fdf22e534a0faf17d221c::semantic_table::chunk::0015", "next_chunk_id": "0db1ecc33192dca3d59fdf22e534a0faf17d221c::semantic_table::chunk::0017", "rag_source": "studyplans", "category": "studyplans", "retrieval_debug":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"query": "Quel est la langue d'enseignement du bachelor en informatique de gestion?", "query_language": "fr"}], "returned_count": 10}}, {"source": null, "page": 1, "snippet": "Section: Studienjahr 2025/2026\n\nTable rows:\n- WILLKOMMEN IM DAF-STUDIUM!: ERSTE SCHRITTE; 4: 5\n- WILLKOMMEN IM DAF-STUDIUM!: Sich informieren; 4: 5\n- WILLKOMMEN IM DAF-STUDIUM!: Veranstaltungen vor Semesterbeginn; 4: 5\n- WILLKOMMEN IM DAF-STUDIUM!: Informationsmaterial; 4: 5\n- WILLKOMMEN IM DAF-STUDIUM!: Ansprechpersonen; 4: 5\n- WILLKOMMEN IM DAF-STUDIUM!: Studium planen; 4: 5\n- WILLKOMMEN IM DAF-STUDIUM!: Vorlesungszeiten und vorlesungsfreie Tage; 4: 6\n- WILLKOMMEN IM DAF-STUDIUM!: Studienberat",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"de187ddb3891357b61d0665e5a4f0f2bc5bfd0bf::semantic_table::chunk::0002", "chunk_type": "table", "section": "Studienjahr 2025/2026", "page_start": 1, "page_end": 1, "chunk_pages": [1], "contains_table": true, "block_kinds": ["table"], "prev_chunk_id": "de187ddb3891357b61d0665e5a4f0f2bc5bfd0bf::semantic_table::chunk::0001", "next_chunk_id": "de187ddb3891357b61d0665e5a4f0f2bc5bfd0bf::semantic_table::chunk::0003", "rag_source": "studyplans", "category": "studyplans", "retrieval_debug":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"query": "Quel est la langue d'enseignement du bachelor en informatique de gestion?", "query_language": "fr"}], "returned_count": 10}}, {"source": null, "page": 1, "snippet": ": ORGANISATION IHRES STUDIUMS IM BA DaF [60]; 4: 12\n- WILLKOMMEN IM DAF-STUDIUM!: Empfohlener Studienaufbau über 3 Jahre bei Beginn im HS25; 4: 12\n- WILLKOMMEN IM DAF-STUDIUM!: Empfohlener Studienaufbau bei Beginn im FS26; 4: 13\n- WILLKOMMEN IM DAF-STUDIUM!: Empfohlener Studienaufbau über 2 Jahre, Beginn HS25; 4: 14\n- WILLKOMMEN IM DAF-STUDIUM!: SCHRIFTLICHE ARBEIT (SEMINARARBEIT) IM BA DAF (60); 4: 15\n- WILLKOMMEN IM DAF-STUDIUM!: Inhalte und Ziele der Seminararbeit; 4: 15\n- WILLKOMMEN IM DAF-S",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"de187ddb3891357b61d0665e5a4f0f2bc5bfd0bf::semantic_table::chunk::0003", "chunk_type": "table", "section": "Studienjahr 2025/2026", "page_start": 1, "page_end": 1, "chunk_pages": [1], "contains_table": true, "block_kinds": ["table"], "prev_chunk_id": "de187ddb3891357b61d0665e5a4f0f2bc5bfd0bf::semantic_table::chunk::0002", "next_chunk_id": "de187ddb3891357b61d0665e5a4f0f2bc5bfd0bf::semantic_table::chunk::0004", "rag_source": "studyplans", "category": "studyplans", "retrieval_debug":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"query": "Quel est la langue d'enseignement du bachelor en informatique de gestion?", "query_language": "fr"}], "returned_count": 10}}, {"source": null, "page": 1, "snippet": "ON IHRES STUDIUMS IM BA DaF [60] | 12 |\n| Empfohlener Studienaufbau über 3 Jahre bei Beginn im HS25 | 12 |\n| Empfohlener Studienaufbau bei Beginn im FS26 | 13 |\n| Empfohlener Studienaufbau über 2 Jahre, Beginn HS25 | 14 |\n| SCHRIFTLICHE ARBEIT (SEMINARARBEIT) IM BA DAF (60) | 15 |\n| Inhalte und Ziele der Seminararbeit | 15 |\n| Informationen zur Seminararbeit | 15 |",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"de187ddb3891357b61d0665e5a4f0f2bc5bfd0bf::semantic_table::chunk::0004", "chunk_type": "table", "section": "Studienjahr 2025/2026", "page_start": 1, "page_end": 1, "chunk_pages": [1], "contains_table": true, "block_kinds": ["table"], "prev_chunk_id": "de187ddb3891357b61d0665e5a4f0f2bc5bfd0bf::semantic_table::chunk::0003", "next_chunk_id": "de187ddb3891357b61d0665e5a4f0f2bc5bfd0bf::semantic_table::chunk::0005", "rag_source": "studyplans", "category": "studyplans", "retrieval_debug":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"query": "Quel est la langue d'enseignement du bachelor en informatique de gestion?", "query_language": "fr"}], "returned_count": 10}}, {"source": null, "page": 1, "snippet": "Section: Studienjahr 2025/2026\n\nTable rows:\n- ÜBERSICHTEN BA DaF [60] ab HS 2025: Was ist wann bei wem im Angebot? Eine praktische Hilfe zur inhaltlichen und zeitlichen Planung des DaF-Studiums; 18: 18\n- ÜBERSICHTEN BA DaF [60] ab HS 2025: Wochenplanung Herbstsemester 2025; 18: 20\n- ÜBERSICHTEN BA DaF [60] ab HS 2025: Wochenplanung Frühjahrssemester 2026; 18: 20\n\nRaw table:\n| ÜBERSICHTEN BA DaF [60] ab HS 2025 | 18 |\n|------------------------------------------------------------------------------",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"de187ddb3891357b61d0665e5a4f0f2bc5bfd0bf::semantic_table::chunk::0006", "chunk_type": "table", "section": "Studienjahr 2025/2026", "page_start": 1, "page_end": 1, "chunk_pages": [1], "contains_table": true, "block_kinds": ["table"], "prev_chunk_id": "de187ddb3891357b61d0665e5a4f0f2bc5bfd0bf::semantic_table::chunk::0005", "next_chunk_id": "de187ddb3891357b61d0665e5a4f0f2bc5bfd0bf::semantic_table::chunk::0007", "rag_source": "studyplans", "category": "studyplans", "retrieval_debug":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"query": "Quel est la langue d'enseignement du bachelor en informatique de gestion?", "query_language": "fr"}], "returned_count": 10}}, {"source": null, "page": 1, "snippet": "Section: ORGANISATION IHRES STUDIUMS IM BA DaF [60] &gt; Modul 4:\n\nTable rows:\n- 1.Sem.: 2.Sem.; HS 25: FS 26; M1: M1; M2: M2; M3 incl. VL: M3\n- 1.Sem.: 3.Sem.; HS 25: HS 26; M1: M1; M2: M2 incl. VL; M3 incl. VL: M3\n- 1.Sem.: 4.Sem.; HS 25: FS 27; M1: M1; M2: M2; M3 incl. VL: M3; column_6: M4\n- 1.Sem.: 5.Sem.; HS 25: HS 27; M3 incl. VL: M3; column_6: M4\n- 1.Sem.: 6.Sem.; HS 25: FS 28; M3 incl. VL: M3; column_6: M4\n\nRaw table:\n| 1.Sem. | HS 25 | M1 | M2 | M3 incl. VL | |\n|----------|---------|------",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"de187ddb3891357b61d0665e5a4f0f2bc5bfd0bf::semantic_table::chunk::0040", "chunk_type": "table", "section": "ORGANISATION IHRES STUDIUMS IM BA DaF [60] &gt; Modul 4:", "page_start": 1, "page_end": 1, "chunk_pages": [1], "contains_table": true, "block_kinds": ["table"], "prev_chunk_id": "de187ddb3891357b61d0665e5a4f0f2bc5bfd0bf::semantic_table::chunk::0039", "next_chunk_id": "de187ddb3891357b61d0665e5a4f0f2bc5bfd0bf::semantic_table::chunk::0041", "rag_source": "studyplans", "category": "studyplans", "retrieval_debug":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"studyplans", "returned_count": 10, "returned_programs": ["German as a Foreign Language"], "query": "Quel est la langue d'enseignement du bachelor en informatique de gestion?", "query_language": "fr"}], "returned_count": 10}}]</t>
        </is>
      </c>
      <c r="Y11" s="2" t="inlineStr">
        <is>
          <t>Bachelor_60_0db1ecc33192dca3d59fdf22e534a0faf17d221c.txt</t>
        </is>
      </c>
      <c r="Z11" s="2" t="inlineStr">
        <is>
          <t>studyplans</t>
        </is>
      </c>
      <c r="AA11" s="2" t="n">
        <v>1</v>
      </c>
      <c r="AB11" s="2" t="inlineStr">
        <is>
          <t xml:space="preserve">Section: STRUCTURE CONSEILLÉE DES ÉTUDES Table rows: - Semestres 1 - 6: 1 (SA); Semestres 1 - 6: 2 (SP); Semestres 1 - 6: 3 (SA); Semestres 1 - 6: 4 (SP); Semestres 1 - 6: 5 (SA); Semestres 1 - 6: 6 (SP) - column_1: 1 Pratique Langue A Non natifs/natives; Semestres 1 - 6: Ecrit B2 Grammaire B2-C1; Semestres 1 - 6: Ecrit C1 Oral B2- C1; Semestres 1 </t>
        </is>
      </c>
      <c r="AC11" s="2" t="n">
        <v>0</v>
      </c>
      <c r="AD11" s="2" t="n">
        <v>0</v>
      </c>
      <c r="AE11" s="2" t="n">
        <v>0</v>
      </c>
      <c r="AF11" s="2" t="n">
        <v>0</v>
      </c>
      <c r="AG11" s="2" t="n">
        <v>0</v>
      </c>
      <c r="AH11" s="2" t="inlineStr"/>
      <c r="AI11" s="2" t="inlineStr"/>
      <c r="AJ11" s="2" t="inlineStr"/>
      <c r="AK11" s="2" t="inlineStr"/>
      <c r="AL11" s="2" t="inlineStr"/>
      <c r="AM11" s="2" t="inlineStr"/>
      <c r="AN11" s="2" t="inlineStr">
        <is>
          <t>Fill manual_relevant_ranks after reviewing retrieved_sources_ranked, e.g. 1,3,5.</t>
        </is>
      </c>
    </row>
    <row r="12">
      <c r="A12" s="2" t="inlineStr">
        <is>
          <t>2026-05-18T23:56:48</t>
        </is>
      </c>
      <c r="B12" s="2" t="n">
        <v>12</v>
      </c>
      <c r="C12" s="2" t="n">
        <v>11</v>
      </c>
      <c r="D12" s="2" t="inlineStr">
        <is>
          <t>reglementation</t>
        </is>
      </c>
      <c r="E12" s="2" t="inlineStr">
        <is>
          <t>easy</t>
        </is>
      </c>
      <c r="F12" s="2" t="inlineStr">
        <is>
          <t>en</t>
        </is>
      </c>
      <c r="G12" s="2" t="inlineStr">
        <is>
          <t>What does the reglementation say about quality assurance at the university of friburg?</t>
        </is>
      </c>
      <c r="H12" s="2" t="inlineStr">
        <is>
          <t>summary of https://webapps.unifr.ch/legal/de/110.000</t>
        </is>
      </c>
      <c r="I12" s="2" t="inlineStr">
        <is>
          <t>RAG</t>
        </is>
      </c>
      <c r="J12" s="2" t="inlineStr"/>
      <c r="K12" s="2" t="inlineStr">
        <is>
          <t>regl vectorstore</t>
        </is>
      </c>
      <c r="L12" s="2" t="inlineStr"/>
      <c r="M12" s="2" t="inlineStr">
        <is>
          <t>reglementations</t>
        </is>
      </c>
      <c r="N12" s="2" t="n">
        <v>200</v>
      </c>
      <c r="O12" s="2" t="n">
        <v>1</v>
      </c>
      <c r="P12" s="2" t="n">
        <v>17771.55</v>
      </c>
      <c r="Q12" s="2" t="inlineStr"/>
      <c r="R12" s="2" t="n">
        <v>10</v>
      </c>
      <c r="S12" s="2" t="inlineStr"/>
      <c r="T12" s="2" t="inlineStr">
        <is>
          <t>Bachelor_60_1d036b4e5f656b65bcfa7a6121fb5095582bb706.txt; Bachelor_60_1d036b4e5f656b65bcfa7a6121fb5095582bb706.txt; Bachelor_60_474591eeaefa6c5efdc21f30ddab4db20843f774.txt; Bachelor_60_474591eeaefa6c5efdc21f30ddab4db20843f774.txt; Bachelor_60_474591eeaefa6c5efdc21f30ddab4db20843f774.txt; Bachelor_60_474591eeaefa6c5efdc21f30ddab4db20843f774.txt; Bachelor_60_474591eeaefa6c5efdc21f30ddab4db20843f774.txt; Bachelor_60_474591eeaefa6c5efdc21f30ddab4db20843f774.txt; Bachelor_60_474591eeaefa6c5efdc21f30ddab4db20843f774.txt; Bachelor_60_474591eeaefa6c5efdc21f30ddab4db20843f774.txt</t>
        </is>
      </c>
      <c r="U12" s="2" t="inlineStr">
        <is>
          <t>studyplans; studyplans; studyplans; studyplans; studyplans; studyplans; studyplans; studyplans; studyplans; studyplans</t>
        </is>
      </c>
      <c r="V12" s="2" t="inlineStr">
        <is>
          <t>1; 1; 1; 1; 1; 1; 1; 1; 1; 1</t>
        </is>
      </c>
      <c r="W12" s="2" t="inlineStr">
        <is>
          <t>1. [studyplans] Bachelor_60_1d036b4e5f656b65bcfa7a6121fb5095582bb706.txt p.1 - Section: TABLE OF CONTENTS Table rows: - PREFACE: CONDITIONSANDMEASURESTO FACILITATE DOCTORAL JOURNEY; 3: 4 - PREFACE: INDIVIDUAL CHARACTERISTICS AND CONTEXTUAL FACTORS; 3: 5 - PREFACE: Individual characteristics; 3: 5 -
2. [studyplans] Bachelor_60_1d036b4e5f656b65bcfa7a6121fb5095582bb706.txt p.1 - ocuments; 3: 22 - PREFACE: Tools; 3: 23 - PREFACE: NOTES; 3: 24 Raw table: | PREFACE | 3 | |--------------------------------------------------------------|-----| | CONDITIONSANDMEASURESTO FACILITATE DOCTORAL JOURNEY | 4 
3. [studyplans] Bachelor_60_474591eeaefa6c5efdc21f30ddab4db20843f774.txt p.1 - Section: Abgabe - Archivierung - Veröffentlichung der wissenschaftlichen Abschlussarbeiten Table rows: - Bachelor: Abgabe; column_2: 1 PDF über MyUnifr 1 ; 3 gebundene Exemplare in Papierform an das Dekanat (davon je 1 E
4. [studyplans] Bachelor_60_474591eeaefa6c5efdc21f30ddab4db20843f774.txt p.1 - Section: Abgabe - Archivierung - Veröffentlichung der wissenschaftlichen Abschlussarbeiten Table rows: - Master, Diplom, Kan. Lizentiat: Abgabe; column_2: 1 PDF über MyUnifr 1 ; 3 gebundene Exemplare in Papierform an das
5. [studyplans] Bachelor_60_474591eeaefa6c5efdc21f30ddab4db20843f774.txt p.1 - Section: Abgabe - Archivierung - Veröffentlichung der wissenschaftlichen Abschlussarbeiten Table rows: - Doktorat: Abgabe; column_2: 1 PDF über MyUnifr 1 ; 5 gebundene (oder broschierte) Exemplare an das Dekanat (vgl. Re
6. [studyplans] Bachelor_60_474591eeaefa6c5efdc21f30ddab4db20843f774.txt p.1 - ----------------------------------------------------------------------------------------------------------------------------------------------------------------------------------------------------------------------------
7. [studyplans] Bachelor_60_474591eeaefa6c5efdc21f30ddab4db20843f774.txt p.1 - Section: Abgabe - Archivierung - Veröffentlichung der wissenschaftlichen Abschlussarbeiten &gt; 2 Gemäss Fakultätsbeschluss vom 11.12.2018 Table rows: - Habilitation: Abgabe; column_2: 1 elektronisches Dokument PDF 1 ; 4 ge
8. [studyplans] Bachelor_60_474591eeaefa6c5efdc21f30ddab4db20843f774.txt p.1 - ichtexemplare 3 | a) bei Veröffentlichung über einen Verlag : 8 Ex des gedruckten Buches an die Kantons- und Universitätsbibliothek https://www3.unifr.ch/biblio/de/ (davon sind: 3 Ex. für die Mitglieder der Jury, 1 Ex. f
9. [studyplans] Bachelor_60_474591eeaefa6c5efdc21f30ddab4db20843f774.txt p.1 - Section: Abgabe - Archivierung - Veröffentlichung der wissenschaftlichen Abschlussarbeiten &gt; 2 Gemäss Fakultätsbeschluss vom 11.12.2018 | Einband | Grundsätzlich gilt: Die zur Archivierung bestimmten Exemplare dürfen kei
10. [studyplans] Bachelor_60_474591eeaefa6c5efdc21f30ddab4db20843f774.txt p.1 - Section: Ehrenwörtliche Erklärung Table rows: - Prüfungs- und Diplomgebühren 4: Prüfungs- und Diplomgebühren 4; fällig bei der Abgabe der schriftlichen Arbeit, per Banküberweisung zu bezahlen (direkt über MyUnifr): Vollp</t>
        </is>
      </c>
      <c r="X12" s="2" t="inlineStr">
        <is>
          <t>[{"source": null, "page": 1, "snippet": "Section: TABLE OF CONTENTS\n\nTable rows:\n- PREFACE: CONDITIONSANDMEASURESTO FACILITATE DOCTORAL JOURNEY; 3: 4\n- PREFACE: INDIVIDUAL CHARACTERISTICS AND CONTEXTUAL FACTORS; 3: 5\n- PREFACE: Individual characteristics; 3: 5\n- PREFACE: Organizational context; 3: 6\n- PREFACE: Socio-professional environment; 3: 6\n- PREFACE: Personal circle; 3: 7\n- PREFACE: Variable configurations; 3: 7\n- PREFACE: ACTING AND INTERACTING IN SITU; 3: 8\n- PREFACE: Progressing by managing instability; 3: 8\n- PREFACE: Having", "metadata": {"parsed_at": "2026-04-10T17:34:31.316Z", "pages": 1, "parser": "docling", "doc_key": "1d036b4e5f656b65bcfa7a6121fb5095582bb706", "degree_level": "Bachelor", "total_ects": 60, "program_name": "Theology", "doc_label": "Concrete avenues for doctoral students and those supervising them", "source_url": "https://www.unifr.ch/theo/fr/assets/public/doc%2520etudes/Booklet_ConditionsPhD_2020.pdf", "source_type": "pdf", "curriculum_url": "http://studies.unifr.ch/go/llH5R", "fetched_at": "2026-04-03T11:31:55.476Z", "source_file": "Bachelor_60_1d036b4e5f656b65bcfa7a6121fb5095582bb706.txt", "index_variant": "table_semantic_v1", "chunk_id": "1d036b4e5f656b65bcfa7a6121fb5095582bb706::semantic_table::chunk::0002", "chunk_type": "table", "section": "TABLE OF CONTENTS", "page_start": 1, "page_end": 1, "chunk_pages": [1], "contains_table": true, "block_kinds": ["table"], "prev_chunk_id": "1d036b4e5f656b65bcfa7a6121fb5095582bb706::semantic_table::chunk::0001", "next_chunk_id": "1d036b4e5f656b65bcfa7a6121fb5095582bb706::semantic_table::chunk::0003", "rag_source": "studyplans", "category": "studyplans", "retrieval_debug":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"retrieval_debug":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"query": "What does the reglementation say about quality assurance at the university of friburg?", "query_language": "en"}], "returned_count": 10}}, {"source": null, "page": 1, "snippet": "ocuments; 3: 22\n- PREFACE: Tools; 3: 23\n- PREFACE: NOTES; 3: 24\n\nRaw table:\n| PREFACE | 3 |\n|--------------------------------------------------------------|-----|\n| CONDITIONSANDMEASURESTO FACILITATE DOCTORAL JOURNEY | 4 |\n| INDIVIDUAL CHARACTERISTICS AND CONTEXTUAL FACTORS | 5 |\n| Individual characteristics | 5 |\n| Organizational context | 6 |\n| Socio-professional environment | 6 |\n| Personal circle | 7 |\n| Variable configurations | 7 |\n| ACTING AND INTERACTING IN SITU | 8 |\n| Progressing by ma", "metadata": {"parsed_at": "2026-04-10T17:34:31.316Z", "pages": 1, "parser": "docling", "doc_key": "1d036b4e5f656b65bcfa7a6121fb5095582bb706", "degree_level": "Bachelor", "total_ects": 60, "program_name": "Theology", "doc_label": "Concrete avenues for doctoral students and those supervising them", "source_url": "https://www.unifr.ch/theo/fr/assets/public/doc%2520etudes/Booklet_ConditionsPhD_2020.pdf", "source_type": "pdf", "curriculum_url": "http://studies.unifr.ch/go/llH5R", "fetched_at": "2026-04-03T11:31:55.476Z", "source_file": "Bachelor_60_1d036b4e5f656b65bcfa7a6121fb5095582bb706.txt", "index_variant": "table_semantic_v1", "chunk_id": "1d036b4e5f656b65bcfa7a6121fb5095582bb706::semantic_table::chunk::0003", "chunk_type": "table", "section": "TABLE OF CONTENTS", "page_start": 1, "page_end": 1, "chunk_pages": [1], "contains_table": true, "block_kinds": ["table"], "prev_chunk_id": "1d036b4e5f656b65bcfa7a6121fb5095582bb706::semantic_table::chunk::0002", "next_chunk_id": "1d036b4e5f656b65bcfa7a6121fb5095582bb706::semantic_table::chunk::0004", "rag_source": "studyplans", "category": "studyplans", "retrieval_debug":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"retrieval_debug":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"query": "What does the reglementation say about quality assurance at the university of friburg?", "query_language": "en"}], "returned_count": 10}}, {"source": null, "page": 1, "snippet": "Section: Abgabe - Archivierung - Veröffentlichung der wissenschaftlichen Abschlussarbeiten\n\nTable rows:\n- Bachelor: Abgabe; column_2: 1 PDF über MyUnifr 1 ; 3 gebundene Exemplare in Papierform an das Dekanat (davon je 1 Ex. für die zwei Zensoren); keine Spiralbindung\n- Bachelor: Archivierung; column_2: 1 Exemplar im Archiv der Fakultät\n\nRaw table:\n| Bachelor | |\n|--------------|-----------------------------------------------------------------------------------------------------------------------",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"474591eeaefa6c5efdc21f30ddab4db20843f774::semantic_table::chunk::0001", "chunk_type": "table", "section": "Abgabe - Archivierung - Veröffentlichung der wissenschaftlichen Abschlussarbeiten", "page_start": 1, "page_end": 1, "chunk_pages": [1], "contains_table": true, "block_kinds": ["table"], "prev_chunk_id": null, "next_chunk_id": "474591eeaefa6c5efdc21f30ddab4db20843f774::semantic_table::chunk::0002", "rag_source": "studyplans", "category": "studyplans", "retrieval_debug":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"retrieval_debug":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"query": "What does the reglementation say about quality assurance at the university of friburg?", "query_language": "en"}], "returned_count": 10}}, {"source": null, "page": 1, "snippet": "Section: Abgabe - Archivierung - Veröffentlichung der wissenschaftlichen Abschlussarbeiten\n\nTable rows:\n- Master, Diplom, Kan. Lizentiat: Abgabe; column_2: 1 PDF über MyUnifr 1 ; 3 gebundene Exemplare in Papierform an das Dekanat (davon je 1 Ex. für die zwei Zensoren); keine Spiralbindung\n- Master, Diplom, Kan. Lizentiat: Archivierung; column_2: 1 Exemplar in der Kantons- und Universitätsbibliothek (KUB)\n- Master, Diplom, Kan. Lizentiat: Veröffentlichung; column_2: Wenn die Arbeit mit der Mindes",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"474591eeaefa6c5efdc21f30ddab4db20843f774::semantic_table::chunk::0002", "chunk_type": "table", "section": "Abgabe - Archivierung - Veröffentlichung der wissenschaftlichen Abschlussarbeiten", "page_start": 1, "page_end": 1, "chunk_pages": [1], "contains_table": true, "block_kinds": ["table"], "prev_chunk_id": "474591eeaefa6c5efdc21f30ddab4db20843f774::semantic_table::chunk::0001", "next_chunk_id": "474591eeaefa6c5efdc21f30ddab4db20843f774::semantic_table::chunk::0003", "rag_source": "studyplans", "category": "studyplans", "retrieval_debug":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"retrieval_debug":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"query": "What does the reglementation say about quality assurance at the university of friburg?", "query_language": "en"}], "returned_count": 10}}, {"source": null, "page": 1, "snippet": "Section: Abgabe - Archivierung - Veröffentlichung der wissenschaftlichen Abschlussarbeiten\n\nTable rows:\n- Doktorat: Abgabe; column_2: 1 PDF über MyUnifr 1 ; 5 gebundene (oder broschierte) Exemplare an das Dekanat (vgl. Reglement vom 17.12.1996), recto-verso gedruckt; keine Spiralbindung\n- Doktorat: Umfang; column_2: 200-300 Seiten mit 2'500 Zeichen/Seite; d.h. insges. 500'000-750'000 Zeichen (ohne Leerschläge)\n- Doktorat: Veröffentlichung; column_2: als gedrucktes Buch oder durch rero-doc oder i",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"474591eeaefa6c5efdc21f30ddab4db20843f774::semantic_table::chunk::0003", "chunk_type": "table", "section": "Abgabe - Archivierung - Veröffentlichung der wissenschaftlichen Abschlussarbeiten", "page_start": 1, "page_end": 1, "chunk_pages": [1], "contains_table": true, "block_kinds": ["table"], "prev_chunk_id": "474591eeaefa6c5efdc21f30ddab4db20843f774::semantic_table::chunk::0002", "next_chunk_id": "474591eeaefa6c5efdc21f30ddab4db20843f774::semantic_table::chunk::0004", "rag_source": "studyplans", "category": "studyplans", "retrieval_debug":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"retrieval_debug":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"query": "What does the reglementation say about quality assurance at the university of friburg?", "query_language": "en"}], "returned_count": 10}}, {"source": null, "page": 1, "snippet": "----------------------------------------------------------------------------------------------------------------------------------------------------------------------------------------------------------------------------------------------------------------------------------------------------------------------------------------------------------------------------|\n| Abgabe | 1 PDF über MyUnifr 1 ; 5 gebundene (oder broschierte) Exemplare an das Dekanat (vgl. Reglement vom 17.12.1996), recto-verso",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"474591eeaefa6c5efdc21f30ddab4db20843f774::semantic_table::chunk::0004", "chunk_type": "table", "section": "Abgabe - Archivierung - Veröffentlichung der wissenschaftlichen Abschlussarbeiten", "page_start": 1, "page_end": 1, "chunk_pages": [1], "contains_table": true, "block_kinds": ["table"], "prev_chunk_id": "474591eeaefa6c5efdc21f30ddab4db20843f774::semantic_table::chunk::0003", "next_chunk_id": "474591eeaefa6c5efdc21f30ddab4db20843f774::semantic_table::chunk::0005", "rag_source": "studyplans", "category": "studyplans", "retrieval_debug":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"retrieval_debug":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"query": "What does the reglementation say about quality assurance at the university of friburg?", "query_language": "en"}], "returned_count": 10}}, {"source": null, "page": 1, "snippet": "Section: Abgabe - Archivierung - Veröffentlichung der wissenschaftlichen Abschlussarbeiten &gt; 2 Gemäss Fakultätsbeschluss vom 11.12.2018\n\nTable rows:\n- Habilitation: Abgabe; column_2: 1 elektronisches Dokument PDF 1 ; 4 gebundene (oder broschierte) Exemplare an das Dekanat (vgl. geltendes Habilitationsreglement); keine Spiralbindung\n- Habilitation: Veröffentlichung; column_2: als gedrucktes Buch\n- Habilitation: Pflichtexemplare 3; column_2: a) bei Veröffentlichung über einen Verlag : 8 Ex des ged",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"474591eeaefa6c5efdc21f30ddab4db20843f774::semantic_table::chunk::0007", "chunk_type": "table", "section": "Abgabe - Archivierung - Veröffentlichung der wissenschaftlichen Abschlussarbeiten &gt; 2 Gemäss Fakultätsbeschluss vom 11.12.2018", "page_start": 1, "page_end": 1, "chunk_pages": [1], "contains_table": true, "block_kinds": ["table"], "prev_chunk_id": "474591eeaefa6c5efdc21f30ddab4db20843f774::semantic_table::chunk::0006", "next_chunk_id": "474591eeaefa6c5efdc21f30ddab4db20843f774::semantic_table::chunk::0008", "rag_source": "studyplans", "category": "studyplans", "retrieval_debug":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"retrieval_debug":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"query": "What does the reglementation say about quality assurance at the university of friburg?", "query_language": "en"}], "returned_count": 10}}, {"source": null, "page": 1, "snippet": "ichtexemplare 3 | a) bei Veröffentlichung über einen Verlag : 8 Ex des gedruckten Buches an die Kantons- und Universitätsbibliothek https://www3.unifr.ch/biblio/de/ (davon sind: 3 Ex. für die Mitglieder der Jury, 1 Ex. für das Archiv der Fakultät, 2 Ex. für die KUB, 1 Ex. für die BHT, 1 Ex. für die Nationalbibliothek Bern); b) bei einer Veröffentlichung im Selbstverlag : 15 Ex. an die KUB (davon 8 Ex. wie unter a), die weiteren Exemplare zum Tausch unter Bibliotheken |",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"474591eeaefa6c5efdc21f30ddab4db20843f774::semantic_table::chunk::0008", "chunk_type": "table", "section": "Abgabe - Archivierung - Veröffentlichung der wissenschaftlichen Abschlussarbeiten &gt; 2 Gemäss Fakultätsbeschluss vom 11.12.2018", "page_start": 1, "page_end": 1, "chunk_pages": [1], "contains_table": true, "block_kinds": ["table"], "prev_chunk_id": "474591eeaefa6c5efdc21f30ddab4db20843f774::semantic_table::chunk::0007", "next_chunk_id": "474591eeaefa6c5efdc21f30ddab4db20843f774::semantic_table::chunk::0009", "rag_source": "studyplans", "category": "studyplans", "retrieval_debug":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"retrieval_debug":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"query": "What does the reglementation say about quality assurance at the university of friburg?", "query_language": "en"}], "returned_count": 10}}, {"source": null, "page": 1, "snippet": "Section: Abgabe - Archivierung - Veröffentlichung der wissenschaftlichen Abschlussarbeiten &gt; 2 Gemäss Fakultätsbeschluss vom 11.12.2018\n\n| Einband | Grundsätzlich gilt: Die zur Archivierung bestimmten Exemplare dürfen keine Spiralbindung haben. |\n|-----------|---------------------------------------------------------------------------------------------------|",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"474591eeaefa6c5efdc21f30ddab4db20843f774::semantic_table::chunk::0009", "chunk_type": "table", "section": "Abgabe - Archivierung - Veröffentlichung der wissenschaftlichen Abschlussarbeiten &gt; 2 Gemäss Fakultätsbeschluss vom 11.12.2018", "page_start": 1, "page_end": 1, "chunk_pages": [1], "contains_table": true, "block_kinds": ["table"], "prev_chunk_id": "474591eeaefa6c5efdc21f30ddab4db20843f774::semantic_table::chunk::0008", "next_chunk_id": "474591eeaefa6c5efdc21f30ddab4db20843f774::semantic_table::chunk::0010", "rag_source": "studyplans", "category": "studyplans", "retrieval_debug":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"retrieval_debug":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"query": "What does the reglementation say about quality assurance at the university of friburg?", "query_language": "en"}], "returned_count": 10}}, {"source": null, "page": 1, "snippet": "Section: Ehrenwörtliche Erklärung\n\nTable rows:\n- Prüfungs- und Diplomgebühren 4: Prüfungs- und Diplomgebühren 4; fällig bei der Abgabe der schriftlichen Arbeit, per Banküberweisung zu bezahlen (direkt über MyUnifr): Vollprogramm; fällig bei der Abgabe der schriftlichen Arbeit, per Banküberweisung zu bezahlen (direkt über MyUnifr): Hauptprogramm; fällig bei der Abgabe der schriftlichen Arbeit, per Banküberweisung zu bezahlen (direkt über MyUnifr): Nebenprogramm\n- Prüfungs- und Diplomgebühren 4: B",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"474591eeaefa6c5efdc21f30ddab4db20843f774::semantic_table::chunk::0011", "chunk_type": "table", "section": "Ehrenwörtliche Erklärung", "page_start": 1, "page_end": 1, "chunk_pages": [1], "contains_table": true, "block_kinds": ["table"], "prev_chunk_id": "474591eeaefa6c5efdc21f30ddab4db20843f774::semantic_table::chunk::0010", "next_chunk_id": "474591eeaefa6c5efdc21f30ddab4db20843f774::semantic_table::chunk::0012", "rag_source": "studyplans", "category": "studyplans", "retrieval_debug":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"retrieval_debug":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"query": "What does the reglementation say about quality assurance at the university of friburg?", "query_language": "en"}], "returned_count": 10}}]</t>
        </is>
      </c>
      <c r="Y12" s="2" t="inlineStr">
        <is>
          <t>Bachelor_60_1d036b4e5f656b65bcfa7a6121fb5095582bb706.txt</t>
        </is>
      </c>
      <c r="Z12" s="2" t="inlineStr">
        <is>
          <t>studyplans</t>
        </is>
      </c>
      <c r="AA12" s="2" t="n">
        <v>1</v>
      </c>
      <c r="AB12" s="2" t="inlineStr">
        <is>
          <t>Section: TABLE OF CONTENTS Table rows: - PREFACE: CONDITIONSANDMEASURESTO FACILITATE DOCTORAL JOURNEY; 3: 4 - PREFACE: INDIVIDUAL CHARACTERISTICS AND CONTEXTUAL FACTORS; 3: 5 - PREFACE: Individual characteristics; 3: 5 - PREFACE: Organizational context; 3: 6 - PREFACE: Socio-professional environment; 3: 6 - PREFACE: Personal circle; 3: 7 - PREFACE:</t>
        </is>
      </c>
      <c r="AC12" s="2" t="n">
        <v>0</v>
      </c>
      <c r="AD12" s="2" t="n">
        <v>0</v>
      </c>
      <c r="AE12" s="2" t="n">
        <v>0</v>
      </c>
      <c r="AF12" s="2" t="n">
        <v>0</v>
      </c>
      <c r="AG12" s="2" t="n">
        <v>0</v>
      </c>
      <c r="AH12" s="2" t="inlineStr"/>
      <c r="AI12" s="2" t="inlineStr"/>
      <c r="AJ12" s="2" t="inlineStr"/>
      <c r="AK12" s="2" t="inlineStr"/>
      <c r="AL12" s="2" t="inlineStr"/>
      <c r="AM12" s="2" t="inlineStr"/>
      <c r="AN12" s="2" t="inlineStr">
        <is>
          <t>Fill manual_relevant_ranks after reviewing retrieved_sources_ranked, e.g. 1,3,5.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s>
  <sheetData>
    <row r="1">
      <c r="A1" s="1" t="inlineStr">
        <is>
          <t>Metric</t>
        </is>
      </c>
      <c r="B1" s="1" t="inlineStr">
        <is>
          <t>Formula / Meaning</t>
        </is>
      </c>
      <c r="C1" s="1" t="inlineStr">
        <is>
          <t>Value</t>
        </is>
      </c>
    </row>
    <row r="2">
      <c r="A2" s="2" t="inlineStr">
        <is>
          <t>Questions evaluated</t>
        </is>
      </c>
      <c r="B2" s="2" t="inlineStr">
        <is>
          <t>Number of rows in retrieval sheet</t>
        </is>
      </c>
      <c r="C2" s="2">
        <f>COUNTA('RAG_Retrieval_Only'!G:G)-1</f>
        <v/>
      </c>
    </row>
    <row r="3">
      <c r="A3" s="2" t="inlineStr">
        <is>
          <t>Success rate</t>
        </is>
      </c>
      <c r="B3" s="2" t="inlineStr">
        <is>
          <t>Successful debug retrieval requests / all requests</t>
        </is>
      </c>
      <c r="C3" s="2">
        <f>AVERAGE('RAG_Retrieval_Only'!O:O)</f>
        <v/>
      </c>
    </row>
    <row r="4">
      <c r="A4" s="2" t="inlineStr">
        <is>
          <t>Mean retrieval time ms</t>
        </is>
      </c>
      <c r="B4" s="2" t="inlineStr">
        <is>
          <t>Average /debug/retrieve client time</t>
        </is>
      </c>
      <c r="C4" s="2">
        <f>AVERAGE('RAG_Retrieval_Only'!P:P)</f>
        <v/>
      </c>
    </row>
    <row r="5">
      <c r="A5" s="2" t="inlineStr">
        <is>
          <t>Median retrieval time ms</t>
        </is>
      </c>
      <c r="B5" s="2" t="inlineStr">
        <is>
          <t>Median /debug/retrieve client time</t>
        </is>
      </c>
      <c r="C5" s="2">
        <f>MEDIAN('RAG_Retrieval_Only'!P:P)</f>
        <v/>
      </c>
    </row>
    <row r="6">
      <c r="A6" s="2" t="inlineStr">
        <is>
          <t>Mean retrieved sources count</t>
        </is>
      </c>
      <c r="B6" s="2" t="inlineStr">
        <is>
          <t>Average number of retrieved chunks</t>
        </is>
      </c>
      <c r="C6" s="2">
        <f>AVERAGE('RAG_Retrieval_Only'!R:R)</f>
        <v/>
      </c>
    </row>
    <row r="7">
      <c r="A7" s="2" t="inlineStr">
        <is>
          <t>Category Recall@1</t>
        </is>
      </c>
      <c r="B7" s="2" t="inlineStr">
        <is>
          <t>Expected source category appears at rank 1</t>
        </is>
      </c>
      <c r="C7" s="2">
        <f>AVERAGE('RAG_Retrieval_Only'!AC:AC)</f>
        <v/>
      </c>
    </row>
    <row r="8">
      <c r="A8" s="2" t="inlineStr">
        <is>
          <t>Category Recall@3</t>
        </is>
      </c>
      <c r="B8" s="2" t="inlineStr">
        <is>
          <t>Expected source category appears in top 3</t>
        </is>
      </c>
      <c r="C8" s="2">
        <f>AVERAGE('RAG_Retrieval_Only'!AD:AD)</f>
        <v/>
      </c>
    </row>
    <row r="9">
      <c r="A9" s="2" t="inlineStr">
        <is>
          <t>Category Recall@5</t>
        </is>
      </c>
      <c r="B9" s="2" t="inlineStr">
        <is>
          <t>Expected source category appears in top 5</t>
        </is>
      </c>
      <c r="C9" s="2">
        <f>AVERAGE('RAG_Retrieval_Only'!AE:AE)</f>
        <v/>
      </c>
    </row>
    <row r="10">
      <c r="A10" s="2" t="inlineStr">
        <is>
          <t>Category Precision@5</t>
        </is>
      </c>
      <c r="B10" s="2" t="inlineStr">
        <is>
          <t>Share of top 5 chunks with expected source category</t>
        </is>
      </c>
      <c r="C10" s="2">
        <f>AVERAGE('RAG_Retrieval_Only'!AF:AF)</f>
        <v/>
      </c>
    </row>
    <row r="11">
      <c r="A11" s="2" t="inlineStr">
        <is>
          <t>Category MRR</t>
        </is>
      </c>
      <c r="B11" s="2" t="inlineStr">
        <is>
          <t>Reciprocal rank of first expected-category chunk</t>
        </is>
      </c>
      <c r="C11" s="2">
        <f>AVERAGE('RAG_Retrieval_Only'!AG:AG)</f>
        <v/>
      </c>
    </row>
    <row r="12">
      <c r="A12" s="2" t="inlineStr">
        <is>
          <t>Manual Recall@1</t>
        </is>
      </c>
      <c r="B12" s="2" t="inlineStr">
        <is>
          <t>Based on manual_relevant_ranks</t>
        </is>
      </c>
      <c r="C12" s="2">
        <f>AVERAGE('RAG_Retrieval_Only'!AI:AI)</f>
        <v/>
      </c>
    </row>
    <row r="13">
      <c r="A13" s="2" t="inlineStr">
        <is>
          <t>Manual Recall@3</t>
        </is>
      </c>
      <c r="B13" s="2" t="inlineStr">
        <is>
          <t>Based on manual_relevant_ranks</t>
        </is>
      </c>
      <c r="C13" s="2">
        <f>AVERAGE('RAG_Retrieval_Only'!AJ:AJ)</f>
        <v/>
      </c>
    </row>
    <row r="14">
      <c r="A14" s="2" t="inlineStr">
        <is>
          <t>Manual Recall@5</t>
        </is>
      </c>
      <c r="B14" s="2" t="inlineStr">
        <is>
          <t>Based on manual_relevant_ranks</t>
        </is>
      </c>
      <c r="C14" s="2">
        <f>AVERAGE('RAG_Retrieval_Only'!AK:AK)</f>
        <v/>
      </c>
    </row>
    <row r="15">
      <c r="A15" s="2" t="inlineStr">
        <is>
          <t>Manual Precision@5</t>
        </is>
      </c>
      <c r="B15" s="2" t="inlineStr">
        <is>
          <t>Based on manual_relevant_ranks</t>
        </is>
      </c>
      <c r="C15" s="2">
        <f>AVERAGE('RAG_Retrieval_Only'!AL:AL)</f>
        <v/>
      </c>
    </row>
    <row r="16">
      <c r="A16" s="2" t="inlineStr">
        <is>
          <t>Manual MRR</t>
        </is>
      </c>
      <c r="B16" s="2" t="inlineStr">
        <is>
          <t>Based on manual_relevant_ranks</t>
        </is>
      </c>
      <c r="C16" s="2">
        <f>AVERAGE('RAG_Retrieval_Only'!AM:AM)</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2026-05-18T21:56:48Z</dcterms:created>
  <dcterms:modified xsi:type="dcterms:W3CDTF">2026-05-18T21:59:50Z</dcterms:modified>
</cp:coreProperties>
</file>