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nofactorych-my.sharepoint.com/personal/sara_innofactory_ch/Documents/Desktop/BA_Thesis_Dev/"/>
    </mc:Choice>
  </mc:AlternateContent>
  <xr:revisionPtr revIDLastSave="0" documentId="11_0B598FE714E4520BD247FDD430137255567E2D17" xr6:coauthVersionLast="47" xr6:coauthVersionMax="47" xr10:uidLastSave="{00000000-0000-0000-0000-000000000000}"/>
  <bookViews>
    <workbookView xWindow="-105" yWindow="-16320" windowWidth="29040" windowHeight="15720" xr2:uid="{00000000-000D-0000-FFFF-FFFF00000000}"/>
  </bookViews>
  <sheets>
    <sheet name="RAG_Retrieval_Only" sheetId="1" r:id="rId1"/>
    <sheet name="Retrieval_Metric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C15" i="2"/>
  <c r="C14" i="2"/>
  <c r="C13" i="2"/>
  <c r="C12" i="2"/>
  <c r="C11" i="2"/>
  <c r="C10" i="2"/>
  <c r="C9" i="2"/>
  <c r="C8" i="2"/>
  <c r="C7" i="2"/>
  <c r="C6" i="2"/>
  <c r="C5" i="2"/>
  <c r="C4" i="2"/>
  <c r="C3" i="2"/>
  <c r="C2" i="2"/>
</calcChain>
</file>

<file path=xl/sharedStrings.xml><?xml version="1.0" encoding="utf-8"?>
<sst xmlns="http://schemas.openxmlformats.org/spreadsheetml/2006/main" count="264" uniqueCount="171">
  <si>
    <t>run_timestamp</t>
  </si>
  <si>
    <t>source_row</t>
  </si>
  <si>
    <t>id</t>
  </si>
  <si>
    <t>category</t>
  </si>
  <si>
    <t>difficulty</t>
  </si>
  <si>
    <t>language</t>
  </si>
  <si>
    <t>question</t>
  </si>
  <si>
    <t>expected_answer</t>
  </si>
  <si>
    <t>source_of_truth</t>
  </si>
  <si>
    <t>expected_flow</t>
  </si>
  <si>
    <t>gold_source</t>
  </si>
  <si>
    <t>required_fields</t>
  </si>
  <si>
    <t>expected_source_category</t>
  </si>
  <si>
    <t>debug_http_status</t>
  </si>
  <si>
    <t>success</t>
  </si>
  <si>
    <t>debug_time_ms</t>
  </si>
  <si>
    <t>server_elapsed_ms</t>
  </si>
  <si>
    <t>sources_count</t>
  </si>
  <si>
    <t>error</t>
  </si>
  <si>
    <t>retrieved_source_keys</t>
  </si>
  <si>
    <t>retrieved_source_categories</t>
  </si>
  <si>
    <t>retrieved_source_pages</t>
  </si>
  <si>
    <t>retrieved_sources_ranked</t>
  </si>
  <si>
    <t>retrieved_sources_json</t>
  </si>
  <si>
    <t>top1_source_key</t>
  </si>
  <si>
    <t>top1_source_category</t>
  </si>
  <si>
    <t>top1_source_page</t>
  </si>
  <si>
    <t>top1_source_snippet</t>
  </si>
  <si>
    <t>category_recall_at_1</t>
  </si>
  <si>
    <t>category_recall_at_3</t>
  </si>
  <si>
    <t>category_recall_at_5</t>
  </si>
  <si>
    <t>category_precision_at_5</t>
  </si>
  <si>
    <t>category_mrr</t>
  </si>
  <si>
    <t>manual_relevant_ranks</t>
  </si>
  <si>
    <t>manual_recall_at_1</t>
  </si>
  <si>
    <t>manual_recall_at_3</t>
  </si>
  <si>
    <t>manual_recall_at_5</t>
  </si>
  <si>
    <t>manual_precision_at_5</t>
  </si>
  <si>
    <t>manual_mrr</t>
  </si>
  <si>
    <t>notes</t>
  </si>
  <si>
    <t>2026-05-18T19:36:14</t>
  </si>
  <si>
    <t>program_overview</t>
  </si>
  <si>
    <t>easy</t>
  </si>
  <si>
    <t>en</t>
  </si>
  <si>
    <t>What can you tell me about the bachelor in History?</t>
  </si>
  <si>
    <t>summary of program</t>
  </si>
  <si>
    <t xml:space="preserve">RAG  </t>
  </si>
  <si>
    <t>study vectorstore</t>
  </si>
  <si>
    <t>unifr_elite_sports.json; unifr_examinations_faculty_rules.json; student_advice_and_information.json; unifr_elite_sports.json; unifr_elite_sports.json; unifr_studies_disability.json</t>
  </si>
  <si>
    <t>base_data; base_data; base_data; base_data; base_data; base_data</t>
  </si>
  <si>
    <t xml:space="preserve">; ; ; ; ; </t>
  </si>
  <si>
    <t>1. [base_data] unifr_elite_sports.json p. - Previous context: / study programme on the MyUnifr portal. The request will then be processed by the relevant faculty. At the end of the studies - If you have completed your Bachelor studies and wis / study programme on 
2. [base_data] unifr_examinations_faculty_rules.json p. - Practical information Practical information Here, you will find information about registrations, validations, switching you study field, student requests, and complaint procedures.
3. [base_data] student_advice_and_information.json p. - Academic Career Guidance Academic Career Guidance The Office for Academic Career Guidance provides students at the University of Fribourg with information about the study opportunities (within and outside the University)
4. [base_data] unifr_elite_sports.json p. - Academic Career Guidance Academic Career Guidance The Office for Academic Career Guidance provides students at the University of Fribourg with information about the study opportunities (within and outside the University)
5. [base_data] unifr_elite_sports.json p. - Previous context: Changes in degree or study programmes Changes in degree or study programmes If you are currently registered at the University of Fribourg, you must under no circumstances apply through Inscruni. The Off
6. [base_data] unifr_studies_disability.json p. - Are you under performing in your studies? Are you under performing in your studies? We can help you to envisage your future prospects and assess the options available to you.</t>
  </si>
  <si>
    <t>[{"source": null, "page": null, "snippet": "Previous context: / study programme on the MyUnifr portal. The request will then be processed by the relevant faculty.\nAt the end of the studies\n- If you have completed your Bachelor studies and wis\n\n/ study programme on the MyUnifr portal. The request will then be processed by the relevant faculty.\nAt the end of the studies\n- If you have completed your Bachelor studies and wish to continue with Master studies, please submit your application on the MyUnifr portal.\n- If you wish to register for a", "metadata": {"doc_key": "unifr_elite_sport_www_unifr_ch_studies_en_organisation_administrative_services_unifr_students_changes_degree_study_programmes_html", "source_type": "unifr_elite_sport_page", "source_url": "https://www.unifr.ch/studies/en/organisation/administrative-services-unifr-students/changes-degree-study-programmes.html", "source_reference": "https://www.unifr.ch/studies/en/organisation/administrative-services-unifr-students/changes-degree-study-programmes.html", "title": "Changes in degree or study programmes | Studies | University of Fribourg", "page_heading": "Changes in degree or study programmes", "language": "en", "parent_url": "https://www.unifr.ch/studies/en/organisation/during-studies/studies-and-elite-sportswomen-and-sportsmen.html", "source_file": "unifr_elite_sports.json", "parser": "scrapy_base_info_json", "index_variant": "base_info_semantic_v1", "section_index": 1, "section": "Changes in degree or study programmes", "chunk_id": "unifr_elite_sport_www_unifr_ch_studies_en_organisation_administrative_services_unifr_students_changes_degree_study_programmes_html::section::001::chunk::003", "chunk_type": "section", "prev_chunk_id": "unifr_elite_sport_www_unifr_ch_studies_en_organisation_administrative_services_unifr_students_changes_degree_study_programmes_html::section::001::chunk::002", "next_chunk_id": "unifr_elite_sport_www_unifr_ch_studies_en_organisation_administrative_services_unifr_students_changes_degree_study_programmes_html::section::001::chunk::004", "rag_source": "base_data", "category": "base_data", "retrieval_debug": {"retrieval_mode": "multi_vectorstore_weighted_rerank", "source_intent": "studyplans", "quotas": {"studyplans": 20, "reglementations": 4, "base_data": 6}, "per_source": {"studyplans": {"quota": 20,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"source_retrieval_quota": 6}, "retrieval_debug": {"retrieval_mode": "multi_vectorstore_weighted_rerank", "source_intent": "studyplans", "quotas": {"studyplans": 20, "reglementations": 4, "base_data": 6}, "per_source": {"studyplans": {"quota": 20,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 null, "page": null, "snippet": "Practical information\n\nPractical information\nHere, you will find information about registrations, validations, switching you study field, student requests, and complaint procedures.", "metadata": {"doc_key": "unifr_faculty_of_science_and_medicine_www_unifr_ch_scimed_en_studies_practical", "source_type": "unifr_faculty_examination_rule_page", "source_url": "https://www.unifr.ch/scimed/en/studies/practical/", "source_reference": "https://www.unifr.ch/scimed/en/studies/practical/", "title": "Practical information | Faculty of Science and Medicine | University of Fribourg", "page_heading": "Practical information", "language": "en", "faculty": "Faculty of Science and Medicine", "parent_url": "https://www.unifr.ch/studies/en/organisation/during-studies/examinations.html", "source_file": "unifr_examinations_faculty_rules.json", "parser": "scrapy_base_info_json", "index_variant": "base_info_semantic_v1", "section_index": 1, "section": "Practical information", "chunk_id": "unifr_faculty_of_science_and_medicine_www_unifr_ch_scimed_en_studies_practical::section::001::chunk::001", "chunk_type": "section", "next_chunk_id": "unifr_faculty_of_science_and_medicine_www_unifr_ch_scimed_en_studies_practical::section::002::chunk::001", "rag_source": "base_data", "category": "base_data", "retrieval_debug": {"retrieval_mode": "multi_vectorstore_weighted_rerank", "source_intent": "studyplans", "quotas": {"studyplans": 20, "reglementations": 4, "base_data": 6}, "per_source": {"studyplans": {"quota": 20,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"source_retrieval_quota": 6}, "retrieval_debug": {"retrieval_mode": "multi_vectorstore_weighted_rerank", "source_intent": "studyplans", "quotas": {"studyplans": 20, "reglementations": 4, "base_data": 6}, "per_source": {"studyplans": {"quota": 20,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 null, "page": null, "snippet": "Academic Career Guidance\n\nAcademic Career Guidance\nThe Office for Academic Career Guidance provides students at the University of Fribourg with information about the study opportunities (within and outside the University), continuing training, new orientations, etc. In contrast to the Studies Information Office, full advice on professions and careers can be obtained from this cantonal office.\nAkademische Berufsberatung Centre d’orientation universitaire\n\nAkademische Berufsberatung: http://www.fr", "metadata": {"doc_key": "unifr_student_advice_and_information_en", "source_type": "unifr_general_info_page", "source_url": "https://www.unifr.ch/studies/en/organisation/beginning-of-studies/student-advice-and-information.html", "title": "Student Advice and Information | Studies | University of Fribourg", "page_heading": "Student Advice and Information", "language": "en", "source_file": "student_advice_and_information.json", "parser": "scrapy_base_info_json", "index_variant": "base_info_semantic_v1", "section_index": 3, "section": "Academic Career Guidance", "source_reference": "https://www.unifr.ch/studies/en/organisation/beginning-of-studies/student-advice-and-information.html", "chunk_id": "unifr_student_advice_and_information_en::section::003::chunk::001", "chunk_type": "section", "prev_chunk_id": "unifr_student_advice_and_information_en::section::002::chunk::001", "rag_source": "base_data", "category": "base_data", "retrieval_debug": {"retrieval_mode": "multi_vectorstore_weighted_rerank", "source_intent": "studyplans", "quotas": {"studyplans": 20, "reglementations": 4, "base_data": 6}, "per_source": {"studyplans": {"quota": 20,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"source_retrieval_quota": 6}, "retrieval_debug": {"retrieval_mode": "multi_vectorstore_weighted_rerank", "source_intent": "studyplans", "quotas": {"studyplans": 20, "reglementations": 4, "base_data": 6}, "per_source": {"studyplans": {"quota": 20,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 null, "page": null, "snippet": "Academic Career Guidance\n\nAcademic Career Guidance\nThe Office for Academic Career Guidance provides students at the University of Fribourg with information about the study opportunities (within and outside the University), continuing training, new orientations, etc. In contrast to the Studies Information Office, full advice on professions and careers can be obtained from this cantonal office.\nAkademische Berufsberatung Centre d’orientation universitaire\nStudies Information Office\n\nAkademische Be",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4, "section": "Academic Career Guidance", "chunk_id": "unifr_elite_sport_www_unifr_ch_studies_en_organisation_beginning_of_studies_student_advice_and_information_html::section::004::chunk::001", "chunk_type": "section", "prev_chunk_id": "unifr_elite_sport_www_unifr_ch_studies_en_organisation_beginning_of_studies_student_advice_and_information_html::section::003::chunk::001", "rag_source": "base_data", "category": "base_data", "retrieval_debug": {"retrieval_mode": "multi_vectorstore_weighted_rerank", "source_intent": "studyplans", "quotas": {"studyplans": 20, "reglementations": 4, "base_data": 6}, "per_source": {"studyplans": {"quota": 20,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"source_retrieval_quota": 6}, "retrieval_debug": {"retrieval_mode": "multi_vectorstore_weighted_rerank", "source_intent": "studyplans", "quotas": {"studyplans": 20, "reglementations": 4, "base_data": 6}, "per_source": {"studyplans": {"quota": 20,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 null, "page": null, "snippet": "Previous context: Changes in degree or study programmes\n\nChanges in degree or study programmes\nIf you are currently registered at the University of Fribourg, you must under no circumstances apply through Inscruni.\nThe Office for Admissions and Registration has no information concerning changes in degree or study programmes. Should you have any questions, please contact the Dean’s office of your Faculty.\nDuring the application period\nOnce you will have validated your online application, the admin", "metadata": {"doc_key": "unifr_elite_sport_www_unifr_ch_studies_en_organisation_administrative_services_unifr_students_changes_degree_study_programmes_html", "source_type": "unifr_elite_sport_page", "source_url": "https://www.unifr.ch/studies/en/organisation/administrative-services-unifr-students/changes-degree-study-programmes.html", "source_reference": "https://www.unifr.ch/studies/en/organisation/administrative-services-unifr-students/changes-degree-study-programmes.html", "title": "Changes in degree or study programmes | Studies | University of Fribourg", "page_heading": "Changes in degree or study programmes", "language": "en", "parent_url": "https://www.unifr.ch/studies/en/organisation/during-studies/studies-and-elite-sportswomen-and-sportsmen.html", "source_file": "unifr_elite_sports.json", "parser": "scrapy_base_info_json", "index_variant": "base_info_semantic_v1", "section_index": 1, "section": "Changes in degree or study programmes", "chunk_id": "unifr_elite_sport_www_unifr_ch_studies_en_organisation_administrative_services_unifr_students_changes_degree_study_programmes_html::section::001::chunk::002", "chunk_type": "section", "prev_chunk_id": "unifr_elite_sport_www_unifr_ch_studies_en_organisation_administrative_services_unifr_students_changes_degree_study_programmes_html::section::001::chunk::001", "next_chunk_id": "unifr_elite_sport_www_unifr_ch_studies_en_organisation_administrative_services_unifr_students_changes_degree_study_programmes_html::section::001::chunk::003", "rag_source": "base_data", "category": "base_data", "retrieval_debug": {"retrieval_mode": "multi_vectorstore_weighted_rerank", "source_intent": "studyplans", "quotas": {"studyplans": 20, "reglementations": 4, "base_data": 6}, "per_source": {"studyplans": {"quota": 20,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"source_retrieval_quota": 6}, "retrieval_debug": {"retrieval_mode": "multi_vectorstore_weighted_rerank", "source_intent": "studyplans", "quotas": {"studyplans": 20, "reglementations": 4, "base_data": 6}, "per_source": {"studyplans": {"quota": 20,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 null, "page": null, "snippet": "Are you under performing in your studies?\n\nAre you under performing in your studies?\nWe can help you to envisage your future prospects and assess the options available to you.", "metadata": {"doc_key": "unifr_studies_disability_www_unifr_ch_campus_en_support_learning_and_success_fear_blockage_and_failure_html", "source_type": "unifr_studies_disability_page", "source_url": "https://www.unifr.ch/campus/en/support/learning-and-success/fear,-blockage-and-failure.html", "source_reference": "https://www.unifr.ch/campus/en/support/learning-and-success/fear,-blockage-and-failure.html", "title": "Fear, blockage &amp; failure | Campus | University of Fribourg", "page_heading": "Fear, blockage &amp; failure", "language": "en", "parent_url": "https://www.unifr.ch/campus/en/support/learning-and-success/studies-and-disability.html", "source_file": "unifr_studies_disability.json", "parser": "scrapy_base_info_json", "index_variant": "base_info_semantic_v1", "section_index": 2, "section": "Are you under performing in your studies?", "chunk_id": "unifr_studies_disability_www_unifr_ch_campus_en_support_learning_and_success_fear_blockage_and_failure_html::section::002::chunk::001", "chunk_type": "section", "prev_chunk_id": "unifr_studies_disability_www_unifr_ch_campus_en_support_learning_and_success_fear_blockage_and_failure_html::section::001::chunk::001", "next_chunk_id": "unifr_studies_disability_www_unifr_ch_campus_en_support_learning_and_success_fear_blockage_and_failure_html::section::003::chunk::001", "rag_source": "base_data", "category": "base_data", "retrieval_debug": {"retrieval_mode": "multi_vectorstore_weighted_rerank", "source_intent": "studyplans", "quotas": {"studyplans": 20, "reglementations": 4, "base_data": 6}, "per_source": {"studyplans": {"quota": 20,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"source_retrieval_quota": 6}, "retrieval_debug": {"retrieval_mode": "multi_vectorstore_weighted_rerank", "source_intent": "studyplans", "quotas": {"studyplans": 20, "reglementations": 4, "base_data": 6}, "per_source": {"studyplans": {"quota": 20,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t>
  </si>
  <si>
    <t>unifr_elite_sports.json</t>
  </si>
  <si>
    <t>base_data</t>
  </si>
  <si>
    <t xml:space="preserve">Previous context: / study programme on the MyUnifr portal. The request will then be processed by the relevant faculty. At the end of the studies - If you have completed your Bachelor studies and wis / study programme on the MyUnifr portal. The request will then be processed by the relevant faculty. At the end of the studies - If you have completed </t>
  </si>
  <si>
    <t>Fill manual_relevant_ranks after reviewing retrieved_sources_ranked, e.g. 1,3,5.</t>
  </si>
  <si>
    <t>hard</t>
  </si>
  <si>
    <t>How is the Teacher Trianing structured?</t>
  </si>
  <si>
    <t>short description and list of possibilities</t>
  </si>
  <si>
    <t>Bachelor_120_b0209ef54ad8e4800f4a1491b39f11676d886557.txt; Master_120_aab5fc2977b99de9b78cdd4a97133a9ed9769f17.txt; Master_120_45888c5fb7541dd043fe562f24a0498b6228d02e.txt; Master_120_77ed86466139fac4ba984010445b44f0fc9ea6c5.txt; Master_120_42b5c70b33031bc9a3ee4f9358bf37b13977cd89.txt; Bachelor_150_e5dd0061e289f3487f7637e65ee9766e0441d734.txt; Master_120_3ee959ed05beb0da60c20ed52107fd180ef65de8.txt; Master_120_42b5c70b33031bc9a3ee4f9358bf37b13977cd89.txt; Master_120_1253e811dc7c10018aaffeabe539ef18ce21c299.txt; Master_120_45888c5fb7541dd043fe562f24a0498b6228d02e.txt</t>
  </si>
  <si>
    <t>studyplans; studyplans; studyplans; studyplans; studyplans; studyplans; studyplans; studyplans; studyplans; studyplans</t>
  </si>
  <si>
    <t>1; 1; 1; 1; 1; 1; 1; 1; 1; 1</t>
  </si>
  <si>
    <t>1. [studyplans] Bachelor_120_b0209ef54ad8e4800f4a1491b39f11676d886557.txt p.1 - en) | Semester | Niveau | Sprache | Bewertung | ECTS | |------------------------------------------------|------------------------------------------------|------------------------------------------------|-----------------
2. [studyplans] Master_120_aab5fc2977b99de9b78cdd4a97133a9ed9769f17.txt p.1 - Section: Curriculum of the Master of Science in Environmental Biology Table rows: - Code: SBL.20083; column_2: Research group meetings in environmental biology (4 sem.); Semester: 3 sem.; Tot. h.: 3x14; ECTS: 3 - Code: S
3. [studyplans] Master_120_45888c5fb7541dd043fe562f24a0498b6228d02e.txt p.1 - s-related activities in the Neuroscience option | Thesis-related activities in the Neuroscience option | | SME.07002 | Fribourg day of cognition | 0.5 | | | O | | | SME.06001 | Neurobiology (seminar) | 0.5 | | | O | | | 
4. [studyplans] Master_120_77ed86466139fac4ba984010445b44f0fc9ea6c5.txt p.1 - Section: Offered by the Dept. of Biology. &gt; Compulsory course Units in the Neuroscience option Table rows: - Thesis-related activities in the Neuroscience option: Code; Thesis-related activities in the Neuroscience optio
5. [studyplans] Master_120_42b5c70b33031bc9a3ee4f9358bf37b13977cd89.txt p.1 - Section: Thesis-related activities in the Neuroscience option Table rows: - Code: SME.07002; Title of UE: Fribourg day of cognition; tot. h.: 8; ECTS: 0.5 - Code: SME.06001; Title of UE: Neurobiology (seminar); tot. h.: 
6. [studyplans] Bachelor_150_e5dd0061e289f3487f7637e65ee9766e0441d734.txt p.1 - sychologie (Philosophische Fakultät) **: Psychologie sociale II; Psychologie (Philosophische Fakultät) **: FS; Psychologie (Philosophische Fakultät) **: 28; Psychologie (Philosophische Fakultät) **: 3 - Psychologie (Phil
7. [studyplans] Master_120_3ee959ed05beb0da60c20ed52107fd180ef65de8.txt p.1 - Section: Course Units in the Cardiovascular and Metabolic Health option Table rows: - Thesis-related activities in the Cardiovascular and Metabolic Health option: Code; Thesis-related activities in the Cardiovascular and
8. [studyplans] Master_120_42b5c70b33031bc9a3ee4f9358bf37b13977cd89.txt p.1 - Section: Course Units in the Cardiovascular and Metabolic Health option Table rows: - Thesis-related activities in the Cardiovascular and Metabolic Health option: Code; Thesis-related activities in the Cardiovascular and
9. [studyplans] Master_120_1253e811dc7c10018aaffeabe539ef18ce21c299.txt p.1 - ties in the Tissue Degeneration and Regeneration option | Thesis-related activities in the Tissue Degeneration and Regeneration option | Thesis-related activities in the Tissue Degeneration and Regeneration option | | |-
10. [studyplans] Master_120_45888c5fb7541dd043fe562f24a0498b6228d02e.txt p.1 - Section: Compulsory course Units in the Neuroscience option Table rows: - Thesis-related activities in the Neuroscience option: Code; Thesis-related activities in the Neuroscience option: Title of UE; column_3: Semester;</t>
  </si>
  <si>
    <t xml:space="preserve">[{"source": null, "page": 1, "snippet": "en) | Semester | Niveau | Sprache | Bewertung | ECTS |\n|------------------------------------------------|------------------------------------------------|------------------------------------------------|------------------------------------------------|------------------------------------------------|------------------------------------------------|------------------------------------------------|------------------------------------------------|\n| Möglichkeit zum Ausgleich von maximal 8,4 ECTS | ", "metadata": {"parsed_at": "2026-04-10T16:17:34.416Z", "pages": 1, "parser": "docling", "doc_key": "b0209ef54ad8e4800f4a1491b39f11676d886557", "degree_level": "Bachelor", "total_ects": 120, "program_name": "Economic and Legal Studies", "doc_label": "Studienplan", "source_url": "https://www.calameo.com/read/0036591157101123db5da", "source_type": "calameo", "curriculum_url": "http://studies.unifr.ch/go/zhkE3", "fetched_at": "2026-04-03T11:31:42.842Z", "source_file": "Bachelor_120_b0209ef54ad8e4800f4a1491b39f11676d886557.txt", "index_variant": "table_semantic_v1", "chunk_id": "b0209ef54ad8e4800f4a1491b39f11676d886557::semantic_table::chunk::0012", "chunk_type": "table", "section": "1. Jahr - 42 ECTS", "page_start": 1, "page_end": 1, "chunk_pages": [1], "contains_table": true, "block_kinds": ["table"], "prev_chunk_id": "b0209ef54ad8e4800f4a1491b39f11676d886557::semantic_table::chunk::0011", "next_chunk_id": "b0209ef54ad8e4800f4a1491b39f11676d886557::semantic_table::chunk::0013",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400, "candidate_count_global_fallback": 400, "source_intent": "studyplans", "returned_count": 20, "returned_programs": ["Biochemistry", "Biology", "Economic and Legal Studies", "Experimental Biomedical Research", "Physics"], "query": "How is the Teacher Trianing structured?", "query_language": "en"}], "returned_count": 20}}, "reglementations": {"error": "", "quota": 4},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is the Teacher Trianing structured?", "query_language": "en"}], "returned_count": 6}}}, "candidate_count_before_dedupe": 26, "returned_count": 10, "returned_sources": ["studyplans", "studyplans", "studyplans", "studyplans", "studyplans", "studyplans", "studyplans", "studyplans", "studyplans", "studyplans"], "returned_programs": ["Economic and Legal Studies", "Experimental Biomedical Research", "Physics"]},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400, "candidate_count_global_fallback": 400, "source_intent": "studyplans", "returned_count": 20, "returned_programs": ["Biochemistry", "Biology", "Economic and Legal Studies", "Experimental Biomedical Research", "Physics"], "query": "How is the Teacher Trianing structured?", "query_language": "en"}], "returned_count": 20}}, "reglementations": {"error": "", "quota": 4},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is the Teacher Trianing structured?", "query_language": "en"}], "returned_count": 6}}}, "candidate_count_before_dedupe": 26, "returned_count": 10, "returned_sources": ["studyplans", "studyplans", "studyplans", "studyplans", "studyplans", "studyplans", "studyplans", "studyplans", "studyplans", "studyplans"], "returned_programs": ["Economic and Legal Studies", "Experimental Biomedical Research", "Physics"]}}, {"source": null, "page": 1, "snippet": "Section: Curriculum of the Master of Science in Environmental Biology\n\nTable rows:\n- Code: SBL.20083; column_2: Research group meetings in environmental biology (4 sem.); Semester: 3 sem.; Tot. h.: 3x14; ECTS: 3\n- Code: SBL.20081; column_2: Research seminars in environmental biology (4 sem.); Semester: 4 sem.; Tot. h.: 4x14; ECTS: 5\n- Code: SBL.00431; column_2: Seminars in biology (4 sem.); Semester: 4 sem.; Tot. h.: 4x14; ECTS: 2\n- Code: Total ECTS for thesis-related activities; column_2: Total", "metadata": {"parsed_at": "2026-04-08T20:53:47.879Z", "pages": 1, "parser": "docling", "doc_key": "aab5fc2977b99de9b78cdd4a97133a9ed9769f17", "degree_level": "Master", "total_ects": 120, "program_name": "Experimental Biomedical Research", "doc_label": "Master of Science in&amp;nbsp;Environmental biology", "source_url": "https://cdn.unifr.ch/scimed/plans/current/Plan_MSc_BL_EnvBiol_en.pdf", "source_type": "pdf", "curriculum_url": "http://studies.unifr.ch/go/vBvMa", "fetched_at": "2026-04-03T11:26:28.777Z", "source_file": "Master_120_aab5fc2977b99de9b78cdd4a97133a9ed9769f17.txt", "index_variant": "table_semantic_v1", "chunk_id": "aab5fc2977b99de9b78cdd4a97133a9ed9769f17::semantic_table::chunk::0037", "chunk_type": "table", "section": "Curriculum of the Master of Science in Environmental Biology", "page_start": 1, "page_end": 1, "chunk_pages": [1], "contains_table": true, "block_kinds": ["table"], "prev_chunk_id": "aab5fc2977b99de9b78cdd4a97133a9ed9769f17::semantic_table::chunk::0036", "next_chunk_id": "aab5fc2977b99de9b78cdd4a97133a9ed9769f17::semantic_table::chunk::0038",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400, "candidate_count_global_fallback": 400, "source_intent": "studyplans", "returned_count": 20, "returned_programs": ["Biochemistry", "Biology", "Economic and Legal Studies", "Experimental Biomedical Research", "Physics"], "query": "How is the Teacher Trianing structured?", "query_language": "en"}], "returned_count": 20}}, "reglementations": {"error": "", "quota": 4},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is the Teacher Trianing structured?", "query_language": "en"}], "returned_count": 6}}}, "candidate_count_before_dedupe": 26, "returned_count": 10, "returned_sources": ["studyplans", "studyplans", "studyplans", "studyplans", "studyplans", "studyplans", "studyplans", "studyplans", "studyplans", "studyplans"], "returned_programs": ["Economic and Legal Studies", "Experimental Biomedical Research", "Physics"]},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400, "candidate_count_global_fallback": 400, "source_intent": "studyplans", "returned_count": 20, "returned_programs": ["Biochemistry", "Biology", "Economic and Legal Studies", "Experimental Biomedical Research", "Physics"], "query": "How is the Teacher Trianing structured?", "query_language": "en"}], "returned_count": 20}}, "reglementations": {"error": "", "quota": 4},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is the Teacher Trianing structured?", "query_language": "en"}], "returned_count": 6}}}, "candidate_count_before_dedupe": 26, "returned_count": 10, "returned_sources": ["studyplans", "studyplans", "studyplans", "studyplans", "studyplans", "studyplans", "studyplans", "studyplans", "studyplans", "studyplans"], "returned_programs": ["Economic and Legal Studies", "Experimental Biomedical Research", "Physics"]}}, {"source": null, "page": 1, "snippet": "s-related activities in the Neuroscience option | Thesis-related activities in the Neuroscience option |\n| SME.07002 | Fribourg day of cognition | 0.5 | | | O | |\n| SME.06001 | Neurobiology (seminar) | 0.5 | | | O | |\n| SME.07001 | Neurobiology (seminar) | 0.5 | | | O | |\n| SME.07306 | Frontiers in neuroscience BENEFRI (workshop) | 0.5 | | | O | |\n| SME.07307 | Neuroscience journal club  2 semesters x 18 h  | 4 | | | O | |\n| SME.07609 | Research group meetings in Neuroscience  3 semesters x 1", "metadata": {"parsed_at": "2026-04-08T21:54:01.483Z", "pages": 1, "parser": "docling", "doc_key": "45888c5fb7541dd043fe562f24a0498b6228d02e", "degree_level": "Master", "total_ects": 120, "program_name": "Experimental Biomedical Research", "doc_label": "SpMSc in Experimental Biomedical&amp;nbsp;Research", "source_url": "https://cdn.unifr.ch/scimed/plans/2024/Plan_MScSp_EBR_en.pdf", "source_type": "pdf", "curriculum_url": "http://studies.unifr.ch/go/vBvMa", "fetched_at": "2026-04-03T11:26:36.972Z", "source_file": "Master_120_45888c5fb7541dd043fe562f24a0498b6228d02e.txt", "index_variant": "table_semantic_v1", "chunk_id": "45888c5fb7541dd043fe562f24a0498b6228d02e::semantic_table::chunk::0083", "chunk_type": "table", "section": "3. Appendix: Table summarizing all master courses &gt; The Course units are shown as O (Obligatory), E (Elective), - not possible Options are:", "page_start": 1, "page_end": 1, "chunk_pages": [1], "contains_table": true, "block_kinds": ["table"], "prev_chunk_id": "45888c5fb7541dd043fe562f24a0498b6228d02e::semantic_table::chunk::0082", "next_chunk_id": "45888c5fb7541dd043fe562f24a0498b6228d02e::semantic_table::chunk::0084",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400, "candidate_count_global_fallback": 400, "source_intent": "studyplans", "returned_count": 20, "returned_programs": ["Biochemistry", "Biology", "Economic and Legal Studies", "Experimental Biomedical Research", "Physics"], "query": "How is the Teacher Trianing structured?", "query_language": "en"}], "returned_count": 20}}, "reglementations": {"error": "", "quota": 4},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is the Teacher Trianing structured?", "query_language": "en"}], "returned_count": 6}}}, "candidate_count_before_dedupe": 26, "returned_count": 10, "returned_sources": ["studyplans", "studyplans", "studyplans", "studyplans", "studyplans", "studyplans", "studyplans", "studyplans", "studyplans", "studyplans"], "returned_programs": ["Economic and Legal Studies", "Experimental Biomedical Research", "Physics"]},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400, "candidate_count_global_fallback": 400, "source_intent": "studyplans", "returned_count": 20, "returned_programs": ["Biochemistry", "Biology", "Economic and Legal Studies", "Experimental Biomedical Research", "Physics"], "query": "How is the Teacher Trianing structured?", "query_language": "en"}], "returned_count": 20}}, "reglementations": {"error": "", "quota": 4},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is the Teacher Trianing structured?", "query_language": "en"}], "returned_count": 6}}}, "candidate_count_before_dedupe": 26, "returned_count": 10, "returned_sources": ["studyplans", "studyplans", "studyplans", "studyplans", "studyplans", "studyplans", "studyplans", "studyplans", "studyplans", "studyplans"], "returned_programs": ["Economic and Legal Studies", "Experimental Biomedical Research", "Physics"]}}, {"source": null, "page": 1, "snippet": "Section: Offered by the Dept. of Biology. &gt; Compulsory course Units in the Neuroscience option\n\nTable rows:\n- Thesis-related activities in the Neuroscience option: Code; Thesis-related activities in the Neuroscience option: Title of UE; column_3: Semester; column_4: tot. h.; column_5: ECTS\n- Thesis-related activities in the Neuroscience option: SME.07002; Thesis-related activities in the Neuroscience option: Fribourg day of cognition; column_3: AS; column_4: 8; column_5: 0.5\n- Thesis-related act", "metadata": {"parsed_at": "2026-04-09T05:53:19.698Z", "pages": 1, "parser": "docling", "doc_key": "77ed86466139fac4ba984010445b44f0fc9ea6c5", "degree_level": "Master", "total_ects": 120, "program_name": "Experimental Biomedical Research", "doc_label": "SpMSc in Experimental Biomedical&amp;nbsp;Research", "source_url": "https://cdn.unifr.ch/scimed/plans/2023/Plan_MScSp_EBR_en.pdf", "source_type": "pdf", "curriculum_url": "http://studies.unifr.ch/go/vBvMa", "fetched_at": "2026-04-03T11:26:39.565Z", "source_file": "Master_120_77ed86466139fac4ba984010445b44f0fc9ea6c5.txt", "index_variant": "table_semantic_v1", "chunk_id": "77ed86466139fac4ba984010445b44f0fc9ea6c5::semantic_table::chunk::0028", "chunk_type": "table", "section": "Offered by the Dept. of Biology. &gt; Compulsory course Units in the Neuroscience option", "page_start": 1, "page_end": 1, "chunk_pages": [1], "contains_table": true, "block_kinds": ["table"], "prev_chunk_id": "77ed86466139fac4ba984010445b44f0fc9ea6c5::semantic_table::chunk::0027", "next_chunk_id": "77ed86466139fac4ba984010445b44f0fc9ea6c5::semantic_table::chunk::0029",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400, "candidate_count_global_fallback": 400, "source_intent": "studyplans", "returned_count": 20, "returned_programs": ["Biochemistry", "Biology", "Economic and Legal Studies", "Experimental Biomedical Research", "Physics"], "query": "How is the Teacher Trianing structured?", "query_language": "en"}], "returned_count": 20}}, "reglementations": {"error": "", "quota": 4},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is the Teacher Trianing structured?", "query_language": "en"}], "returned_count": 6}}}, "candidate_count_before_dedupe": 26, "returned_count": 10, "returned_sources": ["studyplans", "studyplans", "studyplans", "studyplans", "studyplans", "studyplans", "studyplans", "studyplans", "studyplans", "studyplans"], "returned_programs": ["Economic and Legal Studies", "Experimental Biomedical Research", "Physics"]},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400, "candidate_count_global_fallback": 400, "source_intent": "studyplans", "returned_count": 20, "returned_programs": ["Biochemistry", "Biology", "Economic and Legal Studies", "Experimental Biomedical Research", "Physics"], "query": "How is the Teacher Trianing structured?", "query_language": "en"}], "returned_count": 20}}, "reglementations": {"error": "", "quota": 4},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is the Teacher Trianing structured?", "query_language": "en"}], "returned_count": 6}}}, "candidate_count_before_dedupe": 26, "returned_count": 10, "returned_sources": ["studyplans", "studyplans", "studyplans", "studyplans", "studyplans", "studyplans", "studyplans", "studyplans", "studyplans", "studyplans"], "returned_programs": ["Economic and Legal Studies", "Experimental Biomedical Research", "Physics"]}}, {"source": null, "page": 1, "snippet": "Section: Thesis-related activities in the Neuroscience option\n\nTable rows:\n- Code: SME.07002; Title of UE: Fribourg day of cognition; tot. h.: 8; ECTS: 0.5\n- Code: SME.06001; Title of UE: Neurobiology (seminar); tot. h.: 5; ECTS: 0.5\n- Code: SME.07001; Title of UE: Neurobiology (seminar); tot. h.: 5; ECTS: 0.5\n- Code: SME.07302; Title of UE: Frontiers in neuroscience BENEFRI (workshop); tot. h.: 18; ECTS: 1.5\n- Code: SME.07304; Title of UE: Neuroscience journal club [2 semesters x 14h]; tot. h.:", "metadata": {"parsed_at": "2026-04-09T12:54:45.584Z", "pages": 1, "parser": "docling", "doc_key": "42b5c70b33031bc9a3ee4f9358bf37b13977cd89", "degree_level": "Master", "total_ects": 120, "program_name": "Experimental Biomedical Research", "doc_label": "SpMSc in Experimental Biomedical&amp;nbsp;Research", "source_url": "https://cdn.unifr.ch/scimed/plans/2020/Plan_MScSp_EBR_en.pdf", "source_type": "pdf", "curriculum_url": "http://studies.unifr.ch/go/vBvMa", "fetched_at": "2026-04-03T11:26:47.211Z", "source_file": "Master_120_42b5c70b33031bc9a3ee4f9358bf37b13977cd89.txt", "index_variant": "table_semantic_v1", "chunk_id": "42b5c70b33031bc9a3ee4f9358bf37b13977cd89::semantic_table::chunk::0027", "chunk_type": "table", "section": "Thesis-related activities in the Neuroscience option", "page_start": 1, "page_end": 1, "chunk_pages": [1], "contains_table": true, "block_kinds": ["table"], "prev_chunk_id": "42b5c70b33031bc9a3ee4f9358bf37b13977cd89::semantic_table::chunk::0026", "next_chunk_id": "42b5c70b33031bc9a3ee4f9358bf37b13977cd89::semantic_table::chunk::0028",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400, "candidate_count_global_fallback": 400, "source_intent": "studyplans", "returned_count": 20, "returned_programs": ["Biochemistry", "Biology", "Economic and Legal Studies", "Experimental Biomedical Research", "Physics"], "query": "How is the Teacher Trianing structured?", "query_language": "en"}], "returned_count": 20}}, "reglementations": {"error": "", "quota": 4},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is the Teacher Trianing structured?", "query_language": "en"}], "returned_count": 6}}}, "candidate_count_before_dedupe": 26, "returned_count": 10, "returned_sources": ["studyplans", "studyplans", "studyplans", "studyplans", "studyplans", "studyplans", "studyplans", "studyplans", "studyplans", "studyplans"], "returned_programs": ["Economic and Legal Studies", "Experimental Biomedical Research", "Physics"]},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400, "candidate_count_global_fallback": 400, "source_intent": "studyplans", "returned_count": 20, "returned_programs": ["Biochemistry", "Biology", "Economic and Legal Studies", "Experimental Biomedical Research", "Physics"], "query": "How is the Teacher Trianing structured?", "query_language": "en"}], "returned_count": 20}}, "reglementations": {"error": "", "quota": 4},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is the Teacher Trianing structured?", "query_language": "en"}], "returned_count": 6}}}, "candidate_count_before_dedupe": 26, "returned_count": 10, "returned_sources": ["studyplans", "studyplans", "studyplans", "studyplans", "studyplans", "studyplans", "studyplans", "studyplans", "studyplans", "studyplans"], "returned_programs": ["Economic and Legal Studies", "Experimental Biomedical Research", "Physics"]}}, {"source": null, "page": 1, "snippet": "sychologie (Philosophische Fakultät) **: Psychologie sociale II; Psychologie (Philosophische Fakultät) **: FS; Psychologie (Philosophische Fakultät) **: 28; Psychologie (Philosophische Fakultät) **: 3\n- Psychologie (Philosophische Fakultät) **: L25.01030; Psychologie (Philosophische Fakultät) **: Sozialpsychologie I; Psychologie (Philosophische Fakultät) **: HS; Psychologie (Philosophische Fakultät) **: 28; Psychologie (Philosophische Fakultät) **: 3\n- Psychologie (Philosophische Fakultät) **: L", "metadata": {"parsed_at": "2026-04-09T16:37:46.642Z", "pages": 1, "parser": "docling", "doc_key": "e5dd0061e289f3487f7637e65ee9766e0441d734", "degree_level": "Bachelor", "total_ects": 150, "program_name": "Physics", "doc_label": "Hauptfach Sport- und Bewegungswissenschaften /&amp;nbsp;Gesundheit-Leistung-Forschung", "source_url": "https://cdn.unifr.ch/scimed/plans/2024/Plan_BSc_SP-GLF_de.pdf", "source_type": "pdf", "curriculum_url": "http://studies.unifr.ch/go/0fTFn", "fetched_at": "2026-04-03T11:27:33.536Z", "source_file": "Bachelor_150_e5dd0061e289f3487f7637e65ee9766e0441d734.txt", "index_variant": "table_semantic_v1", "chunk_id": "e5dd0061e289f3487f7637e65ee9766e0441d734::semantic_table::chunk::0057", "chunk_type": "table", "section": "2.2.3 Unterrichtseinheiten: Anrechnungseinheit \"wissenschaftliche Ausbildung GLF\" (BSc3)", "page_start": 1, "page_end": 1, "chunk_pages": [1], "contains_table": true, "block_kinds": ["table"], "prev_chunk_id": "e5dd0061e289f3487f7637e65ee9766e0441d734::semantic_table::chunk::0056", "next_chunk_id": "e5dd0061e289f3487f7637e65ee9766e0441d734::semantic_table::chunk::0058",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400, "candidate_count_global_fallback": 400, "source_intent": "studyplans", "returned_count": 20, "returned_programs": ["Biochemistry", "Biology", "Economic and Legal Studies", "Experimental Biomedical Research", "Physics"], "query": "How is the Teacher Trianing structured?", "query_language": "en"}], "returned_count": 20}}, "reglementations": {"error": "", "quota": 4},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is the Teacher Trianing structured?", "query_language": "en"}], "returned_count": 6}}}, "candidate_count_before_dedupe": 26, "returned_count": 10, "returned_sources": ["studyplans", "studyplans", "studyplans", "studyplans", "studyplans", "studyplans", "studyplans", "studyplans", "studyplans", "studyplans"], "returned_programs": ["Economic and Legal Studies", "Experimental Biomedical Research", "Physics"]}, "source_retrieval_quota": 20}, "retrieval_debug": {"retrieval_mode": "multi_vectorstore_weighted_rerank", "source_intent": "studyplans", "quotas": {"studyplans": 20, </t>
  </si>
  <si>
    <t>Bachelor_120_b0209ef54ad8e4800f4a1491b39f11676d886557.txt</t>
  </si>
  <si>
    <t>studyplans</t>
  </si>
  <si>
    <t>en) | Semester | Niveau | Sprache | Bewertung | ECTS | |------------------------------------------------|------------------------------------------------|------------------------------------------------|------------------------------------------------|------------------------------------------------|------------------------------------------------|</t>
  </si>
  <si>
    <t>medium</t>
  </si>
  <si>
    <t>What courses are thaught in the Master of Slavic Studies?</t>
  </si>
  <si>
    <t>list of courses</t>
  </si>
  <si>
    <t>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t>
  </si>
  <si>
    <t>1. [studyplans] Master_90_59edacccbc814f4ca7dd2a3d388690f68f8d8f12.txt p.1 - Section: Inhaltsverzeichnis Table rows: - 1.: 2; Gesetzliche Grundlagen ......................................................................................................... 1: Beschreibung des Programms ............
2. [studyplans] Master_90_59edacccbc814f4ca7dd2a3d388690f68f8d8f12.txt p.1 - ............................................................... 3 - 1.: 8; Gesetzliche Grundlagen ......................................................................................................... 1: Studienreisen
3. [studyplans] Master_90_59edacccbc814f4ca7dd2a3d388690f68f8d8f12.txt p.1 - .............................................................................................................. 3 | | 6 | Allgemeine Organisation ...........................................................................
4. [studyplans] Master_90_59edacccbc814f4ca7dd2a3d388690f68f8d8f12.txt p.1 - Section: Modul 1: Literaturwissenschaft Table rows: - column_1: SE; column_2: Seminar; Ort: FR; SWS: 2; ECTS: 6 - column_1: VL; column_2: Vorlesung; Ort: FR; SWS: 2; ECTS: 3 - column_1: SLK; column_2: Selbstlernkurs (Übu
5. [studyplans] Master_90_59edacccbc814f4ca7dd2a3d388690f68f8d8f12.txt p.1 - Section: Modul 2: Sprachwissenschaft Table rows: - column_1: SE; column_2: Seminar; Ort: BE; SWS: 2; ECTS: 6 - column_1: VL; column_2: Vorlesung; Ort: BE; SWS: 2; ECTS: 3 - column_1: SLK; column_2: Selbstlernkurs (Übung/
6. [studyplans] Master_90_59edacccbc814f4ca7dd2a3d388690f68f8d8f12.txt p.1 - Section: 3A: Literaturwissenschaft Table rows: - column_1: SE; column_2: Seminar; Ort: FR; SWS: 2; ECTS: 6 - column_1: SA; column_2: Seminararbeit; Ort: FR; SWS: -; ECTS: 6 - ECTS: 12 Raw table: | | | Ort | SWS | ECTS | 
7. [studyplans] Master_90_59edacccbc814f4ca7dd2a3d388690f68f8d8f12.txt p.1 - Section: 3B: Sprachwissenschaft Table rows: - column_1: SE; column_2: Seminar; Ort: BE; SWS: 2; ECTS: 6 - column_1: SA; column_2: Seminararbeit; Ort: BE; SWS: -; ECTS: 6 - ECTS: 12 Raw table: | | | Ort | SWS | ECTS | |--
8. [studyplans] Master_90_59edacccbc814f4ca7dd2a3d388690f68f8d8f12.txt p.1 - Section: 4A: Transfer interdisziplinär Table rows: - column_1: SE; column_2: Seminar; Ort: BE/FR; SWS: 2; ECTS: 6 - column_1: K; column_2: Kolloquium; Ort: BE/FR; SWS: 2; ECTS: 3 - column_1: PP; column_2: Praktisches Pro
9. [studyplans] Master_90_59edacccbc814f4ca7dd2a3d388690f68f8d8f12.txt p.1 - Section: 4B: Transfer Beruf (Praktikum) Table rows: - column_1: P; column_2: Praktikum und Bericht; ECTS: 9 - column_1: K; column_2: Kolloquium; Ort: BE/FR; SWS: 2; ECTS: 3 - ECTS: 12 Raw table: | | | Ort | SWS | ECTS | 
10. [studyplans] Master_90_59edacccbc814f4ca7dd2a3d388690f68f8d8f12.txt p.1 - Section: 4C: Transfer Ideengeschichte Table rows: - column_1: VL/SE; column_2: Vorlesung oder Seminar; Ort: BE; SWS: 2; ECTS: 3 - column_1: SA; column_2: Seminararbeit; Ort: FR; SWS: 2; ECTS: 6 - column_1: K; column_2: K</t>
  </si>
  <si>
    <t>[{"source": null, "page": 1, "snippet": "Section: Inhaltsverzeichnis\n\nTable rows:\n- 1.: 2; Gesetzliche Grundlagen ......................................................................................................... 1: Beschreibung des Programms ............................................................................................... 1\n- 1.: 3; Gesetzliche Grundlagen ......................................................................................................... 1: Ausbildungsziele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"59edacccbc814f4ca7dd2a3d388690f68f8d8f12::semantic_table::chunk::0002", "chunk_type": "table", "section": "Inhaltsverzeichnis", "page_start": 1, "page_end": 1, "chunk_pages": [1], "contains_table": true, "block_kinds": ["table"], "prev_chunk_id": "59edacccbc814f4ca7dd2a3d388690f68f8d8f12::semantic_table::chunk::0001", "next_chunk_id": "59edacccbc814f4ca7dd2a3d388690f68f8d8f12::semantic_table::chunk::0003",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20, "returned_programs": ["Slavic Studies"], "query": "What courses are thaught in the Master of Slavic Studies?",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26, "returned_count": 10, "returned_sources": ["studyplans", "studyplans", "studyplans", "studyplans", "studyplans", "studyplans", "studyplans", "studyplans", "studyplans", "studyplans"], "returned_programs": ["Slavic Studies"]},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20, "returned_programs": ["Slavic Studies"], "query": "What courses are thaught in the Master of Slavic Studies?",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26, "returned_count": 10, "returned_sources": ["studyplans", "studyplans", "studyplans", "studyplans", "studyplans", "studyplans", "studyplans", "studyplans", "studyplans", "studyplans"], "returned_programs": ["Slavic Studies"]}}, {"source": null, "page": 1, "snippet": "............................................................... 3\n- 1.: 8; Gesetzliche Grundlagen ......................................................................................................... 1: Studienreisen und Exkursionen .............................................................................................. 9\n- 1.: 9; Gesetzliche Grundlagen ......................................................................................................... 1: Prüfungsmodalitäten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"59edacccbc814f4ca7dd2a3d388690f68f8d8f12::semantic_table::chunk::0003", "chunk_type": "table", "section": "Inhaltsverzeichnis", "page_start": 1, "page_end": 1, "chunk_pages": [1], "contains_table": true, "block_kinds": ["table"], "prev_chunk_id": "59edacccbc814f4ca7dd2a3d388690f68f8d8f12::semantic_table::chunk::0002", "next_chunk_id": "59edacccbc814f4ca7dd2a3d388690f68f8d8f12::semantic_table::chunk::0004",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20, "returned_programs": ["Slavic Studies"], "query": "What courses are thaught in the Master of Slavic Studies?",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26, "returned_count": 10, "returned_sources": ["studyplans", "studyplans", "studyplans", "studyplans", "studyplans", "studyplans", "studyplans", "studyplans", "studyplans", "studyplans"], "returned_programs": ["Slavic Studies"]},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20, "returned_programs": ["Slavic Studies"], "query": "What courses are thaught in the Master of Slavic Studies?",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26, "returned_count": 10, "returned_sources": ["studyplans", "studyplans", "studyplans", "studyplans", "studyplans", "studyplans", "studyplans", "studyplans", "studyplans", "studyplans"], "returned_programs": ["Slavic Studies"]}}, {"source": null, "page": 1, "snippet": ".............................................................................................................. 3 |\n| 6 | Allgemeine Organisation ......................................................................................................... 3 |\n| 7 | Beschreibung der Module ....................................................................................................... 3 |\n| 8 | Studienreisen und Exkursionen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"59edacccbc814f4ca7dd2a3d388690f68f8d8f12::semantic_table::chunk::0004", "chunk_type": "table", "section": "Inhaltsverzeichnis", "page_start": 1, "page_end": 1, "chunk_pages": [1], "contains_table": true, "block_kinds": ["table"], "prev_chunk_id": "59edacccbc814f4ca7dd2a3d388690f68f8d8f12::semantic_table::chunk::0003", "next_chunk_id": "59edacccbc814f4ca7dd2a3d388690f68f8d8f12::semantic_table::chunk::0005",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20, "returned_programs": ["Slavic Studies"], "query": "What courses are thaught in the Master of Slavic Studies?",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26, "returned_count": 10, "returned_sources": ["studyplans", "studyplans", "studyplans", "studyplans", "studyplans", "studyplans", "studyplans", "studyplans", "studyplans", "studyplans"], "returned_programs": ["Slavic Studies"]},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20, "returned_programs": ["Slavic Studies"], "query": "What courses are thaught in the Master of Slavic Studies?",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26, "returned_count": 10, "returned_sources": ["studyplans", "studyplans", "studyplans", "studyplans", "studyplans", "studyplans", "studyplans", "studyplans", "studyplans", "studyplans"], "returned_programs": ["Slavic Studies"]}}, {"source": null, "page": 1, "snippet": "Section: Modul 1: Literaturwissenschaft\n\nTable rows:\n- column_1: SE; column_2: Seminar; Ort: FR; SWS: 2; ECTS: 6\n- column_1: VL; column_2: Vorlesung; Ort: FR; SWS: 2; ECTS: 3\n- column_1: SLK; column_2: Selbstlernkurs (Übung/Essay/Exkursion, gekoppelt an VL); Ort: FR; SWS: -/2; ECTS: 3\n- ECTS: 12\n\nRaw table:\n| | | Ort | SWS | ECTS |\n|-----|---------------------------------------------------------|-------|-------|--------|\n| SE | Seminar | FR | 2 | 6 |\n| VL | Vorlesung | FR | 2 | 3 |\n| SLK | Selbs",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"59edacccbc814f4ca7dd2a3d388690f68f8d8f12::semantic_table::chunk::0020", "chunk_type": "table", "section": "Modul 1: Literaturwissenschaft", "page_start": 1, "page_end": 1, "chunk_pages": [1], "contains_table": true, "block_kinds": ["table"], "prev_chunk_id": "59edacccbc814f4ca7dd2a3d388690f68f8d8f12::semantic_table::chunk::0019", "next_chunk_id": "59edacccbc814f4ca7dd2a3d388690f68f8d8f12::semantic_table::chunk::0021",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20, "returned_programs": ["Slavic Studies"], "query": "What courses are thaught in the Master of Slavic Studies?",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26, "returned_count": 10, "returned_sources": ["studyplans", "studyplans", "studyplans", "studyplans", "studyplans", "studyplans", "studyplans", "studyplans", "studyplans", "studyplans"], "returned_programs": ["Slavic Studies"]},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20, "returned_programs": ["Slavic Studies"], "query": "What courses are thaught in the Master of Slavic Studies?",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26, "returned_count": 10, "returned_sources": ["studyplans", "studyplans", "studyplans", "studyplans", "studyplans", "studyplans", "studyplans", "studyplans", "studyplans", "studyplans"], "returned_programs": ["Slavic Studies"]}}, {"source": null, "page": 1, "snippet": "Section: Modul 2: Sprachwissenschaft\n\nTable rows:\n- column_1: SE; column_2: Seminar; Ort: BE; SWS: 2; ECTS: 6\n- column_1: VL; column_2: Vorlesung; Ort: BE; SWS: 2; ECTS: 3\n- column_1: SLK; column_2: Selbstlernkurs (Übung/Essay/Exkursion, gekoppelt an VL); Ort: BE; SWS: -/2; ECTS: 3\n- ECTS: 12\n\nRaw table:\n| | | Ort | SWS | ECTS |\n|-----|---------------------------------------------------------|-------|-------|--------|\n| SE | Seminar | BE | 2 | 6 |\n| VL | Vorlesung | BE | 2 | 3 |\n| SLK | Selbstle",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"59edacccbc814f4ca7dd2a3d388690f68f8d8f12::semantic_table::chunk::0023", "chunk_type": "table", "section": "Modul 2: Sprachwissenschaft", "page_start": 1, "page_end": 1, "chunk_pages": [1], "contains_table": true, "block_kinds": ["table"], "prev_chunk_id": "59edacccbc814f4ca7dd2a3d388690f68f8d8f12::semantic_table::chunk::0022", "next_chunk_id": "59edacccbc814f4ca7dd2a3d388690f68f8d8f12::semantic_table::chunk::0024",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20, "returned_programs": ["Slavic Studies"], "query": "What courses are thaught in the Master of Slavic Studies?",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26, "returned_count": 10, "returned_sources": ["studyplans", "studyplans", "studyplans", "studyplans", "studyplans", "studyplans", "studyplans", "studyplans", "studyplans", "studyplans"], "returned_programs": ["Slavic Studies"]},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20, "returned_programs": ["Slavic Studies"], "query": "What courses are thaught in the Master of Slavic Studies?",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26, "returned_count": 10, "returned_sources": ["studyplans", "studyplans", "studyplans", "studyplans", "studyplans", "studyplans", "studyplans", "studyplans", "studyplans", "studyplans"], "returned_programs": ["Slavic Studies"]}}, {"source": null, "page": 1, "snippet": "Section: 3A: Literaturwissenschaft\n\nTable rows:\n- column_1: SE; column_2: Seminar; Ort: FR; SWS: 2; ECTS: 6\n- column_1: SA; column_2: Seminararbeit; Ort: FR; SWS: -; ECTS: 6\n- ECTS: 12\n\nRaw table:\n| | | Ort | SWS | ECTS |\n|----|---------------|-------|-------|--------|\n| SE | Seminar | FR | 2 | 6 |\n| SA | Seminararbeit | FR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"59edacccbc814f4ca7dd2a3d388690f68f8d8f12::semantic_table::chunk::0027", "chunk_type": "table", "section": "3A: Literaturwissenschaft", "page_start": 1, "page_end": 1, "chunk_pages": [1], "contains_table": true, "block_kinds": ["table"], "prev_chunk_id": "59edacccbc814f4ca7dd2a3d388690f68f8d8f12::semantic_table::chunk::0026", "next_chunk_id": "59edacccbc814f4ca7dd2a3d388690f68f8d8f12::semantic_table::chunk::0028",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20, "returned_programs": ["Slavic Studies"], "query": "What courses are thaught in the Master of Slavic Studies?",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26, "returned_count": 10, "returned_sources": ["studyplans", "studyplans", "studyplans", "studyplans", "studyplans", "studyplans", "studyplans", "studyplans", "studyplans", "studyplans"], "returned_programs": ["Slavic Studies"]},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20, "returned_programs": ["Slavic Studies"], "query": "What courses are thaught in the Master of Slavic Studies?",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26, "returned_count": 10, "returned_sources": ["studyplans", "studyplans", "studyplans", "studyplans", "studyplans", "studyplans", "studyplans", "studyplans", "studyplans", "studyplans"], "returned_programs": ["Slavic Studies"]}}, {"source": null, "page": 1, "snippet": "Section: 3B: Sprachwissenschaft\n\nTable rows:\n- column_1: SE; column_2: Seminar; Ort: BE; SWS: 2; ECTS: 6\n- column_1: SA; column_2: Seminararbeit; Ort: BE; SWS: -; ECTS: 6\n- ECTS: 12\n\nRaw table:\n| | | Ort | SWS | ECTS |\n|----|---------------|-------|-------|--------|\n| SE | Seminar | BE | 2</t>
  </si>
  <si>
    <t>Master_90_59edacccbc814f4ca7dd2a3d388690f68f8d8f12.txt</t>
  </si>
  <si>
    <t>Section: Inhaltsverzeichnis Table rows: - 1.: 2; Gesetzliche Grundlagen ......................................................................................................... 1: Beschreibung des Programms ............................................................................................... 1 - 1.: 3; Gesetzliche Grundlagen ............</t>
  </si>
  <si>
    <t>general_uni_data</t>
  </si>
  <si>
    <t>How many ects credits does a master program have?</t>
  </si>
  <si>
    <t>standard number of ects. Possibly highlighting possible deviations per faculty</t>
  </si>
  <si>
    <t>base_data vectorstore</t>
  </si>
  <si>
    <t>unifr_elite_sports.json; unifr_elite_sports.json; unifr_examinations_faculty_rules.json; unifr_examinations_faculty_rules.json; unifr_examinations_faculty_rules.json; languages_of_study.json; unifr_elite_sports.json; languages_of_study.json; unifr_elite_sports.json; languages_of_study.json</t>
  </si>
  <si>
    <t>base_data; base_data; base_data; base_data; base_data; base_data; base_data; base_data; base_data; base_data</t>
  </si>
  <si>
    <t xml:space="preserve">; ; ; ; ; ; ; ; ; </t>
  </si>
  <si>
    <t>1. [base_data] unifr_elite_sports.json p. - Master Master The 2 nd cycle of studies in which students deepen the knowledge acquired in the 1st cycle (bachelor). To gain a master’s degree students have to acquire 90 to 120 ECTS credits in 1.5 to 2 years of full-tim
2. [base_data] unifr_elite_sports.json p. - Bachelor Bachelor The 1 st cycle of studies in which students receive a general scientific education. To gain a bachelor’s degree students have to acquire 180 ECTS credits in 3 years of full-time studies.
3. [base_data] unifr_examinations_faculty_rules.json p. - Previous context: you by post as soon as all ECTS credits from the program's validation packages have been validated. It serves as an official document until the graduation ceremony . Transcripts o you by post as soon as
4. [base_data] unifr_examinations_faculty_rules.json p. - Previous context: Types of transcripts and certificates Types of transcripts and certificates - Intermediate transcript of records An intermediate transcript of records is a temporary status report. You can request an in
5. [base_data] unifr_examinations_faculty_rules.json p. - Previous context: an be validated. However, all results will appear on the intermediate transcript of records. Interruption of studies/failure In the event of exmatriculation before the end of studi an be validated. Howe
6. [base_data] languages_of_study.json p. - Previous context: curriculum, French/German » if they have obtained at least 40% of the ECTS credits required by the study plan in each of these two languages. Holders of a swiss certificate of uppe curriculum, French/Ge
7. [base_data] unifr_elite_sports.json p. - Previous context: curriculum, French/German » if they have obtained at least 40% of the ECTS credits required by the study plan in each of these two languages. Holders of a swiss certificate of uppe curriculum, French/Ge
8. [base_data] languages_of_study.json p. - Previous context: lingual to undertake studies in two languages. In any case, as long as the study programme permits, it is possible to return to studying in a single language at any time. For admis lingual to undertake 
9. [base_data] unifr_elite_sports.json p. - Previous context: lingual to undertake studies in two languages. In any case, as long as the study programme permits, it is possible to return to studying in a single language at any time. For admis lingual to undertake 
10. [base_data] languages_of_study.json p. - Previous context: Bilingual curriculum Bilingual curriculum Students must take classes in both languages in study programmes which are partly taught in French and partly in German. The division of languages is set down i</t>
  </si>
  <si>
    <t>[{"source": null, "page": null, "snippet": "Master\n\nMaster\nThe 2 nd cycle of studies in which students deepen the knowledge acquired in the 1st cycle (bachelor). To gain a master’s degree students have to acquire 90 to 120 ECTS credits in 1.5 to 2 years of full-time studies.", "metadata": {"doc_key": "unifr_elite_sport_www_unifr_ch_studies_en_organisation_lexique", "source_type": "unifr_elite_sport_page", "source_url": "https://www.unifr.ch/studies/en/organisation/lexique/", "source_reference": "https://www.unifr.ch/studies/en/organisation/lexique/", "title": "Glossary | Studies | University of Fribourg", "page_heading": "Glossary", "language": "en", "parent_url": "https://www.unifr.ch/studies/en/organisation/during-studies/studies-and-elite-sportswomen-and-sportsmen.html", "source_file": "unifr_elite_sports.json", "parser": "scrapy_base_info_json", "index_variant": "base_info_semantic_v1", "section_index": 5, "section": "Master", "chunk_id": "unifr_elite_sport_www_unifr_ch_studies_en_organisation_lexique::section::005::chunk::001", "chunk_type": "section", "prev_chunk_id": "unifr_elite_sport_www_unifr_ch_studies_en_organisation_lexique::section::004::chunk::001", "next_chunk_id": "unifr_elite_sport_www_unifr_ch_studies_en_organisation_lexique::section::006::chunk::001", "rag_source": "base_data", "category": "base_data",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117, "source_intent": "base_data", "returned_count": 6, "returned_programs": ["Experimental Biomedical Research"], "query": "How many ects credits does a master program have?", "query_language": "en"}], "returned_count": 6}}, "reglementations": {"error": "", "quota": 4}, "base_data": {"quota": 20, "returned": 20,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"How many ects credits does a master program have?", "query_language": "en"}], "returned_count": 20}}}, "candidate_count_before_dedupe": 26, "returned_count": 10, "returned_sources": ["base_data", "base_data", "base_data", "base_data", "base_data", "base_data", "base_data", "base_data", "base_data", "base_data"], "returned_programs": []}, "source_retrieval_quota": 20},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117, "source_intent": "base_data", "returned_count": 6, "returned_programs": ["Experimental Biomedical Research"], "query": "How many ects credits does a master program have?", "query_language": "en"}], "returned_count": 6}}, "reglementations": {"error": "", "quota": 4}, "base_data": {"quota": 20, "returned": 20,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"How many ects credits does a master program have?", "query_language": "en"}], "returned_count": 20}}}, "candidate_count_before_dedupe": 26, "returned_count": 10, "returned_sources": ["base_data", "base_data", "base_data", "base_data", "base_data", "base_data", "base_data", "base_data", "base_data", "base_data"], "returned_programs": []}}, {"source": null, "page": null, "snippet": "Bachelor\n\nBachelor\nThe 1 st cycle of studies in which students receive a general scientific education. To gain a bachelor’s degree students have to acquire 180 ECTS credits in 3 years of full-time studies.", "metadata": {"doc_key": "unifr_elite_sport_www_unifr_ch_studies_en_organisation_lexique", "source_type": "unifr_elite_sport_page", "source_url": "https://www.unifr.ch/studies/en/organisation/lexique/", "source_reference": "https://www.unifr.ch/studies/en/organisation/lexique/", "title": "Glossary | Studies | University of Fribourg", "page_heading": "Glossary", "language": "en", "parent_url": "https://www.unifr.ch/studies/en/organisation/during-studies/studies-and-elite-sportswomen-and-sportsmen.html", "source_file": "unifr_elite_sports.json", "parser": "scrapy_base_info_json", "index_variant": "base_info_semantic_v1", "section_index": 4, "section": "Bachelor", "chunk_id": "unifr_elite_sport_www_unifr_ch_studies_en_organisation_lexique::section::004::chunk::001", "chunk_type": "section", "prev_chunk_id": "unifr_elite_sport_www_unifr_ch_studies_en_organisation_lexique::section::003::chunk::001", "next_chunk_id": "unifr_elite_sport_www_unifr_ch_studies_en_organisation_lexique::section::005::chunk::001", "rag_source": "base_data", "category": "base_data",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117, "source_intent": "base_data", "returned_count": 6, "returned_programs": ["Experimental Biomedical Research"], "query": "How many ects credits does a master program have?", "query_language": "en"}], "returned_count": 6}}, "reglementations": {"error": "", "quota": 4}, "base_data": {"quota": 20, "returned": 20,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"How many ects credits does a master program have?", "query_language": "en"}], "returned_count": 20}}}, "candidate_count_before_dedupe": 26, "returned_count": 10, "returned_sources": ["base_data", "base_data", "base_data", "base_data", "base_data", "base_data", "base_data", "base_data", "base_data", "base_data"], "returned_programs": []}, "source_retrieval_quota": 20},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117, "source_intent": "base_data", "returned_count": 6, "returned_programs": ["Experimental Biomedical Research"], "query": "How many ects credits does a master program have?", "query_language": "en"}], "returned_count": 6}}, "reglementations": {"error": "", "quota": 4}, "base_data": {"quota": 20, "returned": 20,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"How many ects credits does a master program have?", "query_language": "en"}], "returned_count": 20}}}, "candidate_count_before_dedupe": 26, "returned_count": 10, "returned_sources": ["base_data", "base_data", "base_data", "base_data", "base_data", "base_data", "base_data", "base_data", "base_data", "base_data"], "returned_programs": []}}, {"source": null, "page": null, "snippet": "Previous context: you by post as soon as all ECTS credits from the program's validation packages have been validated. It serves as an official document until the graduation ceremony .\nTranscripts o\n\nyou by post as soon as all ECTS credits from the program's validation packages have been validated. It serves as an official document until the graduation ceremony .\nTranscripts of records and the final certificate must be kept. The grades obtained in the assessments will appear only on the transcrip", "metadata": {"doc_key": "unifr_faculty_of_science_and_medicine_www_unifr_ch_scimed_en_validate", "source_type": "unifr_faculty_examination_rule_page", "source_url": "https://www.unifr.ch/scimed/en/validate", "source_reference": "https://www.unifr.ch/scimed/en/validate", "title": "Transcripts and validations | Faculty of Science and Medicine | University of Fribourg", "page_heading": "Transcripts and validations", "language": "en", "faculty": "Faculty of Science and Medicine", "parent_url": "https://www.unifr.ch/studies/en/organisation/during-studies/examinations.html", "source_file": "unifr_examinations_faculty_rules.json", "parser": "scrapy_base_info_json", "index_variant": "base_info_semantic_v1", "section_index": 4, "section": "Types of transcripts and certificates", "chunk_id": "unifr_faculty_of_science_and_medicine_www_unifr_ch_scimed_en_validate::section::004::chunk::004", "chunk_type": "section", "prev_chunk_id": "unifr_faculty_of_science_and_medicine_www_unifr_ch_scimed_en_validate::section::004::chunk::003", "next_chunk_id": "unifr_faculty_of_science_and_medicine_www_unifr_ch_scimed_en_validate::section::004::chunk::005", "rag_source": "base_data", "category": "base_data",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117, "source_intent": "base_data", "returned_count": 6, "returned_programs": ["Experimental Biomedical Research"], "query": "How many ects credits does a master program have?", "query_language": "en"}], "returned_count": 6}}, "reglementations": {"error": "", "quota": 4}, "base_data": {"quota": 20, "returned": 20,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"How many ects credits does a master program have?", "query_language": "en"}], "returned_count": 20}}}, "candidate_count_before_dedupe": 26, "returned_count": 10, "returned_sources": ["base_data", "base_data", "base_data", "base_data", "base_data", "base_data", "base_data", "base_data", "base_data", "base_data"], "returned_programs": []}, "source_retrieval_quota": 20},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117, "source_intent": "base_data", "returned_count": 6, "returned_programs": ["Experimental Biomedical Research"], "query": "How many ects credits does a master program have?", "query_language": "en"}], "returned_count": 6}}, "reglementations": {"error": "", "quota": 4}, "base_data": {"quota": 20, "returned": 20,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"How many ects credits does a master program have?", "query_language": "en"}], "returned_count": 20}}}, "candidate_count_before_dedupe": 26, "returned_count": 10, "returned_sources": ["base_data", "base_data", "base_data", "base_data", "base_data", "base_data", "base_data", "base_data", "base_data", "base_data"], "returned_programs": []}}, {"source": null, "page": null, "snippet": "Previous context: Types of transcripts and certificates\n\nTypes of transcripts and certificates\n- Intermediate transcript of records An intermediate transcript of records is a temporary status report. You can request an intermediate transcript of records at any time by emailing scimed@unifr.ch .\n- Transcript of records and final certificate A transcript of records indicates for each teaching unit of the validation package, the result of the assessment and the number of ECTS credits acquired. The ", "metadata": {"doc_key": "unifr_faculty_of_science_and_medicine_www_unifr_ch_scimed_en_validate", "source_type": "unifr_faculty_examination_rule_page", "source_url": "https://www.unifr.ch/scimed/en/validate", "source_reference": "https://www.unifr.ch/scimed/en/validate", "title": "Transcripts and validations | Faculty of Science and Medicine | University of Fribourg", "page_heading": "Transcripts and validations", "language": "en", "faculty": "Faculty of Science and Medicine", "parent_url": "https://www.unifr.ch/studies/en/organisation/during-studies/examinations.html", "source_file": "unifr_examinations_faculty_rules.json", "parser": "scrapy_base_info_json", "index_variant": "base_info_semantic_v1", "section_index": 4, "section": "Types of transcripts and certificates", "chunk_id": "unifr_faculty_of_science_and_medicine_www_unifr_ch_scimed_en_validate::section::004::chunk::002", "chunk_type": "section", "prev_chunk_id": "unifr_faculty_of_science_and_medicine_www_unifr_ch_scimed_en_validate::section::004::chunk::001", "next_chunk_id": "unifr_faculty_of_science_and_medicine_www_unifr_ch_scimed_en_validate::section::004::chunk::003", "rag_source": "base_data", "category": "base_data",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117, "source_intent": "base_data", "returned_count": 6, "returned_programs": ["Experimental Biomedical Research"], "query": "How many ects credits does a master program have?", "query_language": "en"}], "returned_count": 6}}, "reglementations": {"error": "", "quota": 4}, "base_data": {"quota": 20, "returned": 20,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"How many ects credits does a master program have?", "query_language": "en"}], "returned_count": 20}}}, "candidate_count_before_dedupe": 26, "returned_count": 10, "returned_sources": ["base_data", "base_data", "base_data", "base_data", "base_data", "base_data", "base_data", "base_data", "base_data", "base_data"], "returned_programs": []}, "source_retrieval_quota": 20},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117, "source_intent": "base_data", "returned_count": 6, "returned_programs": ["Experimental Biomedical Research"], "query": "How many ects credits does a master program have?", "query_language": "en"}], "returned_count": 6}}, "reglementations": {"error": "", "quota": 4}, "base_data": {"quota": 20, "returned": 20,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"How many ects credits does a master program have?", "query_language": "en"}], "returned_count": 20}}}, "candidate_count_before_dedupe": 26, "returned_count": 10, "returned_sources": ["base_data", "base_data", "base_data", "base_data", "base_data", "base_data", "base_data", "base_data", "base_data", "base_data"], "returned_programs": []}}, {"source": null, "page": null, "snippet": "Previous context: an be validated. However, all results will appear on the intermediate transcript of records. Interruption of studies/failure In the event of exmatriculation before the end of studi\n\nan be validated. However, all results will appear on the intermediate transcript of records. Interruption of studies/failure In the event of exmatriculation before the end of studies, as well as in the event of interruption or failure, a certificate for the successfully completed credits must be req", "metadata": {"doc_key": "unifr_faculty_of_science_and_medicine_www_unifr_ch_scimed_en_validate", "source_type": "unifr_faculty_examination_rule_page", "source_url": "https://www.unifr.ch/scimed/en/validate", "source_reference": "https://www.unifr.ch/scimed/en/validate", "title": "Transcripts and validations | Faculty of Science and Medicine | University of Fribourg", "page_heading": "Transcripts and validations", "language": "en", "faculty": "Faculty of Science and Medicine", "parent_url": "https://www.unifr.ch/studies/en/organisation/during-studies/examinations.html", "source_file": "unifr_examinations_faculty_rules.json", "parser": "scrapy_base_info_json", "index_variant": "base_info_semantic_v1", "section_index": 4, "section": "Types of transcripts and certificates", "chunk_id": "unifr_faculty_of_science_and_medicine_www_unifr_ch_scimed_en_validate::section::004::chunk::003", "chunk_type": "section", "prev_chunk_id": "unifr_faculty_of_science_and_medicine_www_unifr_ch_scimed_en_validate::section::004::chunk::002", "next_chunk_id": "unifr_faculty_of_science_and_medicine_www_unifr_ch_scimed_en_validate::section::004::chunk::004", "rag_source": "base_data", "category": "base_data",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117, "source_intent": "base_data", "returned_count": 6, "returned_programs": ["Experimental Biomedical Research"], "query": "How many ects credits does a master program have?", "query_language": "en"}], "returned_count": 6}}, "reglementations": {"error": "", "quota": 4}, "base_data": {"quota": 20, "returned": 20,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"How many ects credits does a master program have?", "query_language": "en"}], "returned_count": 20}}}, "candidate_count_before_dedupe": 26, "returned_count": 10, "returned_sources": ["base_data", "base_data", "base_data", "base_data", "base_data", "base_data", "base_data", "base_data", "base_data", "base_data"], "returned_programs": []}, "source_retrieval_quota": 20},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117, "source_intent": "base_data", "returned_count": 6, "returned_programs": ["Experimental Biomedical Research"], "query": "How many ects credits does a master program have?", "query_language": "en"}], "returned_count": 6}}, "reglementations": {"error": "", "quota": 4}, "base_data": {"quota": 20, "returned": 20,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"How many ects credits does a master program have?", "query_language": "en"}], "returned_count": 20}}}, "candidate_count_before_dedupe": 26, "returned_count": 10, "returned_sources": ["base_data", "base_data", "base_data", "base_data", "base_data", "base_data", "base_data", "base_data", "base_data", "base_data"], "returned_programs": []}}, {"source": null, "page": null, "snippet": "Previous context: curriculum, French/German » if they have obtained at least 40% of the ECTS credits required by the study plan in each of these two languages.\nHolders of a swiss certificate of uppe\n\ncurriculum, French/German » if they have obtained at least 40% of the ECTS credits required by the study plan in each of these two languages.\nHolders of a swiss certificate of upper secondary education diploma may take bilingual studies without any further conditions. In general, an average to good ", "metadata": {"doc_key": "unifr_languages_of_study_en", "source_type": "unifr_general_info_page", "source_url": "https://www.unifr.ch/studies/en/organisation/beginning-of-studies/languages-of-study.html", "title": "Languages of study | Studies | University of Fribourg", "page_heading": "Languages of study", "language": "en", "source_file": "languages_of_study.json", "parser": "scrapy_base_info_json", "index_variant": "base_info_semantic_v1", "section_index": 3, "section": "Bilingual curriculum", "source_reference": "https://www.unifr.ch/studies/en/organisation/beginning-of-studies/languages-of-study.html", "chunk_id": "unifr_languages_of_study_en::section::003::chunk::004", "chunk_type": "section", "prev_chunk_id": "unifr_languages_of_study_en::section::003::chunk::003", "next_chunk_id": "unifr_languages_of_study_en::section::003::chunk::005", "rag_source": "base_data", "category": "base_data",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117, "source_intent": "base_data", "returned_count": 6, "returned_programs": ["Experimental Biomedical Research"], "query": "How many ects credits does a master program have?", "query_language": "en"}], "returned_count": 6}}, "reglementations": {"error": "", "quota": 4}, "base_data": {"quota": 20, "returned": 20,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"How many ects credits does a master program have?", "query_language": "en"}], "returned_count": 20}}}, "candidate_count_before_dedupe": 26, "returned_count": 10, "returned_sources": ["base_data", "base_data", "base_data", "base_data", "base_data", "base_data", "base_data", "base_data", "base_data", "base_data"], "returned_programs": []}, "source_retrieval_quota": 20},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117, "source_intent": "base_data", "returned_count": 6, "returned_programs": ["Experimental Biomedical Research"], "query": "How many ects credits does a master program have?", "query_language": "en"}], "returned_count": 6}}, "reglementations": {"error": "", "quota": 4}, "base_data": {"quota": 20, "returned": 20,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"How many ects credits does a master program have?", "query_language": "en"}], "returned_count": 20}}}, "candidate_count_before_dedupe": 26, "returned_count": 10, "returned_sources": ["base_data", "base_data", "base_data", "base_data", "base_data", "base_data", "base_data", "base_data", "base_data", "base_data"], "returned_programs": []}}, {"source": null, "page": null, "snippet": "Previous context: curriculum, French/German » if they have obtained at least 40% of the ECTS credits required by the study plan in each of these two languages.\nHolders of a swiss certificate of uppe\n\ncurriculum, French/German » if they have obtained at least 40% of the ECTS credits required by the study plan in each of these two languages.\nHolders of a swiss certificate of upper secondary education diploma may take bilingual studies without any further conditions. In general, an average to good ", "metadata": {"doc_key": "unifr_elite_spor</t>
  </si>
  <si>
    <t>Master Master The 2 nd cycle of studies in which students deepen the knowledge acquired in the 1st cycle (bachelor). To gain a master’s degree students have to acquire 90 to 120 ECTS credits in 1.5 to 2 years of full-time studies.</t>
  </si>
  <si>
    <t>Which faculties exist?</t>
  </si>
  <si>
    <t>list of faculties</t>
  </si>
  <si>
    <t>unifr_studies_disability.json; structure_of_studies.json; unifr_elite_sports.json; unifr_elite_sports.json; unifr_elite_sports.json; languages_of_study.json; unifr_elite_sports.json; unifr_elite_sports.json; unifr_elite_sports.json; unifr_examinations_faculty_rules.json</t>
  </si>
  <si>
    <t>1. [base_data] unifr_studies_disability.json p. - Academic advisors Academic advisors Each faculty of the University also offers academic advice, and have at their disposal academic advisors who assist students with study planning, and respond to specific study-related 
2. [base_data] structure_of_studies.json p. - Bachelor Bachelor The Faculty of Law offers a full major study programme (180 ECTS credits) leading to a Bachelor of Law. The programme can be taken full-time or part-time. This programme can be combined with one or two 
3. [base_data] unifr_elite_sports.json p. - Bachelor Bachelor The Faculty of Law offers a full major study programme (180 ECTS credits) leading to a Bachelor of Law. The programme can be taken full-time or part-time. This programme can be combined with one or two 
4. [base_data] unifr_elite_sports.json p. - How to apply How to apply - For admission to the University of Fribourg, the procedure, deadlines and regulatory admission requirements must be respected and met. Admission to the University has no bearing on the possibl
5. [base_data] unifr_elite_sports.json p. - Study Programme Information Study Programme Information Questions concerning the study programmes offered at the University of Fribourg are handled by the responsible person for studies information. She informs Swiss and
6. [base_data] languages_of_study.json p. - Language courses Language courses The Language Centre of the University of Fribourg offers courses in French, German, English and Italian to students from all Faculties. In some cases, the ECTS credits obtained can be va
7. [base_data] unifr_elite_sports.json p. - Language courses Language courses The Language Centre of the University of Fribourg offers courses in French, German, English and Italian to students from all Faculties. In some cases, the ECTS credits obtained can be va
8. [base_data] unifr_elite_sports.json p. - Examination fees Examination fees The faculties are responsible for setting and collecting examination fees.
9. [base_data] unifr_elite_sports.json p. - Examinations Examinations Registration for examinations is done in all faculties by Internet. As the procedures and deadlines differ from one faculty to another, it is important to find out in advance about the examinati
10. [base_data] unifr_examinations_faculty_rules.json p. - Examinations Examinations Registration for examinations is done in all faculties by Internet. As the procedures and deadlines differ from one faculty to another, it is important to find out in advance about the examinati</t>
  </si>
  <si>
    <t xml:space="preserve">[{"source": null, "page": null, "snippet": "Academic advisors\n\nAcademic advisors\nEach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faculties.\n- Theology\n- Law\n- Management, economics and social sciences\n- Humanities\n- Science and medicine\nBachelor / Master / Doctorate\n\nTheology: https://www.unifr.ch/", "metadata": {"doc_key": "unifr_studies_disability_www_unifr_ch_campus_en_support_learning_and_success_orientation_html", "source_type": "unifr_studies_disability_page", "source_url": "https://www.unifr.ch/campus/en/support/learning-and-success/orientation.html", "source_reference": "https://www.unifr.ch/campus/en/support/learning-and-success/orientation.html", "title": "Studies information &amp; guidance | Campus | University of Fribourg", "page_heading": "Studies information &amp; guidance", "language": "en", "parent_url": "https://www.unifr.ch/campus/en/support/learning-and-success/studies-and-disability.html", "source_file": "unifr_studies_disability.json", "parser": "scrapy_base_info_json", "index_variant": "base_info_semantic_v1", "section_index": 2, "section": "Academic advisors", "chunk_id": "unifr_studies_disability_www_unifr_ch_campus_en_support_learning_and_success_orientation_html::section::002::chunk::001", "chunk_type": "section", "prev_chunk_id": "unifr_studies_disability_www_unifr_ch_campus_en_support_learning_and_success_orientation_html::section::001::chunk::001", "next_chunk_id": "unifr_studies_disability_www_unifr_ch_campus_en_support_learning_and_success_orientation_html::section::003::chunk::001", "rag_source": "base_data", "category": "base_data",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"Which faculties exist?", "query_language": "en"}], "returned_count": 20}}}, "candidate_count_before_dedupe": 26, "returned_count": 10, "returned_sources": ["base_data", "base_data", "base_data", "base_data", "base_data", "base_data", "base_data", "base_data", "base_data", "base_data"], "returned_programs": []}, "source_retrieval_quota": 20},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"Which faculties exist?", "query_language": "en"}], "returned_count": 20}}}, "candidate_count_before_dedupe": 26, "returned_count": 10, "returned_sources": ["base_data", "base_data", "base_data", "base_data", "base_data", "base_data", "base_data", "base_data", "base_data", "base_data"], "returned_programs": []}}, {"source": null,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6, "section": "Bachelor", "source_reference": "https://www.unifr.ch/studies/en/organisation/beginning-of-studies/structure-of-studies/", "chunk_id": "unifr_structure_of_studies_en::section::006::chunk::001", "chunk_type": "section", "prev_chunk_id": "unifr_structure_of_studies_en::section::005::chunk::001", "next_chunk_id": "unifr_structure_of_studies_en::section::007::chunk::001", "rag_source": "base_data", "category": "base_data",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"Which faculties exist?", "query_language": "en"}], "returned_count": 20}}}, "candidate_count_before_dedupe": 26, "returned_count": 10, "returned_sources": ["base_data", "base_data", "base_data", "base_data", "base_data", "base_data", "base_data", "base_data", "base_data", "base_data"], "returned_programs": []}, "source_retrieval_quota": 20},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"Which faculties exist?", "query_language": "en"}], "returned_count": 20}}}, "candidate_count_before_dedupe": 26, "returned_count": 10, "returned_sources": ["base_data", "base_data", "base_data", "base_data", "base_data", "base_data", "base_data", "base_data", "base_data", "base_data"], "returned_programs": []}}, {"source": null,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6, "section": "Bachelor", "chunk_id": "unifr_elite_sport_www_unifr_ch_studies_en_organisation_beginning_of_studies_structure_of_studies::section::006::chunk::001", "chunk_type": "section", "prev_chunk_id": "unifr_elite_sport_www_unifr_ch_studies_en_organisation_beginning_of_studies_structure_of_studies::section::005::chunk::001", "next_chunk_id": "unifr_elite_sport_www_unifr_ch_studies_en_organisation_beginning_of_studies_structure_of_studies::section::007::chunk::001", "rag_source": "base_data", "category": "base_data",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"Which faculties exist?", "query_language": "en"}], "returned_count": 20}}}, "candidate_count_before_dedupe": 26, "returned_count": 10, "returned_sources": ["base_data", "base_data", "base_data", "base_data", "base_data", "base_data", "base_data", "base_data", "base_data", "base_data"], "returned_programs": []}, "source_retrieval_quota": 20},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"Which faculties exist?", "query_language": "en"}], "returned_count": 20}}}, "candidate_count_before_dedupe": 26, "returned_count": 10, "returned_sources": ["base_data", "base_data", "base_data", "base_data", "base_data", "base_data", "base_data", "base_data", "base_data", "base_data"], "returned_programs": []}}, {"source": null, "page": null, "snippet": "How to apply\n\nHow to apply\n- For admission to the University of Fribourg, the procedure, deadlines and regulatory admission requirements must be respected and met.\nAdmission to the University has no bearing on the possible granting of elite athlete status by the faculties, just as the granting of elite athlete status has no bearing on the decision to admit to the University of Fribourg.\nInformations admission\nContact\n\nInformations admission: https://www.unifr.ch/studies/en/admission/\nContact: ht", "metadata": {"doc_key": "unifr_elite_sport_www_unifr_ch_studies_en_organisation_during_studies_studies_and_elite_sportswomen_and_sportsmen_html", "source_type": "unifr_elite_sport_page", "source_url": "https://www.unifr.ch/studies/en/organisation/during-studies/studies-and-elite-sportswomen-and-sportsmen.html", "source_reference": "https://www.unifr.ch/studies/en/organisation/during-studies/studies-and-elite-sportswomen-and-sportsmen.html", "title": "Studies &amp; elite sportswomen and sportsmen | Studies | University of Fribourg", "page_heading": "Studies &amp; elite sportswomen and sportsmen", "language": "en", "source_file": "unifr_elite_sports.json", "parser": "scrapy_base_info_json", "index_variant": "base_info_semantic_v1", "section_index": 3, "section": "How to apply", "chunk_id": "unifr_elite_sport_www_unifr_ch_studies_en_organisation_during_studies_studies_and_elite_sportswomen_and_sportsmen_html::section::003::chunk::001", "chunk_type": "section", "prev_chunk_id": "unifr_elite_sport_www_unifr_ch_studies_en_organisation_during_studies_studies_and_elite_sportswomen_and_sportsmen_html::section::002::chunk::001", "next_chunk_id": "unifr_elite_sport_www_unifr_ch_studies_en_organisation_during_studies_studies_and_elite_sportswomen_and_sportsmen_html::section::004::chunk::001", "rag_source": "base_data", "category": "base_data",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"Which faculties exist?", "query_language": "en"}], "returned_count": 20}}}, "candidate_count_before_dedupe": 26, "returned_count": 10, "returned_sources": ["base_data", "base_data", "base_data", "base_data", "base_data", "base_data", "base_data", "base_data", "base_data", "base_data"], "returned_programs": []}, "source_retrieval_quota": 20},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"Which faculties exist?", "query_language": "en"}], "returned_count": 20}}}, "candidate_count_before_dedupe": 26, "returned_count": 10, "returned_sources": ["base_data", "base_data", "base_data", "base_data", "base_data", "base_data", "base_data", "base_data", "base_data", "base_data"], "returned_programs": []}}, {"source": null,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leading to the award of a degree, the study programmes taught and the possibilities of combining them. Very specific questions are handled directly by th",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2, "section": "Study Programme Information", "chunk_id": "unifr_elite_sport_www_unifr_ch_studies_en_organisation_beginning_of_studies_student_advice_and_information_html::section::002::chunk::001", "chunk_type": "section", "prev_chunk_id": "unifr_elite_sport_www_unifr_ch_studies_en_organisation_beginning_of_studies_student_advice_and_information_html::section::001::chunk::001", "next_chunk_id": "unifr_elite_sport_www_unifr_ch_studies_en_organisation_beginning_of_studies_student_advice_and_information_html::section::003::chunk::001", "rag_source": "base_data", "category": "base_data",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"Which faculties exist?", "query_language": "en"}], "returned_count": 20}}}, "candidate_count_before_dedupe": 26, "returned_count": 10, "returned_sources": ["base_data", "base_data", "base_data", "base_data", "base_data", "base_data", "base_data", "base_data", "base_data", "base_data"], "returned_programs": []}, "source_retrieval_quota": 20},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"Which faculties exist?", "query_language": "en"}], "returned_count": 20}}}, "candidate_count_before_dedupe": 26, "returned_count": 10, "returned_sources": ["base_data", "base_data", "base_data", "base_data", "base_data", "base_data", "base_data", "base_data", "base_data", "base_data"], "returned_programs": []}}, {"source": null,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"unifr_languages_of_study_en", "source_type": "unifr_general_info_page", "source_url": "https://www.unifr.ch/studies/en/organisation/beginning-of-studies/languages-of-study.html", "title": "Languages of study | Studies | University of Fribourg", "page_heading": "Languages of study", "language": "en", "source_file": "languages_of_study.json", "parser": "scrapy_base_info_json", "index_variant": "base_info_semantic_v1", "section_index": 4, "section": "Language courses", "source_reference": "https://www.unifr.ch/studies/en/organisation/beginning-of-studies/languages-of-study.html#me3", "chunk_id": "unifr_languages_of_study_en::section::004::chunk::001", "chunk_type": "section", "prev_chunk_id": "unifr_languages_of_study_en::section::003::chunk::006", "next_chunk_id": "unifr_languages_of_study_en::section::005::chunk::001", "rag_source": "base_data", "category": "base_data",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"Which faculties exist?", "query_language": "en"}], "returned_count": 20}}}, "candidate_count_before_dedupe": 26, "returned_count": 10, "returned_sources": ["base_data", "base_data", "base_data", "base_data", "base_data", "base_data", "base_data", "base_data", "base_data", "base_data"], "returned_programs": []}, "source_retrieval_quota": 20}, "retrieval_debug": {"retrieval_mode": "multi_vectorstore_weighted_rerank", "source_intent": "base_data", "quotas": {"studyplans": 6, "reglementations": 4, "base_data": 20},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20, "returned": 20,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400, "candidate_count_global_fallback": 400, "source_intent": "base_data", "returned_count": 20, "returned_programs": ["None"], "query": "Which faculties exist?", "query_language": "en"}], "returned_count": 20}}}, "candidate_count_before_dedupe": 26, "returned_count": 10, "returned_sources": ["base_data", "base_data", "base_data", "base_data", "base_data", "base_data", "base_data", "base_data", "base_data", "base_data"], "returned_programs": []}}, {"source": null,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t>
  </si>
  <si>
    <t>unifr_studies_disability.json</t>
  </si>
  <si>
    <t>Academic advisors Academic advisors 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 - Theology</t>
  </si>
  <si>
    <t>What is the suggested order of courses for the bachelor in business informatics 180 ects.</t>
  </si>
  <si>
    <t>ordered list of courses</t>
  </si>
  <si>
    <t>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t>
  </si>
  <si>
    <t>1. [studyplans] Bachelor_180_80b173004838b5856a2ed1a73ccc60de140ce7f4.txt p.1 - Section: 1. Jahr 60 ECTS Table rows: - SIN.01023: EIG.00036; Einführung in die Programmierung: Informatique de gestion I; Bloechle: Fischer; HS-2025: HS-2025; BA: BA; fr, de: fr; Schriftliche Prüfung: Schriftliche Prüfun
2. [studyplans] Bachelor_180_80b173004838b5856a2ed1a73ccc60de140ce7f4.txt p.1 - fung; 6: 4.5 - SIN.01023: ESE.00048; Einführung in die Programmierung: Mathematik I; Bloechle: Leuenberger; HS-2025: HS-2025; BA: BA; fr, de: de; Schriftliche Prüfung: Schriftliche Prüfung; 6: 4.5 - SIN.01023: ESE.00047;
3. [studyplans] Bachelor_180_80b173004838b5856a2ed1a73ccc60de140ce7f4.txt p.1 - Bloechle: Kauth, Kauth; HS-2025: FS-2026; BA: BA; fr, de: fr; Schriftliche Prüfung: Schriftliche Prüfung; 6: 4.5 - SIN.01023: ESE.00052; Einführung in die Programmierung: Mathematik II; Bloechle: Leuenberger; HS-2025: FS
4. [studyplans] Bachelor_180_80b173004838b5856a2ed1a73ccc60de140ce7f4.txt p.1 - I | Leuenberger | HS-2025 | BA | de | Schriftliche Prüfung | 4.5 | | ESE.00047 | Mathématiques I | Schindl | HS-2025 | BA | fr | Schriftliche Prüfung | 4.5 | | SIN.02023 | Objektorientierte Programmierung | Cudré-Mauroux
5. [studyplans] Bachelor_180_80b173004838b5856a2ed1a73ccc60de140ce7f4.txt p.1 - Section: 2. Studienjahr 60 ECTS Table rows: - SIN.03023: SIN.03024; Algorithmik: Datenbanken; Grossenbacher: Fill; HS-2025: HS-2025; BA: BA; en: en; Schriftliche Prüfung: Schriftliche Prüfung; 6: 6 - SIN.03023: EGE.00273
6. [studyplans] Bachelor_180_80b173004838b5856a2ed1a73ccc60de140ce7f4.txt p.1 - t et financement | Isakov | HS-2025 | BA | fr | Schriftliche Prüfung | 6 | | EGE.00274 | MAN01D: Investitions- und Finanzierungstheorie | Wallmeier | HS-2025 | BA | de | Schriftliche Prüfung | 6 | | EGE.00275 | MAN02F: M
7. [studyplans] Bachelor_180_80b173004838b5856a2ed1a73ccc60de140ce7f4.txt p.1 - Section: 2. Studienjahr 60 ECTS Table rows: - Code: ESE.00040; Lehreinheit: Microéconomie I; Lehrer(innen): Gugler; Semester: HS-2025; Niveau: BA; Sprache: fr; Bewertung: Schriftliche Prüfung; ECTS: 6 - Code: ESE.00041; 
8. [studyplans] Bachelor_180_80b173004838b5856a2ed1a73ccc60de140ce7f4.txt p.1 - au | Sprache | Bewertung | ECTS | |-----------|---------------------------------|-----------------|------------|----------|-----------|----------------------|--------| | ESE.00040 | Microéconomie I | Gugler | HS-2025 | B
9. [studyplans] Bachelor_180_80b173004838b5856a2ed1a73ccc60de140ce7f4.txt p.1 - Section: Informationskompetenz in den Wirtschaftswissenschaften Table rows: - EDK.00951: EDK.00954; Compétences documentaires en économie 1 - Groupe A: Compétences documentaires en économie 1 - Groupe B; Brodard, Lüscher
10. [studyplans] Bachelor_180_80b173004838b5856a2ed1a73ccc60de140ce7f4.txt p.1 - EDK.00951: EDK.00965; Compétences documentaires en économie 1 - Groupe A: Compétences documentaires en informatique de Gestion 2 - Groupe G; Brodard, Lüscher: Brodard, Lüscher; HS-2025: FS-2026; BA: BA; fr: fr; Fortlaufe</t>
  </si>
  <si>
    <t>[{"source": null, "page": 1, "snippet": "Section: 1. Jahr 60 ECTS\n\nTable rows:\n- SIN.01023: EIG.00036; Einführung in die Programmierung: Informatique de gestion I; Bloechle: Fischer; HS-2025: HS-2025; BA: BA; fr, de: fr; Schriftliche Prüfung: Schriftliche Prüfung; 6: 6\n- SIN.01023: EIG.00037; Einführung in die Programmierung: Wirtschaftsinformatik I; Bloechle: Fill; HS-2025: HS-2025; BA: BA; fr, de: de; Schriftliche Prüfung: Schriftliche Prüfung; 6: 6\n- SIN.01023: EGE.00136; Einführung in die Programmierung: Einführung in die Betriebsw",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"80b173004838b5856a2ed1a73ccc60de140ce7f4::semantic_table::chunk::0010", "chunk_type": "table", "section": "1. Jahr 60 ECTS", "page_start": 1, "page_end": 1, "chunk_pages": [1], "contains_table": true, "block_kinds": ["table"], "prev_chunk_id": "80b173004838b5856a2ed1a73ccc60de140ce7f4::semantic_table::chunk::0009", "next_chunk_id": "80b173004838b5856a2ed1a73ccc60de140ce7f4::semantic_table::chunk::0011",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20, "returned_programs": ["Business Informatics"], "query": "What is the suggested order of courses for the bachelor in business informatics 180 ects.", "query_language": "en"}], "returned_count": 20}},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26, "returned_count": 10, "returned_sources": ["studyplans", "studyplans", "studyplans", "studyplans", "studyplans", "studyplans", "studyplans", "studyplans", "studyplans", "studyplans"], "returned_programs": ["Business Informatics"]},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20, "returned_programs": ["Business Informatics"], "query": "What is the suggested order of courses for the bachelor in business informatics 180 ects.", "query_language": "en"}], "returned_count": 20}},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26, "returned_count": 10, "returned_sources": ["studyplans", "studyplans", "studyplans", "studyplans", "studyplans", "studyplans", "studyplans", "studyplans", "studyplans", "studyplans"], "returned_programs": ["Business Informatics"]}}, {"source": null, "page": 1, "snippet": "fung; 6: 4.5\n- SIN.01023: ESE.00048; Einführung in die Programmierung: Mathematik I; Bloechle: Leuenberger; HS-2025: HS-2025; BA: BA; fr, de: de; Schriftliche Prüfung: Schriftliche Prüfung; 6: 4.5\n- SIN.01023: ESE.00047; Einführung in die Programmierung: Mathématiques I; Bloechle: Schindl; HS-2025: HS-2025; BA: BA; fr, de: fr; Schriftliche Prüfung: Schriftliche Prüfung; 6: 4.5\n- SIN.01023: SIN.02023; Einführung in die Programmierung: Objektorientierte Programmierung; Bloechle: Cudré-Mauroux, Ton",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"80b173004838b5856a2ed1a73ccc60de140ce7f4::semantic_table::chunk::0011", "chunk_type": "table", "section": "1. Jahr 60 ECTS", "page_start": 1, "page_end": 1, "chunk_pages": [1], "contains_table": true, "block_kinds": ["table"], "prev_chunk_id": "80b173004838b5856a2ed1a73ccc60de140ce7f4::semantic_table::chunk::0010", "next_chunk_id": "80b173004838b5856a2ed1a73ccc60de140ce7f4::semantic_table::chunk::0012",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20, "returned_programs": ["Business Informatics"], "query": "What is the suggested order of courses for the bachelor in business informatics 180 ects.", "query_language": "en"}], "returned_count": 20}},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26, "returned_count": 10, "returned_sources": ["studyplans", "studyplans", "studyplans", "studyplans", "studyplans", "studyplans", "studyplans", "studyplans", "studyplans", "studyplans"], "returned_programs": ["Business Informatics"]},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20, "returned_programs": ["Business Informatics"], "query": "What is the suggested order of courses for the bachelor in business informatics 180 ects.", "query_language": "en"}], "returned_count": 20}},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26, "returned_count": 10, "returned_sources": ["studyplans", "studyplans", "studyplans", "studyplans", "studyplans", "studyplans", "studyplans", "studyplans", "studyplans", "studyplans"], "returned_programs": ["Business Informatics"]}}, {"source": null, "page": 1, "snippet": "Bloechle: Kauth, Kauth; HS-2025: FS-2026; BA: BA; fr, de: fr; Schriftliche Prüfung: Schriftliche Prüfung; 6: 4.5\n- SIN.01023: ESE.00052; Einführung in die Programmierung: Mathematik II; Bloechle: Leuenberger; HS-2025: FS-2026; BA: BA; fr, de: de; Schriftliche Prüfung: Schriftliche Prüfung; 6: 4.5\n- SIN.01023: ESE.00051; Einführung in die Programmierung: Mathématiques II; HS-2025: FS-2026; BA: BA; fr, de: fr; Schriftliche Prüfung: Schriftliche Prüfung; 6: 4.5\n\nRaw table:\n| SIN.01023 | Einführung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"80b173004838b5856a2ed1a73ccc60de140ce7f4::semantic_table::chunk::0012", "chunk_type": "table", "section": "1. Jahr 60 ECTS", "page_start": 1, "page_end": 1, "chunk_pages": [1], "contains_table": true, "block_kinds": ["table"], "prev_chunk_id": "80b173004838b5856a2ed1a73ccc60de140ce7f4::semantic_table::chunk::0011", "next_chunk_id": "80b173004838b5856a2ed1a73ccc60de140ce7f4::semantic_table::chunk::0013",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20, "returned_programs": ["Business Informatics"], "query": "What is the suggested order of courses for the bachelor in business informatics 180 ects.", "query_language": "en"}], "returned_count": 20}},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26, "returned_count": 10, "returned_sources": ["studyplans", "studyplans", "studyplans", "studyplans", "studyplans", "studyplans", "studyplans", "studyplans", "studyplans", "studyplans"], "returned_programs": ["Business Informatics"]},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20, "returned_programs": ["Business Informatics"], "query": "What is the suggested order of courses for the bachelor in business informatics 180 ects.", "query_language": "en"}], "returned_count": 20}},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26, "returned_count": 10, "returned_sources": ["studyplans", "studyplans", "studyplans", "studyplans", "studyplans", "studyplans", "studyplans", "studyplans", "studyplans", "studyplans"], "returned_programs": ["Business Informatics"]}}, {"source": null, "page": 1, "snippet": "I | Leuenberger | HS-2025 | BA | de | Schriftliche Prüfung | 4.5 |\n| ESE.00047 | Mathématiques I | Schindl | HS-2025 | BA | fr | Schriftliche Prüfung | 4.5 |\n| SIN.02023 | Objektorientierte Programmierung | Cudré-Mauroux, Tonon | FS-2026 | BA | en | Schriftliche Prüfung | 6 |\n| EIG.00038 | Informatique de gestion II | Fischer | FS-2026 | BA | fr | Schriftliche Prüfung | 6 |\n| EIG.00039 | Wirtschaftsinformatik II | Fill | FS-2026 | BA | de | Schriftliche Prüfung | 6 |\n| EGE.00253 | Organisation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"80b173004838b5856a2ed1a73ccc60de140ce7f4::semantic_table::chunk::0013", "chunk_type": "table", "section": "1. Jahr 60 ECTS", "page_start": 1, "page_end": 1, "chunk_pages": [1], "contains_table": true, "block_kinds": ["table"], "prev_chunk_id": "80b173004838b5856a2ed1a73ccc60de140ce7f4::semantic_table::chunk::0012", "next_chunk_id": "80b173004838b5856a2ed1a73ccc60de140ce7f4::semantic_table::chunk::0014",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20, "returned_programs": ["Business Informatics"], "query": "What is the suggested order of courses for the bachelor in business informatics 180 ects.", "query_language": "en"}], "returned_count": 20}},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26, "returned_count": 10, "returned_sources": ["studyplans", "studyplans", "studyplans", "studyplans", "studyplans", "studyplans", "studyplans", "studyplans", "studyplans", "studyplans"], "returned_programs": ["Business Informatics"]},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20, "returned_programs": ["Business Informatics"], "query": "What is the suggested order of courses for the bachelor in business informatics 180 ects.", "query_language": "en"}], "returned_count": 20}},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26, "returned_count": 10, "returned_sources": ["studyplans", "studyplans", "studyplans", "studyplans", "studyplans", "studyplans", "studyplans", "studyplans", "studyplans", "studyplans"], "returned_programs": ["Business Informatics"]}}, {"source": null, "page": 1, "snippet": "Section: 2. Studienjahr 60 ECTS\n\nTable rows:\n- SIN.03023: SIN.03024; Algorithmik: Datenbanken; Grossenbacher: Fill; HS-2025: HS-2025; BA: BA; en: en; Schriftliche Prüfung: Schriftliche Prüfung; 6: 6\n- SIN.03023: EGE.00273; Algorithmik: MAN01F: Investissement et financement; Grossenbacher: Isakov; HS-2025: HS-2025; BA: BA; en: fr; Schriftliche Prüfung: Schriftliche Prüfung; 6: 6\n- SIN.03023: EGE.00274; Algorithmik: MAN01D: Investitions- und Finanzierungstheorie; Grossenbacher: Wallmeier; HS-2025:",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"80b173004838b5856a2ed1a73ccc60de140ce7f4::semantic_table::chunk::0015", "chunk_type": "table", "section": "2. Studienjahr 60 ECTS", "page_start": 1, "page_end": 1, "chunk_pages": [1], "contains_table": true, "block_kinds": ["table"], "prev_chunk_id": "80b173004838b5856a2ed1a73ccc60de140ce7f4::semantic_table::chunk::0014", "next_chunk_id": "80b173004838b5856a2ed1a73ccc60de140ce7f4::semantic_table::chunk::0016",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20, "returned_programs": ["Business Informatics"], "query": "What is the suggested order of courses for the bachelor in business informatics 180 ects.", "query_language": "en"}], "returned_count": 20}},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26, "returned_count": 10, "returned_sources": ["studyplans", "studyplans", "studyplans", "studyplans", "studyplans", "studyplans", "studyplans", "studyplans", "studyplans", "studyplans"], "returned_programs": ["Business Informatics"]},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20, "returned_programs": ["Business Informatics"], "query": "What is the suggested order of courses for the bachelor in business informatics 180 ects.", "query_language": "en"}], "returned_count": 20}},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26, "returned_count": 10, "returned_sources": ["studyplans", "studyplans", "studyplans", "studyplans", "studyplans", "studyplans", "studyplans", "studyplans", "studyplans", "studyplans"], "returned_programs": ["Business Informatics"]}}, {"source": null, "page": 1, "snippet": "t et financement | Isakov | HS-2025 | BA | fr | Schriftliche Prüfung | 6 |\n| EGE.00274 | MAN01D: Investitions- und Finanzierungstheorie | Wallmeier | HS-2025 | BA | de | Schriftliche Prüfung | 6 |\n| EGE.00275 | MAN02F: Marketing (f, 4.5 ECTS) | Furrer | HS-2025 | BA | fr | Schriftliche Prüfung | 4.5 |\n| EGE.00276 | MAN02D: Marketing (d, 4.5 ECTS) | Bambauer-Sachse | HS-2025 | BA | de | Schriftliche Prüfung | 4.5 |\n| EGE.00139 | Droit I | Dubey, Fournier | HS-2025 | BA | fr | Schriftliche Prüfung",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"80b173004838b5856a2ed1a73ccc60de140ce7f4::semantic_table::chunk::0016", "chunk_type": "table", "section": "2. Studienjahr 60 ECTS", "page_start": 1, "page_end": 1, "chunk_pages": [1], "contains_table": true, "block_kinds": ["table"], "prev_chunk_id": "80b173004838b5856a2ed1a73ccc60de140ce7f4::semantic_table::chunk::0015", "next_chunk_id": "80b173004838b5856a2ed1a73ccc60de140ce7f4::semantic_table::chunk::0017",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20, "returned_programs": ["Business Informatics"], "query": "What is the suggested order of courses for the bachelor in business informatics 180 ects.", "query_language": "en"}], "returned_count": 20}},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26, "returned_count": 10, "returned_sources": ["studyplans", "studyplans", "studyplans", "studyplans", "studyplans", "studyplans", "studyplans", "studyplans", "studyplans", "studyplans"], "returned_programs": ["Business Informatics"]},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20, "returned_programs": ["Business Informatics"], "query": "What is the suggested order of courses for the bachelor in business informatics 180 ects.", "query_language": "en"}], "returned_count": 20}},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t>
  </si>
  <si>
    <t>Bachelor_180_80b173004838b5856a2ed1a73ccc60de140ce7f4.txt</t>
  </si>
  <si>
    <t>Section: 1. Jahr 60 ECTS Table rows: - SIN.01023: EIG.00036; Einführung in die Programmierung: Informatique de gestion I; Bloechle: Fischer; HS-2025: HS-2025; BA: BA; fr, de: fr; Schriftliche Prüfung: Schriftliche Prüfung; 6: 6 - SIN.01023: EIG.00037; Einführung in die Programmierung: Wirtschaftsinformatik I; Bloechle: Fill; HS-2025: HS-2025; BA: B</t>
  </si>
  <si>
    <t>What profile does a student of management have?</t>
  </si>
  <si>
    <t>summary of program leanings and obtained profile</t>
  </si>
  <si>
    <t>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t>
  </si>
  <si>
    <t>1. [studyplans] Master_30_a11887e2ddf0e048b0446c6bb3c79526bf350234.txt p.1 - Section: Stand des Kursangebots Table rows: - Code: Wahlkurse - 30 ECTS; Lehreinheit: Wahlkurse - 30 ECTS - Code: STR: Strategy; Lehreinheit: STR: Strategy - Code: EGE.00101; Lehreinheit: Case studies in international st
2. [studyplans] Master_30_a11887e2ddf0e048b0446c6bb3c79526bf350234.txt p.1 - Section: Stand des Kursangebots Table rows: - Code: EIG.00031; Lehreinheit: Advanced Topics in Decision Support; Lehrer(innen): Ries; Semester: FS-2026; Niveau: MA; Sprache: en; Bewertung: Schriftliche Prüfung; ECTS: 4.5
3. [studyplans] Master_30_a11887e2ddf0e048b0446c6bb3c79526bf350234.txt p.1 - g; ECTS: 4.5 - Code: EEP.00495; Lehreinheit: Advanced Microeconomics; Lehrer(innen): Büchel, Valvassori Bolgè; Semester: HS-2025; Niveau: MA; Sprache: en; Bewertung: Schriftliche Prüfung; ECTS: 6 - Code: EGE.00473; Lehre
4. [studyplans] Master_30_a11887e2ddf0e048b0446c6bb3c79526bf350234.txt p.1 - heit: Advanced Entrepreneurship; Lehrer(innen): Fauchart, Tang; Semester: HS-2025; Niveau: MA; Sprache: en; Bewertung: Fortlaufende Evaluation; ECTS: 4.5 - Code: EGE.00306; Lehreinheit: Seminar in Social Entrepreneurship
5. [studyplans] Master_30_a11887e2ddf0e048b0446c6bb3c79526bf350234.txt p.1 - ent; Semester: OHRM: Organisation and Human Resource Management; Niveau: OHRM: Organisation and Human Resource Management; Sprache: OHRM: Organisation and Human Resource Management; Bewertung: OHRM: Organisation and Huma
6. [studyplans] Master_30_a11887e2ddf0e048b0446c6bb3c79526bf350234.txt p.1 - 2025 | MA | de | Schriftliche Prüfung | 4.5 | | EEP.00095 | Microeconomics of Competitiveness (MOC) | Gugler | FS-2026 | MA | en | Fortlaufende | 4.5 | | EGE.00257 | Winning Consulting Projects | Thom | FS-2026 | MA | en
7. [studyplans] Master_30_a11887e2ddf0e048b0446c6bb3c79526bf350234.txt p.1 - NNO-ENT: Innovation &amp; Entrepreneurship | INNO-ENT: Innovation &amp; Entrepreneurship | INNO-ENT: Innovation &amp; Entrepreneurship | INNO-ENT: Innovation &amp; Entrepreneurship | | EGE.00254 | Advanced Entrepreneurship | Fauchart, T
8. [studyplans] Master_30_a11887e2ddf0e048b0446c6bb3c79526bf350234.txt p.1 - EGE.00194 | Intercultural Management | Davoine | HS-2025 | MA | en | Schriftliche Prüfung | 4.5 | | EGE.00045 | Organization Behavior | von Wittich | HS-2025 | MA | en | Fortlaufende | 4.5 |
9. [studyplans] Master_30_a11887e2ddf0e048b0446c6bb3c79526bf350234.txt p.1 - Section: Stand des Kursangebots Table rows: - Code: EGE.00257; Lehreinheit: Winning Consulting Projects; Lehrer(innen): Thom; Semester: FS-2026; Niveau: MA; Sprache: en; Bewertung: Fortlaufende Evaluation; ECTS: 3 - Code
10. [studyplans] Master_30_a11887e2ddf0e048b0446c6bb3c79526bf350234.txt p.1 - einheit: Management des ressources humaines et matérielles dans les organisations à but non lucratif; Lehrer(innen): Gmür; Semester: HS-2025; Niveau: MA; Sprache: fr; Bewertung: Fortlaufende Evaluation und schriftliche P</t>
  </si>
  <si>
    <t>[{"source": null, "page": 1, "snippet": "Section: Stand des Kursangebots\n\nTable rows:\n- Code: Wahlkurse - 30 ECTS; Lehreinheit: Wahlkurse - 30 ECTS\n- Code: STR: Strategy; Lehreinheit: STR: Strategy\n- Code: EGE.00101; Lehreinheit: Case studies in international strategy; Lehrer(innen): Jenisch, Morschett; Semester: HS-2025; Niveau: MA; Sprache: en; Bewertung: Fortlaufende Evaluation; ECTS: 4.5\n- Code: EGE.00048; Lehreinheit: Fundamentals of International Management; Lehrer(innen): Flankova; Semester: HS-2025; Niveau: MA; Sprache: en; Bew",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"a11887e2ddf0e048b0446c6bb3c79526bf350234::semantic_table::chunk::0007", "chunk_type": "table", "section": "Stand des Kursangebots", "page_start": 1, "page_end": 1, "chunk_pages": [1], "contains_table": true, "block_kinds": ["table"], "prev_chunk_id": "a11887e2ddf0e048b0446c6bb3c79526bf350234::semantic_table::chunk::0006", "next_chunk_id": "a11887e2ddf0e048b0446c6bb3c79526bf350234::semantic_table::chunk::0008",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20, "returned_programs": ["Management"], "query": "What profile does a student of management have?",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26, "returned_count": 10, "returned_sources": ["studyplans", "studyplans", "studyplans", "studyplans", "studyplans", "studyplans", "studyplans", "studyplans", "studyplans", "studyplans"], "returned_programs": ["Management"]},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20, "returned_programs": ["Management"], "query": "What profile does a student of management have?",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26, "returned_count": 10, "returned_sources": ["studyplans", "studyplans", "studyplans", "studyplans", "studyplans", "studyplans", "studyplans", "studyplans", "studyplans", "studyplans"], "returned_programs": ["Management"]}}, {"source": null, "page": 1, "snippet": "Section: Stand des Kursangebots\n\nTable rows:\n- Code: EIG.00031; Lehreinheit: Advanced Topics in Decision Support; Lehrer(innen): Ries; Semester: FS-2026; Niveau: MA; Sprache: en; Bewertung: Schriftliche Prüfung; ECTS: 4.5\n- Code: EGE.00250; Lehreinheit: Intercultural Business Projects; Lehrer(innen): Furrer, Morschett; Semester: FS-2026; Niveau: MA; Sprache: en; Bewertung: Fortlaufende Evaluation; ECTS: 4.5\n- Code: EEP.00332; Lehreinheit: Märkte und Strategien; Lehrer(innen): Büchel; Semester: H",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"a11887e2ddf0e048b0446c6bb3c79526bf350234::semantic_table::chunk::0009", "chunk_type": "table", "section": "Stand des Kursangebots", "page_start": 1, "page_end": 1, "chunk_pages": [1], "contains_table": true, "block_kinds": ["table"], "prev_chunk_id": "a11887e2ddf0e048b0446c6bb3c79526bf350234::semantic_table::chunk::0008", "next_chunk_id": "a11887e2ddf0e048b0446c6bb3c79526bf350234::semantic_table::chunk::0010",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20, "returned_programs": ["Management"], "query": "What profile does a student of management have?",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26, "returned_count": 10, "returned_sources": ["studyplans", "studyplans", "studyplans", "studyplans", "studyplans", "studyplans", "studyplans", "studyplans", "studyplans", "studyplans"], "returned_programs": ["Management"]},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20, "returned_programs": ["Management"], "query": "What profile does a student of management have?",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26, "returned_count": 10, "returned_sources": ["studyplans", "studyplans", "studyplans", "studyplans", "studyplans", "studyplans", "studyplans", "studyplans", "studyplans", "studyplans"], "returned_programs": ["Management"]}}, {"source": null, "page": 1, "snippet": "g; ECTS: 4.5\n- Code: EEP.00495; Lehreinheit: Advanced Microeconomics; Lehrer(innen): Büchel, Valvassori Bolgè; Semester: HS-2025; Niveau: MA; Sprache: en; Bewertung: Schriftliche Prüfung; ECTS: 6\n- Code: EGE.00473; Lehreinheit: Developing an Innovation Strategy; Lehrer(innen): Nüesch; Semester: HS-2025; Niveau: MA; Sprache: en; Bewertung: Fortlaufende Evaluation und schriftliche Prüfung; ECTS: 4.5\n- Code: EGE.00485; Lehreinheit: MAN08E: Strategic Management; Lehrer(innen): Mena; Semester: FS-202",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"a11887e2ddf0e048b0446c6bb3c79526bf350234::semantic_table::chunk::0010", "chunk_type": "table", "section": "Stand des Kursangebots", "page_start": 1, "page_end": 1, "chunk_pages": [1], "contains_table": true, "block_kinds": ["table"], "prev_chunk_id": "a11887e2ddf0e048b0446c6bb3c79526bf350234::semantic_table::chunk::0009", "next_chunk_id": "a11887e2ddf0e048b0446c6bb3c79526bf350234::semantic_table::chunk::0011",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20, "returned_programs": ["Management"], "query": "What profile does a student of management have?",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26, "returned_count": 10, "returned_sources": ["studyplans", "studyplans", "studyplans", "studyplans", "studyplans", "studyplans", "studyplans", "studyplans", "studyplans", "studyplans"], "returned_programs": ["Management"]},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20, "returned_programs": ["Management"], "query": "What profile does a student of management have?",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26, "returned_count": 10, "returned_sources": ["studyplans", "studyplans", "studyplans", "studyplans", "studyplans", "studyplans", "studyplans", "studyplans", "studyplans", "studyplans"], "returned_programs": ["Management"]}}, {"source": null, "page": 1, "snippet": "heit: Advanced Entrepreneurship; Lehrer(innen): Fauchart, Tang; Semester: HS-2025; Niveau: MA; Sprache: en; Bewertung: Fortlaufende Evaluation; ECTS: 4.5\n- Code: EGE.00306; Lehreinheit: Seminar in Social Entrepreneurship; Lehrer(innen): Erpf; Semester: HS-2025; Niveau: MA; Sprache: en; Bewertung: Fortlaufende Evaluation; ECTS: 3\n- Code: EGE.00255; Lehreinheit: Nouveaux trends de l'innovation; Lehrer(innen): Fauchart; Semester: FS-2026; Niveau: MA; Sprache: fr; Bewertung: Fortlaufende Evaluation;",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"a11887e2ddf0e048b0446c6bb3c79526bf350234::semantic_table::chunk::0011", "chunk_type": "table", "section": "Stand des Kursangebots", "page_start": 1, "page_end": 1, "chunk_pages": [1], "contains_table": true, "block_kinds": ["table"], "prev_chunk_id": "a11887e2ddf0e048b0446c6bb3c79526bf350234::semantic_table::chunk::0010", "next_chunk_id": "a11887e2ddf0e048b0446c6bb3c79526bf350234::semantic_table::chunk::0012",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20, "returned_programs": ["Management"], "query": "What profile does a student of management have?",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26, "returned_count": 10, "returned_sources": ["studyplans", "studyplans", "studyplans", "studyplans", "studyplans", "studyplans", "studyplans", "studyplans", "studyplans", "studyplans"], "returned_programs": ["Management"]},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20, "returned_programs": ["Management"], "query": "What profile does a student of management have?",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26, "returned_count": 10, "returned_sources": ["studyplans", "studyplans", "studyplans", "studyplans", "studyplans", "studyplans", "studyplans", "studyplans", "studyplans", "studyplans"], "returned_programs": ["Management"]}}, {"source": null, "page": 1, "snippet": "ent; Semester: OHRM: Organisation and Human Resource Management; Niveau: OHRM: Organisation and Human Resource Management; Sprache: OHRM: Organisation and Human Resource Management; Bewertung: OHRM: Organisation and Human Resource Management; ECTS: OHRM: Organisation and Human Resource Management\n- Code: EGE.00060; Lehreinheit: Compétences managériales; Lehrer(innen): Davoine; Semester: FS-2026; Niveau: MA; Sprache: fr; Bewertung: Fortlaufende Evaluation und schriftliche Prüfung; ECTS: 4.5\n- Cod",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"a11887e2ddf0e048b0446c6bb3c79526bf350234::semantic_table::chunk::0012", "chunk_type": "table", "section": "Stand des Kursangebots", "page_start": 1, "page_end": 1, "chunk_pages": [1], "contains_table": true, "block_kinds": ["table"], "prev_chunk_id": "a11887e2ddf0e048b0446c6bb3c79526bf350234::semantic_table::chunk::0011", "next_chunk_id": "a11887e2ddf0e048b0446c6bb3c79526bf350234::semantic_table::chunk::0013",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20, "returned_programs": ["Management"], "query": "What profile does a student of management have?",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26, "returned_count": 10, "returned_sources": ["studyplans", "studyplans", "studyplans", "studyplans", "studyplans", "studyplans", "studyplans", "studyplans", "studyplans", "studyplans"], "returned_programs": ["Management"]},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20, "returned_programs": ["Management"], "query": "What profile does a student of management have?",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26, "returned_count": 10, "returned_sources": ["studyplans", "studyplans", "studyplans", "studyplans", "studyplans", "studyplans", "studyplans", "studyplans", "studyplans", "studyplans"], "returned_programs": ["Management"]}}, {"source": null, "page": 1, "snippet": "2025 | MA | de | Schriftliche Prüfung | 4.5 |\n| EEP.00095 | Microeconomics of Competitiveness (MOC) | Gugler | FS-2026 | MA | en | Fortlaufende | 4.5 |\n| EGE.00257 | Winning Consulting Projects | Thom | FS-2026 | MA | en | Fortlaufende Evaluation | 3 |\n| EGE.00283 | MAN08F: Management stratégique | Mena | FS-2026 | BA | fr | Schriftliche Prüfung | 4.5 |\n| EGE.00453 | Collaborative Value Creation in Ecosystems | Hilb | FS-2026 | MA | en | Fortlaufende Evaluation | 4.5 |\n| EEP.00518 | Organisation",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"a11887e2ddf0e048b0446c6bb3c79526bf350234::semantic_table::chunk::0013", "chunk_type": "table", "section": "Stand des Kursangebots", "page_start": 1, "page_end": 1, "chunk_pages": [1], "contains_table": true, "block_kinds": ["table"], "prev_chunk_id": "a11887e2ddf0e048b0446c6bb3c79526bf350234::semantic_table::chunk::0012", "next_chunk_id": "a11887e2ddf0e048b0446c6bb3c79526bf350234::semantic_table::chunk::0014",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20, "returned_programs": ["Management"], "query": "What profile does a student of management have?",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26, "returned_count": 10, "returned_sources": ["studyplans", "studyplans", "studyplans", "studyplans", "studyplans", "studyplans", "studyplans", "studyplans", "studyplans", "studyplans"], "returned_programs": ["Management"]},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20, "returned_programs": ["Management"], "query": "What profile does a student of management have?",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26, "returned_count": 10, "returned_sources": ["studyplans", "studyplans", "studyplans", "studyplans", "studyplans", "studyplans", "studyplans", "studyplans", "studyplans", "studyplans"], "returned_programs": ["Management"]}}, {"source": null, "page": 1, "snippet": "NNO-ENT: Innovation &amp; Entrepreneurship | INNO-ENT: Innovation &amp; Entrepreneurship | INNO-ENT: Innovation &amp; Entrepreneurship | INNO-ENT: Innovation &amp; Entrepreneurship |\n| EGE.00254 | Advanced Entrepreneurship | Fauchart, Tang | HS-2025 | MA | en | Fortlaufende Evaluation | 4.5 |\n| EGE.00306 | Seminar in Social Entrepreneurship | Erpf | HS-2025 | MA | en | Fortlaufende Evaluation | 3 |\n| EGE.00255 | Nouveaux trends de l'innovation | Fauchart | FS-2026 | MA | fr | Fortlaufende Evaluation | 4.5 |\n| E", "metadata": {"parsed_at": "2026-04-10T16:42:31.413Z", "pages": 1, "parser": "docling", "doc_key": "a11887e2ddf0e048b0446c6bb3c79526bf350234", "degree_level":</t>
  </si>
  <si>
    <t>Master_30_a11887e2ddf0e048b0446c6bb3c79526bf350234.txt</t>
  </si>
  <si>
    <t>Section: Stand des Kursangebots Table rows: - Code: Wahlkurse - 30 ECTS; Lehreinheit: Wahlkurse - 30 ECTS - Code: STR: Strategy; Lehreinheit: STR: Strategy - Code: EGE.00101; Lehreinheit: Case studies in international strategy; Lehrer(innen): Jenisch, Morschett; Semester: HS-2025; Niveau: MA; Sprache: en; Bewertung: Fortlaufende Evaluation; ECTS: 4</t>
  </si>
  <si>
    <t>What skills are learned in the Mathmatics program?</t>
  </si>
  <si>
    <t>summary/list of skills earned</t>
  </si>
  <si>
    <t>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t>
  </si>
  <si>
    <t>1. [studyplans] Master_90_ac63854b237749c8e734fb8a94f0c163a11510d8.txt p.1 - Section: Pflichtmodule (mindestens 45 ECTS insgesamt) Table rows: - Code: Module I: Data Analytics (Data); Lehreinheit: Module I: Data Analytics (Data); Lehrer(innen): Module I: Data Analytics (Data); Semester: Module I:
2. [studyplans] Master_90_ac63854b237749c8e734fb8a94f0c163a11510d8.txt p.1 - Schriftliche Prüfung; ECTS: 3.5 - Code: SBL.30001; Lehreinheit: Einführung in R; Lehrer(innen): Wegmann; Semester: HS-2025; Niveau: MA; Sprache: en; Bewertung: Schriftliche Prüfung; ECTS: 2 - Code: SBL.20001; Lehreinheit
3. [studyplans] Master_90_ac63854b237749c8e734fb8a94f0c163a11510d8.txt p.1 - f Markets and Organisations (Eco); Sprache: Module II: Economics of Markets and Organisations (Eco); Bewertung: Module II: Economics of Markets and Organisations (Eco); ECTS: Module II: Economics of Markets and Organisat
4. [studyplans] Master_90_ac63854b237749c8e734fb8a94f0c163a11510d8.txt p.1 - ewertung: Schriftliche Prüfung; ECTS: 6 - Code: EEP.00518; Lehreinheit: Organisational Economics; Lehrer(innen): Herz; Semester: FS-2026; Niveau: MA; Sprache: en; Bewertung: Schriftliche Prüfung; ECTS: 4.5 - Code: EIG.00
5. [studyplans] Master_90_ac63854b237749c8e734fb8a94f0c163a11510d8.txt p.1 - -----------------------------------------------------|---------------------------------------------------------| | Module I: Data Analytics (Data) | Module I: Data Analytics (Data) | Module I: Data Analytics (Data) | Mod
6. [studyplans] Master_90_ac63854b237749c8e734fb8a94f0c163a11510d8.txt p.1 - Policy and Impact Evaluation | Huber | FS-2026 | MA | en | Schriftliche Prüfung | 4.5 | | EEP.00496 | Econometric Methods and Applications | Huber | HS-2025 | MA | en | Schriftliche Prüfung | 6 | | EEP.00517 | Advanced T
7. [studyplans] Master_90_ac63854b237749c8e734fb8a94f0c163a11510d8.txt p.1 - | HS-2025 | MA | en | Schriftliche Prüfung | 6 | | EEP.00518 | Organisational Economics | Herz | FS-2026 | MA | en | Schriftliche Prüfung | 4.5 | | EIG.00244 | Choice-based optimization and its application to revenue man
8. [studyplans] Master_90_ac63854b237749c8e734fb8a94f0c163a11510d8.txt p.1 - lernten Methoden. Mögliche; Bewertung: Elective Module: 'Specialisation'. Select courses for up to max 18 ECTS Wahlmodul: Spezialisierung - Modul III: Spezialisierung Dieses Modul ermöglicht eine individuelle Vertiefung 
9. [studyplans] Master_90_ac63854b237749c8e734fb8a94f0c163a11510d8.txt p.1 - tion; ECTS: 4.5 - Code: Masterarbeit; Lehreinheit: Masterarbeit; Lehrer(innen): Masterarbeit; Semester: Masterarbeit; Niveau: Masterarbeit; Sprache: Masterarbeit; Bewertung: Masterarbeit; ECTS: Masterarbeit - Code: EDK.0
10. [studyplans] Master_90_ac63854b237749c8e734fb8a94f0c163a11510d8.txt p.1 - g - Modul III: Spezialisierung Dieses Modul ermöglicht eine individuelle Vertiefung durch zusätzliche Kurse zur Anwendung der erlernten Methoden. Mögliche | Elective Module: 'Specialisation'. Select courses for up to max</t>
  </si>
  <si>
    <t>[{"source": null, "page": 1, "snippet": "Section: Pflichtmodule (mindestens 45 ECTS insgesamt)\n\nTable rows:\n- Code: Module I: Data Analytics (Data); Lehreinheit: Module I: Data Analytics (Data); Lehrer(innen): Module I: Data Analytics (Data); Semester: Module I: Data Analytics (Data); Niveau: Module I: Data Analytics (Data); Sprache: Module I: Data Analytics (Data); Bewertung: Module I: Data Analytics (Data); ECTS: Module I: Data Analytics (Data)\n- Code: Pflichtkurse; Lehreinheit: Pflichtkurse; Lehrer(innen): Pflichtkurse; Semester: Pf",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"ac63854b237749c8e734fb8a94f0c163a11510d8::semantic_table::chunk::0011", "chunk_type": "table", "section": "Pflichtmodule (mindestens 45 ECTS insgesamt)", "page_start": 1, "page_end": 1, "chunk_pages": [1], "contains_table": true, "block_kinds": ["table"], "prev_chunk_id": "ac63854b237749c8e734fb8a94f0c163a11510d8::semantic_table::chunk::0010", "next_chunk_id": "ac63854b237749c8e734fb8a94f0c163a11510d8::semantic_table::chunk::0012",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5, "source_intent": "studyplans", "returned_count": 20, "returned_programs": ["Data Analytics &amp; Economics"], "query": "What skills are learned in the Mathmatics program?",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26, "returned_count": 10, "returned_sources": ["studyplans", "studyplans", "studyplans", "studyplans", "studyplans", "studyplans", "studyplans", "studyplans", "studyplans", "studyplans"], "returned_programs": ["Data Analytics &amp; Economics"]},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5, "source_intent": "studyplans", "returned_count": 20, "returned_programs": ["Data Analytics &amp; Economics"], "query": "What skills are learned in the Mathmatics program?",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26, "returned_count": 10, "returned_sources": ["studyplans", "studyplans", "studyplans", "studyplans", "studyplans", "studyplans", "studyplans", "studyplans", "studyplans", "studyplans"], "returned_programs": ["Data Analytics &amp; Economics"]}}, {"source": null, "page": 1, "snippet": "Schriftliche Prüfung; ECTS: 3.5\n- Code: SBL.30001; Lehreinheit: Einführung in R; Lehrer(innen): Wegmann; Semester: HS-2025; Niveau: MA; Sprache: en; Bewertung: Schriftliche Prüfung; ECTS: 2\n- Code: SBL.20001; Lehreinheit: Biostatistik I - verallgemeinerte lineare Modelle und gemischte Modelle; Lehrer(innen): Bersier, Rohr; Semester: HS-2025; Niveau: MA; Sprache: en; Bewertung: Schriftliche Prüfung, Mündliche Prüfung; ECTS: 3\n- Code: SBL.30002; Lehreinheit: Machine learning; Lehrer(innen): Wegman",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"ac63854b237749c8e734fb8a94f0c163a11510d8::semantic_table::chunk::0012", "chunk_type": "table", "section": "Pflichtmodule (mindestens 45 ECTS insgesamt)", "page_start": 1, "page_end": 1, "chunk_pages": [1], "contains_table": true, "block_kinds": ["table"], "prev_chunk_id": "ac63854b237749c8e734fb8a94f0c163a11510d8::semantic_table::chunk::0011", "next_chunk_id": "ac63854b237749c8e734fb8a94f0c163a11510d8::semantic_table::chunk::0013",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5, "source_intent": "studyplans", "returned_count": 20, "returned_programs": ["Data Analytics &amp; Economics"], "query": "What skills are learned in the Mathmatics program?",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26, "returned_count": 10, "returned_sources": ["studyplans", "studyplans", "studyplans", "studyplans", "studyplans", "studyplans", "studyplans", "studyplans", "studyplans", "studyplans"], "returned_programs": ["Data Analytics &amp; Economics"]},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5, "source_intent": "studyplans", "returned_count": 20, "returned_programs": ["Data Analytics &amp; Economics"], "query": "What skills are learned in the Mathmatics program?",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26, "returned_count": 10, "returned_sources": ["studyplans", "studyplans", "studyplans", "studyplans", "studyplans", "studyplans", "studyplans", "studyplans", "studyplans", "studyplans"], "returned_programs": ["Data Analytics &amp; Economics"]}}, {"source": null, "page": 1, "snippet": "f Markets and Organisations (Eco); Sprache: Module II: Economics of Markets and Organisations (Eco); Bewertung: Module II: Economics of Markets and Organisations (Eco); ECTS: Module II: Economics of Markets and Organisations (Eco)\n- Code: EEP.00332; Lehreinheit: Märkte und Strategien; Lehrer(innen): Büchel; Semester: HS-2025; Niveau: MA; Sprache: de; Bewertung: Schriftliche Prüfung; ECTS: 4.5\n- Code: EGE.00269; Lehreinheit: Digital Commerce in B2C and B2B Markets; Lehrer(innen): Schu; Semester: ",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"ac63854b237749c8e734fb8a94f0c163a11510d8::semantic_table::chunk::0013", "chunk_type": "table", "section": "Pflichtmodule (mindestens 45 ECTS insgesamt)", "page_start": 1, "page_end": 1, "chunk_pages": [1], "contains_table": true, "block_kinds": ["table"], "prev_chunk_id": "ac63854b237749c8e734fb8a94f0c163a11510d8::semantic_table::chunk::0012", "next_chunk_id": "ac63854b237749c8e734fb8a94f0c163a11510d8::semantic_table::chunk::0014",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5, "source_intent": "studyplans", "returned_count": 20, "returned_programs": ["Data Analytics &amp; Economics"], "query": "What skills are learned in the Mathmatics program?",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26, "returned_count": 10, "returned_sources": ["studyplans", "studyplans", "studyplans", "studyplans", "studyplans", "studyplans", "studyplans", "studyplans", "studyplans", "studyplans"], "returned_programs": ["Data Analytics &amp; Economics"]},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5, "source_intent": "studyplans", "returned_count": 20, "returned_programs": ["Data Analytics &amp; Economics"], "query": "What skills are learned in the Mathmatics program?",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26, "returned_count": 10, "returned_sources": ["studyplans", "studyplans", "studyplans", "studyplans", "studyplans", "studyplans", "studyplans", "studyplans", "studyplans", "studyplans"], "returned_programs": ["Data Analytics &amp; Economics"]}}, {"source": null, "page": 1, "snippet": "ewertung: Schriftliche Prüfung; ECTS: 6\n- Code: EEP.00518; Lehreinheit: Organisational Economics; Lehrer(innen): Herz; Semester: FS-2026; Niveau: MA; Sprache: en; Bewertung: Schriftliche Prüfung; ECTS: 4.5\n- Code: EIG.00244; Lehreinheit: Choice-based optimization and its application to revenue management; Lehrer(innen): Pacheco Paneque; Semester: FS-2026; Niveau: MA; Sprache: en; Bewertung: Schriftliche Prüfung; ECTS: 4.5\n- Code: EEP.00328; Lehreinheit: Network Science &amp; Economics; Lehrer(innen)",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"ac63854b237749c8e734fb8a94f0c163a11510d8::semantic_table::chunk::0014", "chunk_type": "table", "section": "Pflichtmodule (mindestens 45 ECTS insgesamt)", "page_start": 1, "page_end": 1, "chunk_pages": [1], "contains_table": true, "block_kinds": ["table"], "prev_chunk_id": "ac63854b237749c8e734fb8a94f0c163a11510d8::semantic_table::chunk::0013", "next_chunk_id": "ac63854b237749c8e734fb8a94f0c163a11510d8::semantic_table::chunk::0015",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5, "source_intent": "studyplans", "returned_count": 20, "returned_programs": ["Data Analytics &amp; Economics"], "query": "What skills are learned in the Mathmatics program?",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26, "returned_count": 10, "returned_sources": ["studyplans", "studyplans", "studyplans", "studyplans", "studyplans", "studyplans", "studyplans", "studyplans", "studyplans", "studyplans"], "returned_programs": ["Data Analytics &amp; Economics"]},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5, "source_intent": "studyplans", "returned_count": 20, "returned_programs": ["Data Analytics &amp; Economics"], "query": "What skills are learned in the Mathmatics program?",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26, "returned_count": 10, "returned_sources": ["studyplans", "studyplans", "studyplans", "studyplans", "studyplans", "studyplans", "studyplans", "studyplans", "studyplans", "studyplans"], "returned_programs": ["Data Analytics &amp; Economics"]}}, {"source": null, "page": 1, "snippet": "-----------------------------------------------------|---------------------------------------------------------|\n| Module I: Data Analytics (Data) | Module I: Data Analytics (Data) | Module I: Data Analytics (Data) | Module I: Data Analytics (Data) | Module I: Data Analytics (Data) | Module I: Data Analytics (Data) | Module I: Data Analytics (Data) | Module I: Data Analytics (Data) |\n| Pflichtkurse | Pflichtkurse | Pflichtkurse | Pflichtkurse | Pflichtkurse | Pflichtkurse | Pflichtkurse | Pflich",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"ac63854b237749c8e734fb8a94f0c163a11510d8::semantic_table::chunk::0015", "chunk_type": "table", "section": "Pflichtmodule (mindestens 45 ECTS insgesamt)", "page_start": 1, "page_end": 1, "chunk_pages": [1], "contains_table": true, "block_kinds": ["table"], "prev_chunk_id": "ac63854b237749c8e734fb8a94f0c163a11510d8::semantic_table::chunk::0014", "next_chunk_id": "ac63854b237749c8e734fb8a94f0c163a11510d8::semantic_table::chunk::0016",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5, "source_intent": "studyplans", "returned_count": 20, "returned_programs": ["Data Analytics &amp; Economics"], "query": "What skills are learned in the Mathmatics program?",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26, "returned_count": 10, "returned_sources": ["studyplans", "studyplans", "studyplans", "studyplans", "studyplans", "studyplans", "studyplans", "studyplans", "studyplans", "studyplans"], "returned_programs": ["Data Analytics &amp; Economics"]},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5, "source_intent": "studyplans", "returned_count": 20, "returned_programs": ["Data Analytics &amp; Economics"], "query": "What skills are learned in the Mathmatics program?",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26, "returned_count": 10, "returned_sources": ["studyplans", "studyplans", "studyplans", "studyplans", "studyplans", "studyplans", "studyplans", "studyplans", "studyplans", "studyplans"], "returned_programs": ["Data Analytics &amp; Economics"]}}, {"source": null, "page": 1, "snippet": "Policy and Impact Evaluation | Huber | FS-2026 | MA | en | Schriftliche Prüfung | 4.5 |\n| EEP.00496 | Econometric Methods and Applications | Huber | HS-2025 | MA | en | Schriftliche Prüfung | 6 |\n| EEP.00517 | Advanced Topics in Data Analytics and Machine Learning | Kauth | HS-2025 | MA | en | Fortlaufende Evaluation | 1.5 |\n| Module II: Economics of Markets and Organisations (Eco) | Module II: Economics of Markets and Organisations (Eco) | Module II: Economics of Markets and Organisations (Eco)",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"ac63854b237749c8e734fb8a94f0c163a11510d8::semantic_table::chunk::0016", "chunk_type": "table", "section": "Pflichtmodule (mindestens 45 ECTS insgesamt)", "page_start": 1, "page_end": 1, "chunk_pages": [1], "contains_table": true, "block_kinds": ["table"], "prev_chunk_id": "ac63854b237749c8e734fb8a94f0c163a11510d8::semantic_table::chunk::0015", "next_chunk_id": "ac63854b237749c8e734fb8a94f0c163a11510d8::semantic_table::chunk::0017",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5, "source_intent": "studyplans", "returned_count": 20, "returned_programs": ["Data Analytics &amp; Economics"], "query": "What skills are learned in the Mathmatics program?",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26, "returned_count": 10, "returned_sources": ["studyplans", "studyplans", "studyplans", "studyplans", "studyplans", "studyplans", "studyplans", "studyplans", "studyplans", "studyplans"], "returned_programs": ["Data Analytics &amp; Economics"]},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5, "source_intent": "studyplans", "returned_count": 20, "returned_programs": ["Data Analytics &amp; Economics"], "query": "What skills are learned in the Mathmatics program?", "query_language": "en"}], "returned_count": 20}},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26, "returned_count": 10, "returned_sources": ["studyplans", "studyplans", "studyplans", "studyplans", "studyplans", "studyplans", "studyplans", "studyplans", "studyplans", "studyplans"], "returned_programs": ["Data Analytics &amp;</t>
  </si>
  <si>
    <t>Master_90_ac63854b237749c8e734fb8a94f0c163a11510d8.txt</t>
  </si>
  <si>
    <t>Section: Pflichtmodule (mindestens 45 ECTS insgesamt) Table rows: - Code: Module I: Data Analytics (Data); Lehreinheit: Module I: Data Analytics (Data); Lehrer(innen): Module I: Data Analytics (Data); Semester: Module I: Data Analytics (Data); Niveau: Module I: Data Analytics (Data); Sprache: Module I: Data Analytics (Data); Bewertung: Module I: Da</t>
  </si>
  <si>
    <t>de</t>
  </si>
  <si>
    <t>Welche Kurse sind im Studienprogramm Philosophie enthalten?</t>
  </si>
  <si>
    <t>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t>
  </si>
  <si>
    <t>1. [studyplans] Bachelor_120_991e33011e85c80ce74b56fe4592b6869e64c6fb.txt p.1 - 3 - column_1: Lateinische oder griechische Sprache und Literatur: zur Wahl; PUNKTE: 3 - column_1: 8. KOMPLEMENTÄRKOMPETENZEN (SOFT SKILLS); PUNKTE: 12 - column_1: Geschichte, Archäologie - column_1: Literatur, Literaturt
2. [studyplans] Bachelor_120_991e33011e85c80ce74b56fe4592b6869e64c6fb.txt p.1 - Renaissancestudien: 1 Vorlesung oder 1 Lektüre | 3 | | Lateinische oder griechische Sprache und Literatur: zur Wahl | 3 | | 8. KOMPLEMENTÄRKOMPETENZEN (SOFT SKILLS) | 12 | | Geschichte, Archäologie | | | Literatur, Liter
3. [studyplans] Bachelor_120_991e33011e85c80ce74b56fe4592b6869e64c6fb.txt p.1 - Section: DIE MODULE Table rows: - column_1: 1. PROPÄDEUTIK GRIECHISCH; PUNKTE: 15 - column_1: Geschichte der griechischen Literatur; PUNKTE: 3 - column_1: Griechische Geschichte; PUNKTE: 3 - column_1: Übungen Griechisch;
4. [studyplans] Bachelor_120_991e33011e85c80ce74b56fe4592b6869e64c6fb.txt p.1 - Section: MODUL 7: BASISKOMPETENZEN (18 ECTS) Table rows: - 18 PUNKTE: 3 PUNKTE; Das Modul Basiskompetenzen (18 ECTS Punkte) besteht aus sechs Lehrveranstaltungen, die sich auf die drei Jahre des Bachelorstudiums verteile
5. [studyplans] Bachelor_120_991e33011e85c80ce74b56fe4592b6869e64c6fb.txt p.1 - situiert diese in ihrem literarischen, historischen und theologischen Umfeld. Die Lehrveranstaltung wird während des dritten Studienjahres belegt. - 18 PUNKTE: 3 PUNKTE; Das Modul Basiskompetenzen (18 ECTS Punkte) besteh
6. [studyplans] Bachelor_120_991e33011e85c80ce74b56fe4592b6869e64c6fb.txt p.1 - ethoden der Philologie ein und macht sie mit den wichtigsten Hilfsmitteln vertraut. Sie muss während des ersten Studienjahres belegt werden. | | 3 PUNKTE | Griechisch-römische Mythologie Diese Vorlesung vermittelt einen 
7. [studyplans] Bachelor_120_991e33011e85c80ce74b56fe4592b6869e64c6fb.txt p.1 - Previous context: ltungen einhält und die Evaluationen in der entsprechenden Unterrichtssprache erfolgreich absolviert, erhält ein BA Diplom in Klassischer Philologie mit dem Vermerk 'zweisprachig'. Section: Studienaufba
8. [studyplans] Bachelor_120_991e33011e85c80ce74b56fe4592b6869e64c6fb.txt p.1 - Previous context: heorie | | | Antike Philosophie | | | Patristik | | | Antike Sprachen (Koptisch, Syrisch, Ägyptisch …) | | | Ägyptologie | | | Latein der Renaissance | | | Rezeption der Antike | | Section: MODUL 1: PRO
9. [studyplans] Bachelor_120_991e33011e85c80ce74b56fe4592b6869e64c6fb.txt p.1 - Previous context: ENZEN / SOFT SKILLS (12 ECTS) Dieses Modul rundet den Bachelor Studiengang ab durch die Erwerbung von ergänzenden Kompetenzen in Geschichte, Archäologie, Literatur, Sprachen, etc. Section: 4 Lehrveranst
10. [studyplans] Bachelor_120_991e33011e85c80ce74b56fe4592b6869e64c6fb.txt p.1 - Previous context: Archäologie, Literatur, Literaturtheorie, antike Philosophie, Patristik, alte Sprachen (Koptisch, Syrisch, Ägyptisch, …), Ägyptologie, Latein der Renaissance, Rezeption der Antike. Section: DIE EVALUATI</t>
  </si>
  <si>
    <t>[{"source": null, "page": 1, "snippet": "3\n- column_1: Lateinische oder griechische Sprache und Literatur: zur Wahl; PUNKTE: 3\n- column_1: 8. KOMPLEMENTÄRKOMPETENZEN (SOFT SKILLS); PUNKTE: 12\n- column_1: Geschichte, Archäologie\n- column_1: Literatur, Literaturtheorie\n- column_1: Antike Philosophie\n- column_1: Patristik\n- column_1: Antike Sprachen (Koptisch, Syrisch, Ägyptisch …)\n- column_1: Ägyptologie\n- column_1: Latein der Renaissance\n- column_1: Rezeption der Antike\n\nRaw table:\n| | PUNKTE |\n|-----------------------------------------",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"991e33011e85c80ce74b56fe4592b6869e64c6fb::semantic_table::chunk::0007", "chunk_type": "table", "section": "DIE MODULE", "page_start": 1, "page_end": 1, "chunk_pages": [1], "contains_table": true, "block_kinds": ["table"], "prev_chunk_id": "991e33011e85c80ce74b56fe4592b6869e64c6fb::semantic_table::chunk::0006", "next_chunk_id": "991e33011e85c80ce74b56fe4592b6869e64c6fb::semantic_table::chunk::0008",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20, "returned_programs": ["Classics"], "query": "Welche Kurse sind im Studienprogramm Philosophie enthalten?", "query_language": "de"}], "returned_count": 20}},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26, "returned_count": 10, "returned_sources": ["studyplans", "studyplans", "studyplans", "studyplans", "studyplans", "studyplans", "studyplans", "studyplans", "studyplans", "studyplans"], "returned_programs": ["Classics"]},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20, "returned_programs": ["Classics"], "query": "Welche Kurse sind im Studienprogramm Philosophie enthalten?", "query_language": "de"}], "returned_count": 20}},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26, "returned_count": 10, "returned_sources": ["studyplans", "studyplans", "studyplans", "studyplans", "studyplans", "studyplans", "studyplans", "studyplans", "studyplans", "studyplans"], "returned_programs": ["Classics"]}}, {"source": null, "page": 1, "snippet": "Renaissancestudien: 1 Vorlesung oder 1 Lektüre | 3 |\n| Lateinische oder griechische Sprache und Literatur: zur Wahl | 3 |\n| 8. KOMPLEMENTÄRKOMPETENZEN (SOFT SKILLS) | 12 |\n| Geschichte, Archäologie | |\n| Literatur, Literaturtheorie | |\n| Antike Philosophie | |\n| Patristik | |\n| Antike Sprachen (Koptisch, Syrisch, Ägyptisch …) | |\n| Ägyptologie | |\n| Latein der Renaissance | |\n| Rezeption der Antike | |",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"991e33011e85c80ce74b56fe4592b6869e64c6fb::semantic_table::chunk::0008", "chunk_type": "table", "section": "DIE MODULE", "page_start": 1, "page_end": 1, "chunk_pages": [1], "contains_table": true, "block_kinds": ["table"], "prev_chunk_id": "991e33011e85c80ce74b56fe4592b6869e64c6fb::semantic_table::chunk::0007", "next_chunk_id": "991e33011e85c80ce74b56fe4592b6869e64c6fb::semantic_table::chunk::0009",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20, "returned_programs": ["Classics"], "query": "Welche Kurse sind im Studienprogramm Philosophie enthalten?", "query_language": "de"}], "returned_count": 20}},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26, "returned_count": 10, "returned_sources": ["studyplans", "studyplans", "studyplans", "studyplans", "studyplans", "studyplans", "studyplans", "studyplans", "studyplans", "studyplans"], "returned_programs": ["Classics"]},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20, "returned_programs": ["Classics"], "query": "Welche Kurse sind im Studienprogramm Philosophie enthalten?", "query_language": "de"}], "returned_count": 20}},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26, "returned_count": 10, "returned_sources": ["studyplans", "studyplans", "studyplans", "studyplans", "studyplans", "studyplans", "studyplans", "studyplans", "studyplans", "studyplans"], "returned_programs": ["Classics"]}}, {"source": null, "page": 1, "snippet": "Section: DIE MODULE\n\nTable rows:\n- column_1: 1. PROPÄDEUTIK GRIECHISCH; PUNKTE: 15\n- column_1: Geschichte der griechischen Literatur; PUNKTE: 3\n- column_1: Griechische Geschichte; PUNKTE: 3\n- column_1: Übungen Griechisch; PUNKTE: 3\n- column_1: Griechische Sprache; PUNKTE: 3\n- column_1: Griechische Lektüre 1. Jahr; PUNKTE: 3\n- column_1: 2. PROPÄDEUTIK LATEIN; PUNKTE: 15\n- column_1: Geschichte der lateinischen Literatur; PUNKTE: 3\n- column_1: Römische Geschichte; PUNKTE: 3\n- column_1: Übungen Late",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"991e33011e85c80ce74b56fe4592b6869e64c6fb::semantic_table::chunk::0006", "chunk_type": "table", "section": "DIE MODULE", "page_start": 1, "page_end": 1, "chunk_pages": [1], "contains_table": true, "block_kinds": ["table"], "prev_chunk_id": "991e33011e85c80ce74b56fe4592b6869e64c6fb::semantic_table::chunk::0005", "next_chunk_id": "991e33011e85c80ce74b56fe4592b6869e64c6fb::semantic_table::chunk::0007",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20, "returned_programs": ["Classics"], "query": "Welche Kurse sind im Studienprogramm Philosophie enthalten?", "query_language": "de"}], "returned_count": 20}},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26, "returned_count": 10, "returned_sources": ["studyplans", "studyplans", "studyplans", "studyplans", "studyplans", "studyplans", "studyplans", "studyplans", "studyplans", "studyplans"], "returned_programs": ["Classics"]},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20, "returned_programs": ["Classics"], "query": "Welche Kurse sind im Studienprogramm Philosophie enthalten?", "query_language": "de"}], "returned_count": 20}},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26, "returned_count": 10, "returned_sources": ["studyplans", "studyplans", "studyplans", "studyplans", "studyplans", "studyplans", "studyplans", "studyplans", "studyplans", "studyplans"], "returned_programs": ["Classics"]}}, {"source": null, "page": 1, "snippet": "Section: MODUL 7: BASISKOMPETENZEN (18 ECTS)\n\nTable rows:\n- 18 PUNKTE: 3 PUNKTE; Das Modul Basiskompetenzen (18 ECTS Punkte) besteht aus sechs Lehrveranstaltungen, die sich auf die drei Jahre des Bachelorstudiums verteilen.: Einführung in die Klassische Philologie Diese Lehrveranstaltung führt die Studierenden in die Methoden der Philologie ein und macht sie mit den wichtigsten Hilfsmitteln vertraut. Sie muss während des ersten Studienjahres belegt werden.\n- 18 PUNKTE: 3 PUNKTE; Das Modul Basisk",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"991e33011e85c80ce74b56fe4592b6869e64c6fb::semantic_table::chunk::0021", "chunk_type": "table", "section": "MODUL 7: BASISKOMPETENZEN (18 ECTS)", "page_start": 1, "page_end": 1, "chunk_pages": [1], "contains_table": true, "block_kinds": ["table"], "prev_chunk_id": "991e33011e85c80ce74b56fe4592b6869e64c6fb::semantic_table::chunk::0020", "next_chunk_id": "991e33011e85c80ce74b56fe4592b6869e64c6fb::semantic_table::chunk::0022",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20, "returned_programs": ["Classics"], "query": "Welche Kurse sind im Studienprogramm Philosophie enthalten?", "query_language": "de"}], "returned_count": 20}},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26, "returned_count": 10, "returned_sources": ["studyplans", "studyplans", "studyplans", "studyplans", "studyplans", "studyplans", "studyplans", "studyplans", "studyplans", "studyplans"], "returned_programs": ["Classics"]},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20, "returned_programs": ["Classics"], "query": "Welche Kurse sind im Studienprogramm Philosophie enthalten?", "query_language": "de"}], "returned_count": 20}},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26, "returned_count": 10, "returned_sources": ["studyplans", "studyplans", "studyplans", "studyplans", "studyplans", "studyplans", "studyplans", "studyplans", "studyplans", "studyplans"], "returned_programs": ["Classics"]}}, {"source": null, "page": 1, "snippet": "situiert diese in ihrem literarischen, historischen und theologischen Umfeld. Die Lehrveranstaltung wird während des dritten Studienjahres belegt.\n- 18 PUNKTE: 3 PUNKTE; Das Modul Basiskompetenzen (18 ECTS Punkte) besteht aus sechs Lehrveranstaltungen, die sich auf die drei Jahre des Bachelorstudiums verteilen.: Lateinische Renaissancestudien Die Studierenden belegen einen Literaturkurs oder eine Lektüre ihrer Wahl im Bereich der lateinischen Renaissancestudien.\n- 18 PUNKTE: 3; Das Modul Basisko",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"991e33011e85c80ce74b56fe4592b6869e64c6fb::semantic_table::chunk::0022", "chunk_type": "table", "section": "MODUL 7: BASISKOMPETENZEN (18 ECTS)", "page_start": 1, "page_end": 1, "chunk_pages": [1], "contains_table": true, "block_kinds": ["table"], "prev_chunk_id": "991e33011e85c80ce74b56fe4592b6869e64c6fb::semantic_table::chunk::0021", "next_chunk_id": "991e33011e85c80ce74b56fe4592b6869e64c6fb::semantic_table::chunk::0023",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20, "returned_programs": ["Classics"], "query": "Welche Kurse sind im Studienprogramm Philosophie enthalten?", "query_language": "de"}], "returned_count": 20}},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26, "returned_count": 10, "returned_sources": ["studyplans", "studyplans", "studyplans", "studyplans", "studyplans", "studyplans", "studyplans", "studyplans", "studyplans", "studyplans"], "returned_programs": ["Classics"]}, "source_retrieval_quota": 20}, "retrieval_debug": {"retrieval_mode": "multi_vectorstore_weighted_rerank", "source_intent": "studyplans", "quotas": {"studyplans": 20, "reglementations": 4, "base_data": 6}, "per_source": {"studyplans": {"quota": 20, "returned": 20,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20, "returned_programs": ["Classics"], "query": "Welche Kurse sind im Studienprogramm Philosophie enthalten?", "query_language": "de"}], "returned_count": 20}},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26, "returned_count": 10, "returned_sources": ["studyplans", "studyplans", "studyplans", "studyplans", "studyplans", "studyplans", "studyplans", "studyplans", "studyplans", "studyplans"], "returned_programs": ["Classics"]}}, {"source": null, "page": 1, "snippet": "ethoden der Philologie ein und macht sie mit den wichtigsten Hilfsmitteln vertraut. Sie muss während des ersten Studienjahres belegt werden. |\n| 3 PUNKTE | Griechisch-römische Mythologie Diese Vorlesung vermittelt einen Überblick über die wichtigsten antiken Mythen und ihre literarischen Repräsentationen. Sie wird normalerweise während des zweiten Studienjahres belegt. |\n| 3 PUNKTE | Einführung in die Literatur der Spätantike Diese Vorlesung gibt anhand einer repräsentativen Textauswahl einen Üb", "metadata": {"parsed_at": "2026-04-10T13:51:15.281Z", "pages": 1, "parse</t>
  </si>
  <si>
    <t>Bachelor_120_991e33011e85c80ce74b56fe4592b6869e64c6fb.txt</t>
  </si>
  <si>
    <t>3 - column_1: Lateinische oder griechische Sprache und Literatur: zur Wahl; PUNKTE: 3 - column_1: 8. KOMPLEMENTÄRKOMPETENZEN (SOFT SKILLS); PUNKTE: 12 - column_1: Geschichte, Archäologie - column_1: Literatur, Literaturtheorie - column_1: Antike Philosophie - column_1: Patristik - column_1: Antike Sprachen (Koptisch, Syrisch, Ägyptisch …) - column_</t>
  </si>
  <si>
    <t>fr</t>
  </si>
  <si>
    <t>Quel est la langue d'enseignement du bachelor en informatique de gestion?</t>
  </si>
  <si>
    <t xml:space="preserve">explanation of bilingualism </t>
  </si>
  <si>
    <t>Bachelor_60_0db1ecc33192dca3d59fdf22e534a0faf17d221c.txt; Bachelor_60_0db1ecc33192dca3d59fdf22e534a0faf17d221c.txt; Bachelor_60_0db1ecc33192dca3d59fdf22e534a0faf17d221c.txt; Bachelor_60_0db1ecc33192dca3d59fdf22e534a0faf17d221c.txt; Bachelor_60_0db1ecc33192dca3d59fdf22e534a0faf17d221c.txt; Bachelor_60_de187ddb3891357b61d0665e5a4f0f2bc5bfd0bf.txt; Bachelor_60_de187ddb3891357b61d0665e5a4f0f2bc5bfd0bf.txt; Bachelor_60_de187ddb3891357b61d0665e5a4f0f2bc5bfd0bf.txt; Bachelor_60_de187ddb3891357b61d0665e5a4f0f2bc5bfd0bf.txt; Bachelor_60_de187ddb3891357b61d0665e5a4f0f2bc5bfd0bf.txt</t>
  </si>
  <si>
    <t>1. [studyplans] Bachelor_60_0db1ecc33192dca3d59fdf22e534a0faf17d221c.txt p.1 - Section: STRUCTURE CONSEILLÉE DES ÉTUDES Table rows: - Semestres 1 - 6: 1 (SA); Semestres 1 - 6: 2 (SP); Semestres 1 - 6: 3 (SA); Semestres 1 - 6: 4 (SP); Semestres 1 - 6: 5 (SA); Semestres 1 - 6: 6 (SP) - column_1: 1 Pr
2. [studyplans] Bachelor_60_0db1ecc33192dca3d59fdf22e534a0faf17d221c.txt p.1 - FLE (plan d'études DEDS A); Semestres 1 - 6: 1 séminaire « Interculturel » 1 séminaire « Littérature » 1 séminaire à choisir dans le programme FLE (plan d'études DEDS A); Semestres 1 - 6: 1 séminaire « Interculturel » 1 
3. [studyplans] Bachelor_60_0db1ecc33192dca3d59fdf22e534a0faf17d221c.txt p.1 - /natives | Langue débutant | Tandem | | | | | | 2 Linguistique | | 2, 3 ou 4 séminaires (selon plan d'études) Cours | 2, 3 ou 4 séminaires (selon plan d'études) Cours | 2, 3 ou 4 séminaires (selon plan d'études) Cours | 
4. [studyplans] Bachelor_60_0db1ecc33192dca3d59fdf22e534a0faf17d221c.txt p.1 - Section: SEMESTRE D'AUTOMNE (SA) Table rows: - column_1: 8-10; Mardi: Interculturel : Séminaire; Mercredi: Langue : écrit B2 (non natifs/ves); Jeudi: Didactique : Séminaire - column_1: 10-12; Mardi: Linguistique : Sémina
5. [studyplans] Bachelor_60_0db1ecc33192dca3d59fdf22e534a0faf17d221c.txt p.1 - Section: SEMESTRE DE PRINTEMPS (SP) Table rows: - column_1: 8-10; Mercredi: Langue : écrit C1 (non natifs/ves) - column_1: 10-12; Mercredi: Langue : oral B2- C1 (non natifs/ves); Jeudi: Didactique : Séminaire; Vendredi: 
6. [studyplans] Bachelor_60_de187ddb3891357b61d0665e5a4f0f2bc5bfd0bf.txt p.1 - Section: Studienjahr 2025/2026 Table rows: - WILLKOMMEN IM DAF-STUDIUM!: ERSTE SCHRITTE; 4: 5 - WILLKOMMEN IM DAF-STUDIUM!: Sich informieren; 4: 5 - WILLKOMMEN IM DAF-STUDIUM!: Veranstaltungen vor Semesterbeginn; 4: 5 - 
7. [studyplans] Bachelor_60_de187ddb3891357b61d0665e5a4f0f2bc5bfd0bf.txt p.1 - : ORGANISATION IHRES STUDIUMS IM BA DaF [60]; 4: 12 - WILLKOMMEN IM DAF-STUDIUM!: Empfohlener Studienaufbau über 3 Jahre bei Beginn im HS25; 4: 12 - WILLKOMMEN IM DAF-STUDIUM!: Empfohlener Studienaufbau bei Beginn im FS2
8. [studyplans] Bachelor_60_de187ddb3891357b61d0665e5a4f0f2bc5bfd0bf.txt p.1 - ON IHRES STUDIUMS IM BA DaF [60] | 12 | | Empfohlener Studienaufbau über 3 Jahre bei Beginn im HS25 | 12 | | Empfohlener Studienaufbau bei Beginn im FS26 | 13 | | Empfohlener Studienaufbau über 2 Jahre, Beginn HS25 | 14 
9. [studyplans] Bachelor_60_de187ddb3891357b61d0665e5a4f0f2bc5bfd0bf.txt p.1 - Section: Studienjahr 2025/2026 Table rows: - ÜBERSICHTEN BA DaF [60] ab HS 2025: Was ist wann bei wem im Angebot? Eine praktische Hilfe zur inhaltlichen und zeitlichen Planung des DaF-Studiums; 18: 18 - ÜBERSICHTEN BA Da
10. [studyplans] Bachelor_60_de187ddb3891357b61d0665e5a4f0f2bc5bfd0bf.txt p.1 - Section: ORGANISATION IHRES STUDIUMS IM BA DaF [60] &gt; Modul 4: Table rows: - 1.Sem.: 2.Sem.; HS 25: FS 26; M1: M1; M2: M2; M3 incl. VL: M3 - 1.Sem.: 3.Sem.; HS 25: HS 26; M1: M1; M2: M2 incl. VL; M3 incl. VL: M3 - 1.Sem.</t>
  </si>
  <si>
    <t>[{"source": null, "page": 1, "snippet": "Section: STRUCTURE CONSEILLÉE DES ÉTUDES\n\nTable rows:\n- Semestres 1 - 6: 1 (SA); Semestres 1 - 6: 2 (SP); Semestres 1 - 6: 3 (SA); Semestres 1 - 6: 4 (SP); Semestres 1 - 6: 5 (SA); Semestres 1 - 6: 6 (SP)\n- column_1: 1 Pratique Langue A Non natifs/natives; Semestres 1 - 6: Ecrit B2 Grammaire B2-C1; Semestres 1 - 6: Ecrit C1 Oral B2- C1; Semestres 1 - 6: Stage linguistique Peut être effectué à l'inter-semestre; Semestres 1 - 6: Stage linguistique Peut être effectué à l'inter-semestre\n- column_1: ",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"0db1ecc33192dca3d59fdf22e534a0faf17d221c::semantic_table::chunk::0008", "chunk_type": "table", "section": "STRUCTURE CONSEILLÉE DES ÉTUDES", "page_start": 1, "page_end": 1, "chunk_pages": [1], "contains_table": true, "block_kinds": ["table"], "prev_chunk_id": "0db1ecc33192dca3d59fdf22e534a0faf17d221c::semantic_table::chunk::0007", "next_chunk_id": "0db1ecc33192dca3d59fdf22e534a0faf17d221c::semantic_table::chunk::0009",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4, "source_intent": "studyplans", "returned_count": 20, "returned_programs": ["German as a Foreign Language"], "query": "Quel est la langue d'enseignement du bachelor en informatique de gestion?", "query_language": "fr"}], "returned_count": 20}}, "reglementations": {"error": "", "quota": 4}, "base_data": {"quota": 6, "returned": 6,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"base_data", "returned_count": 6, "returned_programs": ["None"], "query": "Welche Sprache wird im Bachelorstudium Informatik der Wirtschaft verwendet?", "query_language": "de"}], "returned_count": 6}}}, "candidate_count_before_dedupe": 26, "returned_count": 10, "returned_sources": ["studyplans", "studyplans", "studyplans", "studyplans", "studyplans", "studyplans", "studyplans", "studyplans", "studyplans", "studyplans"], "returned_programs": ["German as a Foreign Language"]}, "source_retrieval_quota": 20}, "retrieval_debug": {"retrieval_mode": "multi_vectorstore_weighted_rerank", "source_intent": "studyplans", "quotas": {"studyplans": 20, "reglementations": 4, "base_data": 6}, "per_source": {"studyplans": {"quota": 20, "returned": 20,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4, "source_intent": "studyplans", "returned_count": 20, "returned_programs": ["German as a Foreign Language"], "query": "Quel est la langue d'enseignement du bachelor en informatique de gestion?", "query_language": "fr"}], "returned_count": 20}}, "reglementations": {"error": "", "quota": 4}, "base_data": {"quota": 6, "returned": 6,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"base_data", "returned_count": 6, "returned_programs": ["None"], "query": "Welche Sprache wird im Bachelorstudium Informatik der Wirtschaft verwendet?", "query_language": "de"}], "returned_count": 6}}}, "candidate_count_before_dedupe": 26, "returned_count": 10, "returned_sources": ["studyplans", "studyplans", "studyplans", "studyplans", "studyplans", "studyplans", "studyplans", "studyplans", "studyplans", "studyplans"], "returned_programs": ["German as a Foreign Language"]}}, {"source": null, "page": 1, "snippet": "FLE (plan d'études DEDS A); Semestres 1 - 6: 1 séminaire « Interculturel » 1 séminaire « Littérature » 1 séminaire à choisir dans le programme FLE (plan d'études DEDS A); Semestres 1 - 6: 1 séminaire « Interculturel » 1 séminaire « Littérature » 1 séminaire à choisir dans le programme FLE (plan d'études DEDS A)\n- column_1: Travaux de séminaire; Semestres 1 - 6: 1 ou 2 travaux (selon plan d'études); Semestres 1 - 6: 1 ou 2 travaux (selon plan d'études); Semestres 1 - 6: 1 ou 2 travaux (selon plan",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"0db1ecc33192dca3d59fdf22e534a0faf17d221c::semantic_table::chunk::0009", "chunk_type": "table", "section": "STRUCTURE CONSEILLÉE DES ÉTUDES", "page_start": 1, "page_end": 1, "chunk_pages": [1], "contains_table": true, "block_kinds": ["table"], "prev_chunk_id": "0db1ecc33192dca3d59fdf22e534a0faf17d221c::semantic_table::chunk::0008", "next_chunk_id": "0db1ecc33192dca3d59fdf22e534a0faf17d221c::semantic_table::chunk::0010",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4, "source_intent": "studyplans", "returned_count": 20, "returned_programs": ["German as a Foreign Language"], "query": "Quel est la langue d'enseignement du bachelor en informatique de gestion?", "query_language": "fr"}], "returned_count": 20}}, "reglementations": {"error": "", "quota": 4}, "base_data": {"quota": 6, "returned": 6,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"base_data", "returned_count": 6, "returned_programs": ["None"], "query": "Welche Sprache wird im Bachelorstudium Informatik der Wirtschaft verwendet?", "query_language": "de"}], "returned_count": 6}}}, "candidate_count_before_dedupe": 26, "returned_count": 10, "returned_sources": ["studyplans", "studyplans", "studyplans", "studyplans", "studyplans", "studyplans", "studyplans", "studyplans", "studyplans", "studyplans"], "returned_programs": ["German as a Foreign Language"]}, "source_retrieval_quota": 20}, "retrieval_debug": {"retrieval_mode": "multi_vectorstore_weighted_rerank", "source_intent": "studyplans", "quotas": {"studyplans": 20, "reglementations": 4, "base_data": 6}, "per_source": {"studyplans": {"quota": 20, "returned": 20,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4, "source_intent": "studyplans", "returned_count": 20, "returned_programs": ["German as a Foreign Language"], "query": "Quel est la langue d'enseignement du bachelor en informatique de gestion?", "query_language": "fr"}], "returned_count": 20}}, "reglementations": {"error": "", "quota": 4}, "base_data": {"quota": 6, "returned": 6,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"base_data", "returned_count": 6, "returned_programs": ["None"], "query": "Welche Sprache wird im Bachelorstudium Informatik der Wirtschaft verwendet?", "query_language": "de"}], "returned_count": 6}}}, "candidate_count_before_dedupe": 26, "returned_count": 10, "returned_sources": ["studyplans", "studyplans", "studyplans", "studyplans", "studyplans", "studyplans", "studyplans", "studyplans", "studyplans", "studyplans"], "returned_programs": ["German as a Foreign Language"]}}, {"source": null, "page": 1, "snippet": "/natives | Langue débutant | Tandem | | | | |\n| 2 Linguistique | | 2, 3 ou 4 séminaires (selon plan d'études) Cours | 2, 3 ou 4 séminaires (selon plan d'études) Cours | 2, 3 ou 4 séminaires (selon plan d'études) Cours | 2, 3 ou 4 séminaires (selon plan d'études) Cours | 2, 3 ou 4 séminaires (selon plan d'études) Cours |\n| 3 Didactique | Cours | 3 ou 4 séminaires (selon plan d'études) | 3 ou 4 séminaires (selon plan d'études) | 3 ou 4 séminaires (selon plan d'études) | 3 ou 4 séminaires (selon pl",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"0db1ecc33192dca3d59fdf22e534a0faf17d221c::semantic_table::chunk::0010", "chunk_type": "table", "section": "STRUCTURE CONSEILLÉE DES ÉTUDES", "page_start": 1, "page_end": 1, "chunk_pages": [1], "contains_table": true, "block_kinds": ["table"], "prev_chunk_id": "0db1ecc33192dca3d59fdf22e534a0faf17d221c::semantic_table::chunk::0009", "next_chunk_id": "0db1ecc33192dca3d59fdf22e534a0faf17d221c::semantic_table::chunk::0011",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4, "source_intent": "studyplans", "returned_count": 20, "returned_programs": ["German as a Foreign Language"], "query": "Quel est la langue d'enseignement du bachelor en informatique de gestion?", "query_language": "fr"}], "returned_count": 20}}, "reglementations": {"error": "", "quota": 4}, "base_data": {"quota": 6, "returned": 6,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"base_data", "returned_count": 6, "returned_programs": ["None"], "query": "Welche Sprache wird im Bachelorstudium Informatik der Wirtschaft verwendet?", "query_language": "de"}], "returned_count": 6}}}, "candidate_count_before_dedupe": 26, "returned_count": 10, "returned_sources": ["studyplans", "studyplans", "studyplans", "studyplans", "studyplans", "studyplans", "studyplans", "studyplans", "studyplans", "studyplans"], "returned_programs": ["German as a Foreign Language"]}, "source_retrieval_quota": 20}, "retrieval_debug": {"retrieval_mode": "multi_vectorstore_weighted_rerank", "source_intent": "studyplans", "quotas": {"studyplans": 20, "reglementations": 4, "base_data": 6}, "per_source": {"studyplans": {"quota": 20, "returned": 20,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4, "source_intent": "studyplans", "returned_count": 20, "returned_programs": ["German as a Foreign Language"], "query": "Quel est la langue d'enseignement du bachelor en informatique de gestion?", "query_language": "fr"}], "returned_count": 20}}, "reglementations": {"error": "", "quota": 4}, "base_data": {"quota": 6, "returned": 6,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"base_data", "returned_count": 6, "returned_programs": ["None"], "query": "Welche Sprache wird im Bachelorstudium Informatik der Wirtschaft verwendet?", "query_language": "de"}], "returned_count": 6}}}, "candidate_count_before_dedupe": 26, "returned_count": 10, "returned_sources": ["studyplans", "studyplans", "studyplans", "studyplans", "studyplans", "studyplans", "studyplans", "studyplans", "studyplans", "studyplans"], "returned_programs": ["German as a Foreign Language"]}}, {"source": null, "page": 1, "snippet": "Section: SEMESTRE D'AUTOMNE (SA)\n\nTable rows:\n- column_1: 8-10; Mardi: Interculturel : Séminaire; Mercredi: Langue : écrit B2 (non natifs/ves); Jeudi: Didactique : Séminaire\n- column_1: 10-12; Mardi: Linguistique : Séminaire; Mercredi: Langue : grammaire B2-C1 (non natifs/ves); Jeudi: Didactique : Séminaire\n- column_1: 13-15; Mardi: Linguistique : Séminaire; Mercredi: Linguistique : Séminaire; Vendredi: Interculturel : Séminaire\n- column_1: 15-17; Mardi: Didactique : Séminaire; Mercredi: Linguis",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"0db1ecc33192dca3d59fdf22e534a0faf17d221c::semantic_table::chunk::0014", "chunk_type": "table", "section": "SEMESTRE D'AUTOMNE (SA)", "page_start": 1, "page_end": 1, "chunk_pages": [1], "contains_table": true, "block_kinds": ["table"], "prev_chunk_id": "0db1ecc33192dca3d59fdf22e534a0faf17d221c::semantic_table::chunk::0013", "next_chunk_id": "0db1ecc33192dca3d59fdf22e534a0faf17d221c::semantic_table::chunk::0015",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4, "source_intent": "studyplans", "returned_count": 20, "returned_programs": ["German as a Foreign Language"], "query": "Quel est la langue d'enseignement du bachelor en informatique de gestion?", "query_language": "fr"}], "returned_count": 20}}, "reglementations": {"error": "", "quota": 4}, "base_data": {"quota": 6, "returned": 6,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"base_data", "returned_count": 6, "returned_programs": ["None"], "query": "Welche Sprache wird im Bachelorstudium Informatik der Wirtschaft verwendet?", "query_language": "de"}], "returned_count": 6}}}, "candidate_count_before_dedupe": 26, "returned_count": 10, "returned_sources": ["studyplans", "studyplans", "studyplans", "studyplans", "studyplans", "studyplans", "studyplans", "studyplans", "studyplans", "studyplans"], "returned_programs": ["German as a Foreign Language"]}, "source_retrieval_quota": 20}, "retrieval_debug": {"retrieval_mode": "multi_vectorstore_weighted_rerank", "source_intent": "studyplans", "quotas": {"studyplans": 20, "reglementations": 4, "base_data": 6}, "per_source": {"studyplans": {"quota": 20, "returned": 20,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4, "source_intent": "studyplans", "returned_count": 20, "returned_programs": ["German as a Foreign Language"], "query": "Quel est la langue d'enseignement du bachelor en informatique de gestion?", "query_language": "fr"}], "returned_count": 20}}, "reglementations": {"error": "", "quota": 4}, "base_data": {"quota": 6, "returned": 6,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"base_data", "returned_count": 6, "returned_programs": ["None"], "query": "Welche Sprache wird im Bachelorstudium Informatik der Wirtschaft verwendet?", "query_language": "de"}], "returned_count": 6}}}, "candidate_count_before_dedupe": 26, "returned_count": 10, "returned_sources": ["studyplans", "studyplans", "studyplans", "studyplans", "studyplans", "studyplans", "studyplans", "studyplans", "studyplans", "studyplans"], "returned_programs": ["German as a Foreign Language"]}}, {"source": null, "page": 1, "snippet": "Section: SEMESTRE DE PRINTEMPS (SP)\n\nTable rows:\n- column_1: 8-10; Mercredi: Langue : écrit C1 (non natifs/ves)\n- column_1: 10-12; Mercredi: Langue : oral B2- C1 (non natifs/ves); Jeudi: Didactique : Séminaire; Vendredi: Didactique : Séminaire\n- column_1: 13-15; Mardi: Interculturel / Littérature : Séminaire; Mercredi: Didactique : Séminaire; Jeudi: Linguistique : Séminaire; Vendredi: Interculturel : Cours\n- column_1: 15-17\n- column_1: 17-19; Mardi: Linguistique : Cours; Mercredi: Accompagnement",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"0db1ecc33192dca3d59fdf22e534a0faf17d221c::semantic_table::chunk::0016", "chunk_type": "table", "section": "SEMESTRE DE PRINTEMPS (SP)", "page_start": 1, "page_end": 1, "chunk_pages": [1], "contains_table": true, "block_kinds": ["table"], "prev_chunk_id": "0db1ecc33192dca3d59fdf22e534a0faf17d221c::semantic_table::chunk::0015", "next_chunk_id": "0db1ecc33192dca3d59fdf22e534a0faf17d221c::semantic_table::chunk::0017", "rag_source": "studyplans", "category": "studyplans", "retrieval_debug": {"retrieval_mode": "multi_vectorstore_weighted_rerank", "source_intent": "studyplans", "quotas": {"studyplans": 20, "reglementations": 4, "base_data": 6}, "per_source": {"studyplans": {"quota": 20, "returned": 20,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4, "source_intent": "studyplans", "returned_count": 20, "returned_programs": ["German as a Foreign Language"], "query": "Quel est la langue d'enseignement du bachelor en informatique de gestion?", "query_language": "fr"}], "returned_count": 20}}, "reglementations": {"error": "", "quota": 4}, "base_data": {"quota": 6, "returned": 6,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"base_data", "returned_count": 6, "returned_programs": ["None"], "query": "Welche Sprache wird im Bachelorstudium Informatik der Wirtschaft verwendet?", "query_language": "de"}], "returned_count": 6}}}, "candidate_count_before_dedupe": 26, "returned_count": 10, "returned_sources": ["studyplans", "studyplans", "studyplans", "studyplans", "studyplans", "studyplans", "studyplans", "studyplans", "studyplans", "studyplans"], "returned_programs": ["German as a Foreign Language"]}, "source_retrieval_quota": 20}, "retrieval_debug": {"retrieval_mode": "multi_vectorstore_weighted_rerank", "source_intent": "studyplans", "quotas": {"studyplans": 20, "reglementations": 4, "base_data": 6}, "per_source": {"studyplans": {"quota": 20, "returned": 20,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4, "source_intent": "studyplans", "returned_count": 20, "returned_programs": ["German as a Foreign Language"], "query": "Quel est la langue d'enseignement du bachelor en informatique de gestion?", "query_language": "fr"}], "returned_count": 20}}, "reglementations": {"error": "", "quota": 4}, "base_data": {"quota": 6, "returned": 6,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"Quel est la langue d'enseignement du bachelor en informatique de gestion?", "query_language": "fr"}, {"d</t>
  </si>
  <si>
    <t>Bachelor_60_0db1ecc33192dca3d59fdf22e534a0faf17d221c.txt</t>
  </si>
  <si>
    <t xml:space="preserve">Section: STRUCTURE CONSEILLÉE DES ÉTUDES Table rows: - Semestres 1 - 6: 1 (SA); Semestres 1 - 6: 2 (SP); Semestres 1 - 6: 3 (SA); Semestres 1 - 6: 4 (SP); Semestres 1 - 6: 5 (SA); Semestres 1 - 6: 6 (SP) - column_1: 1 Pratique Langue A Non natifs/natives; Semestres 1 - 6: Ecrit B2 Grammaire B2-C1; Semestres 1 - 6: Ecrit C1 Oral B2- C1; Semestres 1 </t>
  </si>
  <si>
    <t>reglementation</t>
  </si>
  <si>
    <t>What does the reglementation say about quality assurance at the university of friburg?</t>
  </si>
  <si>
    <t>summary of https://webapps.unifr.ch/legal/de/110.000</t>
  </si>
  <si>
    <t>RAG</t>
  </si>
  <si>
    <t>regl vectorstore</t>
  </si>
  <si>
    <t>reglementations</t>
  </si>
  <si>
    <t>unifr_examinations_faculty_rules.json; unifr_elite_sports.json; unifr_examinations_faculty_rules.json; student_advice_and_information.json; unifr_elite_sports.json; unifr_elite_sports.json; Bachelor_60_1d036b4e5f656b65bcfa7a6121fb5095582bb706.txt; Bachelor_60_1d036b4e5f656b65bcfa7a6121fb5095582bb706.txt; Bachelor_60_474591eeaefa6c5efdc21f30ddab4db20843f774.txt; Bachelor_60_474591eeaefa6c5efdc21f30ddab4db20843f774.txt</t>
  </si>
  <si>
    <t>base_data; base_data; base_data; base_data; base_data; base_data; studyplans; studyplans; studyplans; studyplans</t>
  </si>
  <si>
    <t>; ; ; ; ; ; 1; 1; 1; 1</t>
  </si>
  <si>
    <t>1. [base_data] unifr_examinations_faculty_rules.json p. - Notes: Notes: Registration to exams is mandatory and does not automatically happen if you are registered to a class. Please observe the deadlines. Each teaching unit is assessed 2-3 times a year. At each session, you cho
2. [base_data] unifr_elite_sports.json p. - Examinations Examinations Registration for examinations is done in all faculties by Internet. As the procedures and deadlines differ from one faculty to another, it is important to find out in advance about the examinati
3. [base_data] unifr_examinations_faculty_rules.json p. - Examinations Examinations Registration for examinations is done in all faculties by Internet. As the procedures and deadlines differ from one faculty to another, it is important to find out in advance about the examinati
4. [base_data] student_advice_and_information.json p. - Study Programme Information Study Programme Information Questions concerning the study programmes offered at the University of Fribourg are handled by the responsible person for studies information. She informs Swiss and
5. [base_data] unifr_elite_sports.json p. - Study Programme Information Study Programme Information Questions concerning the study programmes offered at the University of Fribourg are handled by the responsible person for studies information. She informs Swiss and
6. [base_data] unifr_elite_sports.json p. - Academic Career Guidance Academic Career Guidance The Office for Academic Career Guidance provides students at the University of Fribourg with information about the study opportunities (within and outside the University)
7. [studyplans] Bachelor_60_1d036b4e5f656b65bcfa7a6121fb5095582bb706.txt p.1 - Section: TABLE OF CONTENTS Table rows: - PREFACE: CONDITIONSANDMEASURESTO FACILITATE DOCTORAL JOURNEY; 3: 4 - PREFACE: INDIVIDUAL CHARACTERISTICS AND CONTEXTUAL FACTORS; 3: 5 - PREFACE: Individual characteristics; 3: 5 -
8. [studyplans] Bachelor_60_1d036b4e5f656b65bcfa7a6121fb5095582bb706.txt p.1 - ocuments; 3: 22 - PREFACE: Tools; 3: 23 - PREFACE: NOTES; 3: 24 Raw table: | PREFACE | 3 | |--------------------------------------------------------------|-----| | CONDITIONSANDMEASURESTO FACILITATE DOCTORAL JOURNEY | 4 
9. [studyplans] Bachelor_60_474591eeaefa6c5efdc21f30ddab4db20843f774.txt p.1 - Section: Abgabe - Archivierung - Veröffentlichung der wissenschaftlichen Abschlussarbeiten Table rows: - Bachelor: Abgabe; column_2: 1 PDF über MyUnifr 1 ; 3 gebundene Exemplare in Papierform an das Dekanat (davon je 1 E
10. [studyplans] Bachelor_60_474591eeaefa6c5efdc21f30ddab4db20843f774.txt p.1 - Section: Abgabe - Archivierung - Veröffentlichung der wissenschaftlichen Abschlussarbeiten Table rows: - Master, Diplom, Kan. Lizentiat: Abgabe; column_2: 1 PDF über MyUnifr 1 ; 3 gebundene Exemplare in Papierform an das</t>
  </si>
  <si>
    <t>[{"source": null, "page": null, "snippet": "Notes:\n\nNotes:\nRegistration to exams is mandatory and does not automatically happen if you are registered to a class. Please observe the deadlines. Each teaching unit is assessed 2-3 times a year.\nAt each session, you choose which of the available exams you wish to register for.\nTo exam registration\nCalendar in ics format\nRegulations\n\nCalendar in ics format: https://www.unifr.ch/scimed/en/assets/public/scimed/faculty/Student Calendar SciMed 25-26_fin.ics\nRegulations: https://www.unifr.ch/scimed/", "metadata": {"doc_key": "unifr_faculty_of_science_and_medicine_www_unifr_ch_scimed_en_studies_register", "source_type": "unifr_faculty_examination_rule_page", "source_url": "https://www.unifr.ch/scimed/en/studies/register", "source_reference": "https://www.unifr.ch/scimed/en/studies/register", "title": "Registration to courses and exams | Faculty of Science and Medicine | University of Fribourg", "page_heading": "Registration to courses and exams", "language": "en", "faculty": "Faculty of Science and Medicine", "parent_url": "https://www.unifr.ch/scimed/en/validate", "source_file": "unifr_examinations_faculty_rules.json", "parser": "scrapy_base_info_json", "index_variant": "base_info_semantic_v1", "section_index": 3, "section": "Notes:", "chunk_id": "unifr_faculty_of_science_and_medicine_www_unifr_ch_scimed_en_studies_register::section::003::chunk::001", "chunk_type": "section", "prev_chunk_id": "unifr_faculty_of_science_and_medicine_www_unifr_ch_scimed_en_studies_register::section::002::chunk::001", "next_chunk_id": "unifr_faculty_of_science_and_medicine_www_unifr_ch_scimed_en_studies_register::section::004::chunk::001", "rag_source": "base_data", "category": "base_data", "retrieval_debug": {"retrieval_mode": "multi_vectorstore_weighted_rerank", "source_intent": "reglementations", "quotas": {"studyplans": 4, "reglementations": 20,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20},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"source_retrieval_quota": 6}, "retrieval_debug": {"retrieval_mode": "multi_vectorstore_weighted_rerank", "source_intent": "reglementations", "quotas": {"studyplans": 4, "reglementations": 20,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20},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 null,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"unifr_elite_sport_www_unifr_ch_studies_en_organisation_during_studies_examinations_html", "source_type": "unifr_elite_sport_page", "source_url": "https://www.unifr.ch/studies/en/organisation/during-studies/examinations.html", "source_reference": "https://www.unifr.ch/studies/en/organisation/during-studies/examinations.html", "title": "Examinations | Studies | University of Fribourg", "page_heading": "Examinations", "language": "en", "parent_url": "https://www.unifr.ch/studies/en/organisation/during-studies/studies-and-elite-sportswomen-and-sportsmen.html", "source_file": "unifr_elite_sports.json", "parser": "scrapy_base_info_json", "index_variant": "base_info_semantic_v1", "section_index": 1, "section": "Examinations", "chunk_id": "unifr_elite_sport_www_unifr_ch_studies_en_organisation_during_studies_examinations_html::section::001::chunk::001", "chunk_type": "section", "next_chunk_id": "unifr_elite_sport_www_unifr_ch_studies_en_organisation_during_studies_examinations_html::section::002::chunk::001", "rag_source": "base_data", "category": "base_data", "retrieval_debug": {"retrieval_mode": "multi_vectorstore_weighted_rerank", "source_intent": "reglementations", "quotas": {"studyplans": 4, "reglementations": 20,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20},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"source_retrieval_quota": 6}, "retrieval_debug": {"retrieval_mode": "multi_vectorstore_weighted_rerank", "source_intent": "reglementations", "quotas": {"studyplans": 4, "reglementations": 20,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20},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 null,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"unifr_examinations_overview_en", "source_type": "unifr_examinations_overview_page", "source_url": "https://www.unifr.ch/studies/en/organisation/during-studies/examinations.html", "source_reference": "https://www.unifr.ch/studies/en/organisation/during-studies/examinations.html", "title": "Examinations | Studies | University of Fribourg", "page_heading": "Examinations", "language": "en", "source_file": "unifr_examinations_faculty_rules.json", "parser": "scrapy_base_info_json", "index_variant": "base_info_semantic_v1", "section_index": 1, "section": "Examinations", "chunk_id": "unifr_examinations_overview_en::section::001::chunk::001", "chunk_type": "section", "next_chunk_id": "unifr_examinations_overview_en::section::002::chunk::001", "rag_source": "base_data", "category": "base_data", "retrieval_debug": {"retrieval_mode": "multi_vectorstore_weighted_rerank", "source_intent": "reglementations", "quotas": {"studyplans": 4, "reglementations": 20,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20},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"source_retrieval_quota": 6}, "retrieval_debug": {"retrieval_mode": "multi_vectorstore_weighted_rerank", "source_intent": "reglementations", "quotas": {"studyplans": 4, "reglementations": 20,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20},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 null,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leading to the award of a degree, the study programmes taught and the possibilities of combining them. Very specific questions are handled directly by th", "metadata": {"doc_key": "unifr_student_advice_and_information_en", "source_type": "unifr_general_info_page", "source_url": "https://www.unifr.ch/studies/en/organisation/beginning-of-studies/student-advice-and-information.html", "title": "Student Advice and Information | Studies | University of Fribourg", "page_heading": "Student Advice and Information", "language": "en", "source_file": "student_advice_and_information.json", "parser": "scrapy_base_info_json", "index_variant": "base_info_semantic_v1", "section_index": 1, "section": "Study Programme Information", "source_reference": "https://www.unifr.ch/studies/en/organisation/beginning-of-studies/student-advice-and-information.html", "chunk_id": "unifr_student_advice_and_information_en::section::001::chunk::001", "chunk_type": "section", "next_chunk_id": "unifr_student_advice_and_information_en::section::002::chunk::001", "rag_source": "base_data", "category": "base_data", "retrieval_debug": {"retrieval_mode": "multi_vectorstore_weighted_rerank", "source_intent": "reglementations", "quotas": {"studyplans": 4, "reglementations": 20,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20},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"source_retrieval_quota": 6}, "retrieval_debug": {"retrieval_mode": "multi_vectorstore_weighted_rerank", "source_intent": "reglementations", "quotas": {"studyplans": 4, "reglementations": 20,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20},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 null,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leading to the award of a degree, the study programmes taught and the possibilities of combining them. Very specific questions are handled directly by th",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2, "section": "Study Programme Information", "chunk_id": "unifr_elite_sport_www_unifr_ch_studies_en_organisation_beginning_of_studies_student_advice_and_information_html::section::002::chunk::001", "chunk_type": "section", "prev_chunk_id": "unifr_elite_sport_www_unifr_ch_studies_en_organisation_beginning_of_studies_student_advice_and_information_html::section::001::chunk::001", "next_chunk_id": "unifr_elite_sport_www_unifr_ch_studies_en_organisation_beginning_of_studies_student_advice_and_information_html::section::003::chunk::001", "rag_source": "base_data", "category": "base_data", "retrieval_debug": {"retrieval_mode": "multi_vectorstore_weighted_rerank", "source_intent": "reglementations", "quotas": {"studyplans": 4, "reglementations": 20,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20},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"source_retrieval_quota": 6}, "retrieval_debug": {"retrieval_mode": "multi_vectorstore_weighted_rerank", "source_intent": "reglementations", "quotas": {"studyplans": 4, "reglementations": 20,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20},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 null, "page": null, "snippet": "Academic Career Guidance\n\nAcademic Career Guidance\nThe Office for Academic Career Guidance provides students at the University of Fribourg with information about the study opportunities (within and outside the University), continuing training, new orientations, etc. In contrast to the Studies Information Office, full advice on professions and careers can be obtained from this cantonal office.\nAkademische Berufsberatung Centre d’orientation universitaire\nStudies Information Office\n\nAkademische Be",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4, "section": "Academic Career Guidance", "chunk_id": "unifr_elite_sport_www_unifr_ch_studies_en_organisation_beginning_of_studies_student_advice_and_information_html::section::004::chunk::001", "chunk_type": "section", "prev_chunk_id": "unifr_elite_sport_www_unifr_ch_studies_en_organisation_beginning_of_studies_student_advice_and_information_html::section::003::chunk::001", "rag_source": "base_data", "category": "base_data", "retrieval_debug": {"retrieval_mode": "multi_vectorstore_weighted_rerank", "source_intent": "reglementations", "quotas": {"studyplans": 4, "reglementations": 20,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20},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"source_retrieval_quota": 6}, "retrieval_debug": {"retrieval_mode": "multi_vectorstore_weighted_rerank", "source_intent": "reglementations", "quotas": {"studyplans": 4, "reglementations": 20,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20},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t>
  </si>
  <si>
    <t>unifr_examinations_faculty_rules.json</t>
  </si>
  <si>
    <t>Notes: Notes: Registration to exams is mandatory and does not automatically happen if you are registered to a class. Please observe the deadlines. Each teaching unit is assessed 2-3 times a year. At each session, you choose which of the available exams you wish to register for. To exam registration Calendar in ics format Regulations Calendar in ics</t>
  </si>
  <si>
    <t>Metric</t>
  </si>
  <si>
    <t>Formula / Meaning</t>
  </si>
  <si>
    <t>Value</t>
  </si>
  <si>
    <t>Questions evaluated</t>
  </si>
  <si>
    <t>Number of rows in retrieval sheet</t>
  </si>
  <si>
    <t>Success rate</t>
  </si>
  <si>
    <t>Successful debug retrieval requests / all requests</t>
  </si>
  <si>
    <t>Mean retrieval time ms</t>
  </si>
  <si>
    <t>Average /debug/retrieve client time</t>
  </si>
  <si>
    <t>Median retrieval time ms</t>
  </si>
  <si>
    <t>Median /debug/retrieve client time</t>
  </si>
  <si>
    <t>Mean retrieved sources count</t>
  </si>
  <si>
    <t>Average number of retrieved chunks</t>
  </si>
  <si>
    <t>Category Recall@1</t>
  </si>
  <si>
    <t>Expected source category appears at rank 1</t>
  </si>
  <si>
    <t>Category Recall@3</t>
  </si>
  <si>
    <t>Expected source category appears in top 3</t>
  </si>
  <si>
    <t>Category Recall@5</t>
  </si>
  <si>
    <t>Expected source category appears in top 5</t>
  </si>
  <si>
    <t>Category Precision@5</t>
  </si>
  <si>
    <t>Share of top 5 chunks with expected source category</t>
  </si>
  <si>
    <t>Category MRR</t>
  </si>
  <si>
    <t>Reciprocal rank of first expected-category chunk</t>
  </si>
  <si>
    <t>Manual Recall@1</t>
  </si>
  <si>
    <t>Based on manual_relevant_ranks</t>
  </si>
  <si>
    <t>Manual Recall@3</t>
  </si>
  <si>
    <t>Manual Recall@5</t>
  </si>
  <si>
    <t>Manual Precision@5</t>
  </si>
  <si>
    <t>Manual MRR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</si>
</sst>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2"/>
  <sheetViews>
    <sheetView tabSelected="1" topLeftCell="N1" workbookViewId="0">
      <pane ySplit="1" topLeftCell="A3" activePane="bottomLeft" state="frozen"/>
      <selection pane="bottomLeft" activeCell="T3" sqref="T3"/>
    </sheetView>
  </sheetViews>
  <sheetFormatPr baseColWidth="10" defaultColWidth="9.06640625" defaultRowHeight="14.25" x14ac:dyDescent="0.45"/>
  <cols>
    <col min="1" max="1" width="16" customWidth="1"/>
    <col min="2" max="2" width="28" customWidth="1"/>
    <col min="3" max="6" width="18" customWidth="1"/>
    <col min="7" max="7" width="55" customWidth="1"/>
    <col min="8" max="8" width="18" customWidth="1"/>
    <col min="9" max="9" width="28" customWidth="1"/>
    <col min="10" max="10" width="18" customWidth="1"/>
    <col min="11" max="11" width="28" customWidth="1"/>
    <col min="12" max="12" width="18" customWidth="1"/>
    <col min="13" max="13" width="28" customWidth="1"/>
    <col min="14" max="15" width="18" customWidth="1"/>
    <col min="16" max="17" width="16" customWidth="1"/>
    <col min="18" max="18" width="28" customWidth="1"/>
    <col min="19" max="19" width="18" customWidth="1"/>
    <col min="20" max="22" width="28" customWidth="1"/>
    <col min="23" max="23" width="55" customWidth="1"/>
    <col min="24" max="24" width="45" customWidth="1"/>
    <col min="25" max="27" width="28" customWidth="1"/>
    <col min="28" max="28" width="55" customWidth="1"/>
    <col min="29" max="40" width="18" customWidth="1"/>
  </cols>
  <sheetData>
    <row r="1" spans="1:40" ht="28.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409.5" x14ac:dyDescent="0.45">
      <c r="A2" s="2" t="s">
        <v>40</v>
      </c>
      <c r="B2" s="2">
        <v>2</v>
      </c>
      <c r="C2" s="2">
        <v>1</v>
      </c>
      <c r="D2" s="2" t="s">
        <v>41</v>
      </c>
      <c r="E2" s="2" t="s">
        <v>42</v>
      </c>
      <c r="F2" s="2" t="s">
        <v>43</v>
      </c>
      <c r="G2" s="2" t="s">
        <v>44</v>
      </c>
      <c r="H2" s="2" t="s">
        <v>45</v>
      </c>
      <c r="I2" s="2" t="s">
        <v>46</v>
      </c>
      <c r="J2" s="2"/>
      <c r="K2" s="2" t="s">
        <v>47</v>
      </c>
      <c r="L2" s="2"/>
      <c r="M2" s="2"/>
      <c r="N2" s="2">
        <v>200</v>
      </c>
      <c r="O2" s="2">
        <v>1</v>
      </c>
      <c r="P2" s="2">
        <v>62072.77</v>
      </c>
      <c r="Q2" s="2"/>
      <c r="R2" s="2">
        <v>6</v>
      </c>
      <c r="S2" s="2"/>
      <c r="T2" s="2" t="s">
        <v>48</v>
      </c>
      <c r="U2" s="2" t="s">
        <v>49</v>
      </c>
      <c r="V2" s="2" t="s">
        <v>50</v>
      </c>
      <c r="W2" s="2" t="s">
        <v>51</v>
      </c>
      <c r="X2" s="2" t="s">
        <v>52</v>
      </c>
      <c r="Y2" s="2" t="s">
        <v>53</v>
      </c>
      <c r="Z2" s="2" t="s">
        <v>54</v>
      </c>
      <c r="AA2" s="2"/>
      <c r="AB2" s="2" t="s">
        <v>55</v>
      </c>
      <c r="AC2" s="2">
        <v>0</v>
      </c>
      <c r="AD2" s="2">
        <v>0</v>
      </c>
      <c r="AE2" s="2">
        <v>0</v>
      </c>
      <c r="AF2" s="2">
        <v>0</v>
      </c>
      <c r="AG2" s="2">
        <v>0</v>
      </c>
      <c r="AH2" s="2"/>
      <c r="AI2" s="2"/>
      <c r="AJ2" s="2"/>
      <c r="AK2" s="2"/>
      <c r="AL2" s="2"/>
      <c r="AM2" s="2"/>
      <c r="AN2" s="2" t="s">
        <v>56</v>
      </c>
    </row>
    <row r="3" spans="1:40" ht="409.5" x14ac:dyDescent="0.45">
      <c r="A3" s="2" t="s">
        <v>40</v>
      </c>
      <c r="B3" s="2">
        <v>3</v>
      </c>
      <c r="C3" s="2">
        <v>2</v>
      </c>
      <c r="D3" s="2" t="s">
        <v>41</v>
      </c>
      <c r="E3" s="2" t="s">
        <v>57</v>
      </c>
      <c r="F3" s="2" t="s">
        <v>43</v>
      </c>
      <c r="G3" s="2" t="s">
        <v>58</v>
      </c>
      <c r="H3" s="2" t="s">
        <v>59</v>
      </c>
      <c r="I3" s="2" t="s">
        <v>46</v>
      </c>
      <c r="J3" s="2"/>
      <c r="K3" s="2" t="s">
        <v>47</v>
      </c>
      <c r="L3" s="2"/>
      <c r="M3" s="2"/>
      <c r="N3" s="2">
        <v>200</v>
      </c>
      <c r="O3" s="2">
        <v>1</v>
      </c>
      <c r="P3" s="2">
        <v>12555.07</v>
      </c>
      <c r="Q3" s="2"/>
      <c r="R3" s="2">
        <v>10</v>
      </c>
      <c r="S3" s="2"/>
      <c r="T3" s="2" t="s">
        <v>60</v>
      </c>
      <c r="U3" s="2" t="s">
        <v>61</v>
      </c>
      <c r="V3" s="2" t="s">
        <v>62</v>
      </c>
      <c r="W3" s="2" t="s">
        <v>63</v>
      </c>
      <c r="X3" s="2" t="s">
        <v>64</v>
      </c>
      <c r="Y3" s="2" t="s">
        <v>65</v>
      </c>
      <c r="Z3" s="2" t="s">
        <v>66</v>
      </c>
      <c r="AA3" s="2">
        <v>1</v>
      </c>
      <c r="AB3" s="2" t="s">
        <v>67</v>
      </c>
      <c r="AC3" s="2">
        <v>0</v>
      </c>
      <c r="AD3" s="2">
        <v>0</v>
      </c>
      <c r="AE3" s="2">
        <v>0</v>
      </c>
      <c r="AF3" s="2">
        <v>0</v>
      </c>
      <c r="AG3" s="2">
        <v>0</v>
      </c>
      <c r="AH3" s="2"/>
      <c r="AI3" s="2"/>
      <c r="AJ3" s="2"/>
      <c r="AK3" s="2"/>
      <c r="AL3" s="2"/>
      <c r="AM3" s="2"/>
      <c r="AN3" s="2" t="s">
        <v>56</v>
      </c>
    </row>
    <row r="4" spans="1:40" ht="409.5" x14ac:dyDescent="0.45">
      <c r="A4" s="2" t="s">
        <v>40</v>
      </c>
      <c r="B4" s="2">
        <v>4</v>
      </c>
      <c r="C4" s="2">
        <v>3</v>
      </c>
      <c r="D4" s="2" t="s">
        <v>41</v>
      </c>
      <c r="E4" s="2" t="s">
        <v>68</v>
      </c>
      <c r="F4" s="2" t="s">
        <v>43</v>
      </c>
      <c r="G4" s="2" t="s">
        <v>69</v>
      </c>
      <c r="H4" s="2" t="s">
        <v>70</v>
      </c>
      <c r="I4" s="2" t="s">
        <v>46</v>
      </c>
      <c r="J4" s="2"/>
      <c r="K4" s="2" t="s">
        <v>47</v>
      </c>
      <c r="L4" s="2"/>
      <c r="M4" s="2"/>
      <c r="N4" s="2">
        <v>200</v>
      </c>
      <c r="O4" s="2">
        <v>1</v>
      </c>
      <c r="P4" s="2">
        <v>14446.49</v>
      </c>
      <c r="Q4" s="2"/>
      <c r="R4" s="2">
        <v>10</v>
      </c>
      <c r="S4" s="2"/>
      <c r="T4" s="2" t="s">
        <v>71</v>
      </c>
      <c r="U4" s="2" t="s">
        <v>61</v>
      </c>
      <c r="V4" s="2" t="s">
        <v>62</v>
      </c>
      <c r="W4" s="2" t="s">
        <v>72</v>
      </c>
      <c r="X4" s="2" t="s">
        <v>73</v>
      </c>
      <c r="Y4" s="2" t="s">
        <v>74</v>
      </c>
      <c r="Z4" s="2" t="s">
        <v>66</v>
      </c>
      <c r="AA4" s="2">
        <v>1</v>
      </c>
      <c r="AB4" s="2" t="s">
        <v>75</v>
      </c>
      <c r="AC4" s="2">
        <v>0</v>
      </c>
      <c r="AD4" s="2">
        <v>0</v>
      </c>
      <c r="AE4" s="2">
        <v>0</v>
      </c>
      <c r="AF4" s="2">
        <v>0</v>
      </c>
      <c r="AG4" s="2">
        <v>0</v>
      </c>
      <c r="AH4" s="2"/>
      <c r="AI4" s="2"/>
      <c r="AJ4" s="2"/>
      <c r="AK4" s="2"/>
      <c r="AL4" s="2"/>
      <c r="AM4" s="2"/>
      <c r="AN4" s="2" t="s">
        <v>56</v>
      </c>
    </row>
    <row r="5" spans="1:40" ht="409.5" x14ac:dyDescent="0.45">
      <c r="A5" s="2" t="s">
        <v>40</v>
      </c>
      <c r="B5" s="2">
        <v>5</v>
      </c>
      <c r="C5" s="2">
        <v>4</v>
      </c>
      <c r="D5" s="2" t="s">
        <v>76</v>
      </c>
      <c r="E5" s="2" t="s">
        <v>42</v>
      </c>
      <c r="F5" s="2" t="s">
        <v>43</v>
      </c>
      <c r="G5" s="2" t="s">
        <v>77</v>
      </c>
      <c r="H5" s="2" t="s">
        <v>78</v>
      </c>
      <c r="I5" s="2" t="s">
        <v>46</v>
      </c>
      <c r="J5" s="2"/>
      <c r="K5" s="2" t="s">
        <v>79</v>
      </c>
      <c r="L5" s="2"/>
      <c r="M5" s="2" t="s">
        <v>54</v>
      </c>
      <c r="N5" s="2">
        <v>200</v>
      </c>
      <c r="O5" s="2">
        <v>1</v>
      </c>
      <c r="P5" s="2">
        <v>13326.99</v>
      </c>
      <c r="Q5" s="2"/>
      <c r="R5" s="2">
        <v>10</v>
      </c>
      <c r="S5" s="2"/>
      <c r="T5" s="2" t="s">
        <v>80</v>
      </c>
      <c r="U5" s="2" t="s">
        <v>81</v>
      </c>
      <c r="V5" s="2" t="s">
        <v>82</v>
      </c>
      <c r="W5" s="2" t="s">
        <v>83</v>
      </c>
      <c r="X5" s="2" t="s">
        <v>84</v>
      </c>
      <c r="Y5" s="2" t="s">
        <v>53</v>
      </c>
      <c r="Z5" s="2" t="s">
        <v>54</v>
      </c>
      <c r="AA5" s="2"/>
      <c r="AB5" s="2" t="s">
        <v>85</v>
      </c>
      <c r="AC5" s="2">
        <v>1</v>
      </c>
      <c r="AD5" s="2">
        <v>1</v>
      </c>
      <c r="AE5" s="2">
        <v>1</v>
      </c>
      <c r="AF5" s="2">
        <v>1</v>
      </c>
      <c r="AG5" s="2">
        <v>1</v>
      </c>
      <c r="AH5" s="2"/>
      <c r="AI5" s="2"/>
      <c r="AJ5" s="2"/>
      <c r="AK5" s="2"/>
      <c r="AL5" s="2"/>
      <c r="AM5" s="2"/>
      <c r="AN5" s="2" t="s">
        <v>56</v>
      </c>
    </row>
    <row r="6" spans="1:40" ht="409.5" x14ac:dyDescent="0.45">
      <c r="A6" s="2" t="s">
        <v>40</v>
      </c>
      <c r="B6" s="2">
        <v>6</v>
      </c>
      <c r="C6" s="2">
        <v>5</v>
      </c>
      <c r="D6" s="2" t="s">
        <v>76</v>
      </c>
      <c r="E6" s="2" t="s">
        <v>68</v>
      </c>
      <c r="F6" s="2" t="s">
        <v>43</v>
      </c>
      <c r="G6" s="2" t="s">
        <v>86</v>
      </c>
      <c r="H6" s="2" t="s">
        <v>87</v>
      </c>
      <c r="I6" s="2" t="s">
        <v>46</v>
      </c>
      <c r="J6" s="2"/>
      <c r="K6" s="2" t="s">
        <v>79</v>
      </c>
      <c r="L6" s="2"/>
      <c r="M6" s="2" t="s">
        <v>54</v>
      </c>
      <c r="N6" s="2">
        <v>200</v>
      </c>
      <c r="O6" s="2">
        <v>1</v>
      </c>
      <c r="P6" s="2">
        <v>8559.08</v>
      </c>
      <c r="Q6" s="2"/>
      <c r="R6" s="2">
        <v>10</v>
      </c>
      <c r="S6" s="2"/>
      <c r="T6" s="2" t="s">
        <v>88</v>
      </c>
      <c r="U6" s="2" t="s">
        <v>81</v>
      </c>
      <c r="V6" s="2" t="s">
        <v>82</v>
      </c>
      <c r="W6" s="2" t="s">
        <v>89</v>
      </c>
      <c r="X6" s="2" t="s">
        <v>90</v>
      </c>
      <c r="Y6" s="2" t="s">
        <v>91</v>
      </c>
      <c r="Z6" s="2" t="s">
        <v>54</v>
      </c>
      <c r="AA6" s="2"/>
      <c r="AB6" s="2" t="s">
        <v>92</v>
      </c>
      <c r="AC6" s="2">
        <v>1</v>
      </c>
      <c r="AD6" s="2">
        <v>1</v>
      </c>
      <c r="AE6" s="2">
        <v>1</v>
      </c>
      <c r="AF6" s="2">
        <v>1</v>
      </c>
      <c r="AG6" s="2">
        <v>1</v>
      </c>
      <c r="AH6" s="2"/>
      <c r="AI6" s="2"/>
      <c r="AJ6" s="2"/>
      <c r="AK6" s="2"/>
      <c r="AL6" s="2"/>
      <c r="AM6" s="2"/>
      <c r="AN6" s="2" t="s">
        <v>56</v>
      </c>
    </row>
    <row r="7" spans="1:40" ht="409.5" x14ac:dyDescent="0.45">
      <c r="A7" s="2" t="s">
        <v>40</v>
      </c>
      <c r="B7" s="2">
        <v>7</v>
      </c>
      <c r="C7" s="2">
        <v>6</v>
      </c>
      <c r="D7" s="2" t="s">
        <v>41</v>
      </c>
      <c r="E7" s="2" t="s">
        <v>57</v>
      </c>
      <c r="F7" s="2" t="s">
        <v>43</v>
      </c>
      <c r="G7" s="2" t="s">
        <v>93</v>
      </c>
      <c r="H7" s="2" t="s">
        <v>94</v>
      </c>
      <c r="I7" s="2" t="s">
        <v>46</v>
      </c>
      <c r="J7" s="2"/>
      <c r="K7" s="2" t="s">
        <v>47</v>
      </c>
      <c r="L7" s="2"/>
      <c r="M7" s="2" t="s">
        <v>54</v>
      </c>
      <c r="N7" s="2">
        <v>200</v>
      </c>
      <c r="O7" s="2">
        <v>1</v>
      </c>
      <c r="P7" s="2">
        <v>20564.96</v>
      </c>
      <c r="Q7" s="2"/>
      <c r="R7" s="2">
        <v>10</v>
      </c>
      <c r="S7" s="2"/>
      <c r="T7" s="2" t="s">
        <v>95</v>
      </c>
      <c r="U7" s="2" t="s">
        <v>61</v>
      </c>
      <c r="V7" s="2" t="s">
        <v>62</v>
      </c>
      <c r="W7" s="2" t="s">
        <v>96</v>
      </c>
      <c r="X7" s="2" t="s">
        <v>97</v>
      </c>
      <c r="Y7" s="2" t="s">
        <v>98</v>
      </c>
      <c r="Z7" s="2" t="s">
        <v>66</v>
      </c>
      <c r="AA7" s="2">
        <v>1</v>
      </c>
      <c r="AB7" s="2" t="s">
        <v>99</v>
      </c>
      <c r="AC7" s="2">
        <v>0</v>
      </c>
      <c r="AD7" s="2">
        <v>0</v>
      </c>
      <c r="AE7" s="2">
        <v>0</v>
      </c>
      <c r="AF7" s="2">
        <v>0</v>
      </c>
      <c r="AG7" s="2">
        <v>0</v>
      </c>
      <c r="AH7" s="2"/>
      <c r="AI7" s="2"/>
      <c r="AJ7" s="2"/>
      <c r="AK7" s="2"/>
      <c r="AL7" s="2"/>
      <c r="AM7" s="2"/>
      <c r="AN7" s="2" t="s">
        <v>56</v>
      </c>
    </row>
    <row r="8" spans="1:40" ht="409.5" x14ac:dyDescent="0.45">
      <c r="A8" s="2" t="s">
        <v>40</v>
      </c>
      <c r="B8" s="2">
        <v>8</v>
      </c>
      <c r="C8" s="2">
        <v>7</v>
      </c>
      <c r="D8" s="2" t="s">
        <v>41</v>
      </c>
      <c r="E8" s="2" t="s">
        <v>68</v>
      </c>
      <c r="F8" s="2" t="s">
        <v>43</v>
      </c>
      <c r="G8" s="2" t="s">
        <v>100</v>
      </c>
      <c r="H8" s="2" t="s">
        <v>101</v>
      </c>
      <c r="I8" s="2" t="s">
        <v>46</v>
      </c>
      <c r="J8" s="2"/>
      <c r="K8" s="2" t="s">
        <v>47</v>
      </c>
      <c r="L8" s="2"/>
      <c r="M8" s="2"/>
      <c r="N8" s="2">
        <v>200</v>
      </c>
      <c r="O8" s="2">
        <v>1</v>
      </c>
      <c r="P8" s="2">
        <v>10809.17</v>
      </c>
      <c r="Q8" s="2"/>
      <c r="R8" s="2">
        <v>10</v>
      </c>
      <c r="S8" s="2"/>
      <c r="T8" s="2" t="s">
        <v>102</v>
      </c>
      <c r="U8" s="2" t="s">
        <v>61</v>
      </c>
      <c r="V8" s="2" t="s">
        <v>62</v>
      </c>
      <c r="W8" s="2" t="s">
        <v>103</v>
      </c>
      <c r="X8" s="2" t="s">
        <v>104</v>
      </c>
      <c r="Y8" s="2" t="s">
        <v>105</v>
      </c>
      <c r="Z8" s="2" t="s">
        <v>66</v>
      </c>
      <c r="AA8" s="2">
        <v>1</v>
      </c>
      <c r="AB8" s="2" t="s">
        <v>106</v>
      </c>
      <c r="AC8" s="2">
        <v>0</v>
      </c>
      <c r="AD8" s="2">
        <v>0</v>
      </c>
      <c r="AE8" s="2">
        <v>0</v>
      </c>
      <c r="AF8" s="2">
        <v>0</v>
      </c>
      <c r="AG8" s="2">
        <v>0</v>
      </c>
      <c r="AH8" s="2"/>
      <c r="AI8" s="2"/>
      <c r="AJ8" s="2"/>
      <c r="AK8" s="2"/>
      <c r="AL8" s="2"/>
      <c r="AM8" s="2"/>
      <c r="AN8" s="2" t="s">
        <v>56</v>
      </c>
    </row>
    <row r="9" spans="1:40" ht="409.5" x14ac:dyDescent="0.45">
      <c r="A9" s="2" t="s">
        <v>40</v>
      </c>
      <c r="B9" s="2">
        <v>9</v>
      </c>
      <c r="C9" s="2">
        <v>8</v>
      </c>
      <c r="D9" s="2" t="s">
        <v>41</v>
      </c>
      <c r="E9" s="2" t="s">
        <v>68</v>
      </c>
      <c r="F9" s="2" t="s">
        <v>43</v>
      </c>
      <c r="G9" s="2" t="s">
        <v>107</v>
      </c>
      <c r="H9" s="2" t="s">
        <v>108</v>
      </c>
      <c r="I9" s="2" t="s">
        <v>46</v>
      </c>
      <c r="J9" s="2"/>
      <c r="K9" s="2" t="s">
        <v>47</v>
      </c>
      <c r="L9" s="2"/>
      <c r="M9" s="2"/>
      <c r="N9" s="2">
        <v>200</v>
      </c>
      <c r="O9" s="2">
        <v>1</v>
      </c>
      <c r="P9" s="2">
        <v>12671.63</v>
      </c>
      <c r="Q9" s="2"/>
      <c r="R9" s="2">
        <v>10</v>
      </c>
      <c r="S9" s="2"/>
      <c r="T9" s="2" t="s">
        <v>109</v>
      </c>
      <c r="U9" s="2" t="s">
        <v>61</v>
      </c>
      <c r="V9" s="2" t="s">
        <v>62</v>
      </c>
      <c r="W9" s="2" t="s">
        <v>110</v>
      </c>
      <c r="X9" s="2" t="s">
        <v>111</v>
      </c>
      <c r="Y9" s="2" t="s">
        <v>112</v>
      </c>
      <c r="Z9" s="2" t="s">
        <v>66</v>
      </c>
      <c r="AA9" s="2">
        <v>1</v>
      </c>
      <c r="AB9" s="2" t="s">
        <v>113</v>
      </c>
      <c r="AC9" s="2">
        <v>0</v>
      </c>
      <c r="AD9" s="2">
        <v>0</v>
      </c>
      <c r="AE9" s="2">
        <v>0</v>
      </c>
      <c r="AF9" s="2">
        <v>0</v>
      </c>
      <c r="AG9" s="2">
        <v>0</v>
      </c>
      <c r="AH9" s="2"/>
      <c r="AI9" s="2"/>
      <c r="AJ9" s="2"/>
      <c r="AK9" s="2"/>
      <c r="AL9" s="2"/>
      <c r="AM9" s="2"/>
      <c r="AN9" s="2" t="s">
        <v>56</v>
      </c>
    </row>
    <row r="10" spans="1:40" ht="409.5" x14ac:dyDescent="0.45">
      <c r="A10" s="2" t="s">
        <v>40</v>
      </c>
      <c r="B10" s="2">
        <v>10</v>
      </c>
      <c r="C10" s="2">
        <v>9</v>
      </c>
      <c r="D10" s="2" t="s">
        <v>41</v>
      </c>
      <c r="E10" s="2" t="s">
        <v>68</v>
      </c>
      <c r="F10" s="2" t="s">
        <v>114</v>
      </c>
      <c r="G10" s="2" t="s">
        <v>115</v>
      </c>
      <c r="H10" s="2" t="s">
        <v>70</v>
      </c>
      <c r="I10" s="2" t="s">
        <v>46</v>
      </c>
      <c r="J10" s="2"/>
      <c r="K10" s="2" t="s">
        <v>47</v>
      </c>
      <c r="L10" s="2"/>
      <c r="M10" s="2"/>
      <c r="N10" s="2">
        <v>200</v>
      </c>
      <c r="O10" s="2">
        <v>1</v>
      </c>
      <c r="P10" s="2">
        <v>14146.72</v>
      </c>
      <c r="Q10" s="2"/>
      <c r="R10" s="2">
        <v>10</v>
      </c>
      <c r="S10" s="2"/>
      <c r="T10" s="2" t="s">
        <v>116</v>
      </c>
      <c r="U10" s="2" t="s">
        <v>61</v>
      </c>
      <c r="V10" s="2" t="s">
        <v>62</v>
      </c>
      <c r="W10" s="2" t="s">
        <v>117</v>
      </c>
      <c r="X10" s="2" t="s">
        <v>118</v>
      </c>
      <c r="Y10" s="2" t="s">
        <v>119</v>
      </c>
      <c r="Z10" s="2" t="s">
        <v>66</v>
      </c>
      <c r="AA10" s="2">
        <v>1</v>
      </c>
      <c r="AB10" s="2" t="s">
        <v>120</v>
      </c>
      <c r="AC10" s="2">
        <v>0</v>
      </c>
      <c r="AD10" s="2">
        <v>0</v>
      </c>
      <c r="AE10" s="2">
        <v>0</v>
      </c>
      <c r="AF10" s="2">
        <v>0</v>
      </c>
      <c r="AG10" s="2">
        <v>0</v>
      </c>
      <c r="AH10" s="2"/>
      <c r="AI10" s="2"/>
      <c r="AJ10" s="2"/>
      <c r="AK10" s="2"/>
      <c r="AL10" s="2"/>
      <c r="AM10" s="2"/>
      <c r="AN10" s="2" t="s">
        <v>56</v>
      </c>
    </row>
    <row r="11" spans="1:40" ht="409.5" x14ac:dyDescent="0.45">
      <c r="A11" s="2" t="s">
        <v>40</v>
      </c>
      <c r="B11" s="2">
        <v>11</v>
      </c>
      <c r="C11" s="2">
        <v>10</v>
      </c>
      <c r="D11" s="2" t="s">
        <v>41</v>
      </c>
      <c r="E11" s="2" t="s">
        <v>42</v>
      </c>
      <c r="F11" s="2" t="s">
        <v>121</v>
      </c>
      <c r="G11" s="2" t="s">
        <v>122</v>
      </c>
      <c r="H11" s="2" t="s">
        <v>123</v>
      </c>
      <c r="I11" s="2" t="s">
        <v>46</v>
      </c>
      <c r="J11" s="2"/>
      <c r="K11" s="2" t="s">
        <v>47</v>
      </c>
      <c r="L11" s="2"/>
      <c r="M11" s="2"/>
      <c r="N11" s="2">
        <v>200</v>
      </c>
      <c r="O11" s="2">
        <v>1</v>
      </c>
      <c r="P11" s="2">
        <v>16999.5</v>
      </c>
      <c r="Q11" s="2"/>
      <c r="R11" s="2">
        <v>10</v>
      </c>
      <c r="S11" s="2"/>
      <c r="T11" s="2" t="s">
        <v>124</v>
      </c>
      <c r="U11" s="2" t="s">
        <v>61</v>
      </c>
      <c r="V11" s="2" t="s">
        <v>62</v>
      </c>
      <c r="W11" s="2" t="s">
        <v>125</v>
      </c>
      <c r="X11" s="2" t="s">
        <v>126</v>
      </c>
      <c r="Y11" s="2" t="s">
        <v>127</v>
      </c>
      <c r="Z11" s="2" t="s">
        <v>66</v>
      </c>
      <c r="AA11" s="2">
        <v>1</v>
      </c>
      <c r="AB11" s="2" t="s">
        <v>128</v>
      </c>
      <c r="AC11" s="2">
        <v>0</v>
      </c>
      <c r="AD11" s="2">
        <v>0</v>
      </c>
      <c r="AE11" s="2">
        <v>0</v>
      </c>
      <c r="AF11" s="2">
        <v>0</v>
      </c>
      <c r="AG11" s="2">
        <v>0</v>
      </c>
      <c r="AH11" s="2"/>
      <c r="AI11" s="2"/>
      <c r="AJ11" s="2"/>
      <c r="AK11" s="2"/>
      <c r="AL11" s="2"/>
      <c r="AM11" s="2"/>
      <c r="AN11" s="2" t="s">
        <v>56</v>
      </c>
    </row>
    <row r="12" spans="1:40" ht="409.5" x14ac:dyDescent="0.45">
      <c r="A12" s="2" t="s">
        <v>40</v>
      </c>
      <c r="B12" s="2">
        <v>12</v>
      </c>
      <c r="C12" s="2">
        <v>11</v>
      </c>
      <c r="D12" s="2" t="s">
        <v>129</v>
      </c>
      <c r="E12" s="2" t="s">
        <v>42</v>
      </c>
      <c r="F12" s="2" t="s">
        <v>43</v>
      </c>
      <c r="G12" s="2" t="s">
        <v>130</v>
      </c>
      <c r="H12" s="2" t="s">
        <v>131</v>
      </c>
      <c r="I12" s="2" t="s">
        <v>132</v>
      </c>
      <c r="J12" s="2"/>
      <c r="K12" s="2" t="s">
        <v>133</v>
      </c>
      <c r="L12" s="2"/>
      <c r="M12" s="2" t="s">
        <v>134</v>
      </c>
      <c r="N12" s="2">
        <v>200</v>
      </c>
      <c r="O12" s="2">
        <v>1</v>
      </c>
      <c r="P12" s="2">
        <v>17820.400000000001</v>
      </c>
      <c r="Q12" s="2"/>
      <c r="R12" s="2">
        <v>10</v>
      </c>
      <c r="S12" s="2"/>
      <c r="T12" s="2" t="s">
        <v>135</v>
      </c>
      <c r="U12" s="2" t="s">
        <v>136</v>
      </c>
      <c r="V12" s="2" t="s">
        <v>137</v>
      </c>
      <c r="W12" s="2" t="s">
        <v>138</v>
      </c>
      <c r="X12" s="2" t="s">
        <v>139</v>
      </c>
      <c r="Y12" s="2" t="s">
        <v>140</v>
      </c>
      <c r="Z12" s="2" t="s">
        <v>54</v>
      </c>
      <c r="AA12" s="2"/>
      <c r="AB12" s="2" t="s">
        <v>141</v>
      </c>
      <c r="AC12" s="2">
        <v>0</v>
      </c>
      <c r="AD12" s="2">
        <v>0</v>
      </c>
      <c r="AE12" s="2">
        <v>0</v>
      </c>
      <c r="AF12" s="2">
        <v>0</v>
      </c>
      <c r="AG12" s="2">
        <v>0</v>
      </c>
      <c r="AH12" s="2"/>
      <c r="AI12" s="2"/>
      <c r="AJ12" s="2"/>
      <c r="AK12" s="2"/>
      <c r="AL12" s="2"/>
      <c r="AM12" s="2"/>
      <c r="AN12" s="2" t="s">
        <v>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pane ySplit="1" topLeftCell="A2" activePane="bottomLeft" state="frozen"/>
      <selection pane="bottomLeft"/>
    </sheetView>
  </sheetViews>
  <sheetFormatPr baseColWidth="10" defaultColWidth="9.06640625" defaultRowHeight="14.25" x14ac:dyDescent="0.45"/>
  <cols>
    <col min="1" max="3" width="18" customWidth="1"/>
  </cols>
  <sheetData>
    <row r="1" spans="1:3" x14ac:dyDescent="0.45">
      <c r="A1" s="1" t="s">
        <v>142</v>
      </c>
      <c r="B1" s="1" t="s">
        <v>143</v>
      </c>
      <c r="C1" s="1" t="s">
        <v>144</v>
      </c>
    </row>
    <row r="2" spans="1:3" ht="28.5" x14ac:dyDescent="0.45">
      <c r="A2" s="2" t="s">
        <v>145</v>
      </c>
      <c r="B2" s="2" t="s">
        <v>146</v>
      </c>
      <c r="C2" s="2">
        <f>COUNTA(RAG_Retrieval_Only!G:G)-1</f>
        <v>11</v>
      </c>
    </row>
    <row r="3" spans="1:3" ht="42.75" x14ac:dyDescent="0.45">
      <c r="A3" s="2" t="s">
        <v>147</v>
      </c>
      <c r="B3" s="2" t="s">
        <v>148</v>
      </c>
      <c r="C3" s="2">
        <f>AVERAGE(RAG_Retrieval_Only!O:O)</f>
        <v>1</v>
      </c>
    </row>
    <row r="4" spans="1:3" ht="42.75" x14ac:dyDescent="0.45">
      <c r="A4" s="2" t="s">
        <v>149</v>
      </c>
      <c r="B4" s="2" t="s">
        <v>150</v>
      </c>
      <c r="C4" s="2">
        <f>AVERAGE(RAG_Retrieval_Only!P:P)</f>
        <v>18542.980000000003</v>
      </c>
    </row>
    <row r="5" spans="1:3" ht="42.75" x14ac:dyDescent="0.45">
      <c r="A5" s="2" t="s">
        <v>151</v>
      </c>
      <c r="B5" s="2" t="s">
        <v>152</v>
      </c>
      <c r="C5" s="2">
        <f>MEDIAN(RAG_Retrieval_Only!P:P)</f>
        <v>14146.72</v>
      </c>
    </row>
    <row r="6" spans="1:3" ht="28.5" x14ac:dyDescent="0.45">
      <c r="A6" s="2" t="s">
        <v>153</v>
      </c>
      <c r="B6" s="2" t="s">
        <v>154</v>
      </c>
      <c r="C6" s="2">
        <f>AVERAGE(RAG_Retrieval_Only!R:R)</f>
        <v>9.6363636363636367</v>
      </c>
    </row>
    <row r="7" spans="1:3" ht="42.75" x14ac:dyDescent="0.45">
      <c r="A7" s="2" t="s">
        <v>155</v>
      </c>
      <c r="B7" s="2" t="s">
        <v>156</v>
      </c>
      <c r="C7" s="2">
        <f>AVERAGE(RAG_Retrieval_Only!AC:AC)</f>
        <v>0.18181818181818182</v>
      </c>
    </row>
    <row r="8" spans="1:3" ht="42.75" x14ac:dyDescent="0.45">
      <c r="A8" s="2" t="s">
        <v>157</v>
      </c>
      <c r="B8" s="2" t="s">
        <v>158</v>
      </c>
      <c r="C8" s="2">
        <f>AVERAGE(RAG_Retrieval_Only!AD:AD)</f>
        <v>0.18181818181818182</v>
      </c>
    </row>
    <row r="9" spans="1:3" ht="42.75" x14ac:dyDescent="0.45">
      <c r="A9" s="2" t="s">
        <v>159</v>
      </c>
      <c r="B9" s="2" t="s">
        <v>160</v>
      </c>
      <c r="C9" s="2">
        <f>AVERAGE(RAG_Retrieval_Only!AE:AE)</f>
        <v>0.18181818181818182</v>
      </c>
    </row>
    <row r="10" spans="1:3" ht="42.75" x14ac:dyDescent="0.45">
      <c r="A10" s="2" t="s">
        <v>161</v>
      </c>
      <c r="B10" s="2" t="s">
        <v>162</v>
      </c>
      <c r="C10" s="2">
        <f>AVERAGE(RAG_Retrieval_Only!AF:AF)</f>
        <v>0.18181818181818182</v>
      </c>
    </row>
    <row r="11" spans="1:3" ht="42.75" x14ac:dyDescent="0.45">
      <c r="A11" s="2" t="s">
        <v>163</v>
      </c>
      <c r="B11" s="2" t="s">
        <v>164</v>
      </c>
      <c r="C11" s="2">
        <f>AVERAGE(RAG_Retrieval_Only!AG:AG)</f>
        <v>0.18181818181818182</v>
      </c>
    </row>
    <row r="12" spans="1:3" ht="42.75" x14ac:dyDescent="0.45">
      <c r="A12" s="2" t="s">
        <v>165</v>
      </c>
      <c r="B12" s="2" t="s">
        <v>166</v>
      </c>
      <c r="C12" s="2" t="e">
        <f>AVERAGE(RAG_Retrieval_Only!AI:AI)</f>
        <v>#DIV/0!</v>
      </c>
    </row>
    <row r="13" spans="1:3" ht="42.75" x14ac:dyDescent="0.45">
      <c r="A13" s="2" t="s">
        <v>167</v>
      </c>
      <c r="B13" s="2" t="s">
        <v>166</v>
      </c>
      <c r="C13" s="2" t="e">
        <f>AVERAGE(RAG_Retrieval_Only!AJ:AJ)</f>
        <v>#DIV/0!</v>
      </c>
    </row>
    <row r="14" spans="1:3" ht="42.75" x14ac:dyDescent="0.45">
      <c r="A14" s="2" t="s">
        <v>168</v>
      </c>
      <c r="B14" s="2" t="s">
        <v>166</v>
      </c>
      <c r="C14" s="2" t="e">
        <f>AVERAGE(RAG_Retrieval_Only!AK:AK)</f>
        <v>#DIV/0!</v>
      </c>
    </row>
    <row r="15" spans="1:3" ht="42.75" x14ac:dyDescent="0.45">
      <c r="A15" s="2" t="s">
        <v>169</v>
      </c>
      <c r="B15" s="2" t="s">
        <v>166</v>
      </c>
      <c r="C15" s="2" t="e">
        <f>AVERAGE(RAG_Retrieval_Only!AL:AL)</f>
        <v>#DIV/0!</v>
      </c>
    </row>
    <row r="16" spans="1:3" ht="42.75" x14ac:dyDescent="0.45">
      <c r="A16" s="2" t="s">
        <v>170</v>
      </c>
      <c r="B16" s="2" t="s">
        <v>166</v>
      </c>
      <c r="C16" s="2" t="e">
        <f>AVERAGE(RAG_Retrieval_Only!AM:AM)</f>
        <v>#DIV/0!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RAG_Retrieval_Only</vt:lpstr>
      <vt:lpstr>Retrieval_Metrics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Kupferschmied</cp:lastModifiedBy>
  <dcterms:created xsi:type="dcterms:W3CDTF">2026-05-18T17:36:14Z</dcterms:created>
  <dcterms:modified xsi:type="dcterms:W3CDTF">2026-05-18T17:46:14Z</dcterms:modified>
</cp:coreProperties>
</file>