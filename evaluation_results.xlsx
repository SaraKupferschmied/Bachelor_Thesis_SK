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val_Set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Scoring_Guide" sheetId="4" state="visible" r:id="rId4"/>
    <sheet xmlns:r="http://schemas.openxmlformats.org/officeDocument/2006/relationships" name="Lists" sheetId="5" state="visible" r:id="rId5"/>
    <sheet xmlns:r="http://schemas.openxmlformats.org/officeDocument/2006/relationships" name="Auto_Run_Result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color rgb="FFFFFFFF"/>
      <sz val="11"/>
    </font>
    <font>
      <name val="Carlito"/>
      <b val="1"/>
      <color rgb="FF1F4E78"/>
      <sz val="16"/>
    </font>
    <font>
      <name val="Carlito"/>
      <b val="1"/>
      <sz val="12"/>
    </font>
    <font>
      <name val="Carlito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4" fillId="0" borderId="0"/>
    <xf numFmtId="0" fontId="4" fillId="0" borderId="0"/>
  </cellStyleXfs>
  <cellXfs count="12">
    <xf numFmtId="0" fontId="0" fillId="0" borderId="0" pivotButton="0" quotePrefix="0" xfId="0"/>
    <xf numFmtId="0" fontId="1" fillId="2" borderId="0" pivotButton="0" quotePrefix="0" xfId="1"/>
    <xf numFmtId="0" fontId="1" fillId="2" borderId="0" applyAlignment="1" pivotButton="0" quotePrefix="0" xfId="1">
      <alignment horizontal="center" vertical="center" wrapText="1"/>
    </xf>
    <xf numFmtId="0" fontId="0" fillId="0" borderId="0" applyAlignment="1" pivotButton="0" quotePrefix="0" xfId="1">
      <alignment wrapText="1"/>
    </xf>
    <xf numFmtId="0" fontId="1" fillId="3" borderId="0" pivotButton="0" quotePrefix="0" xfId="1"/>
    <xf numFmtId="0" fontId="3" fillId="0" borderId="0" pivotButton="0" quotePrefix="0" xfId="1"/>
    <xf numFmtId="0" fontId="2" fillId="0" borderId="0" applyAlignment="1" pivotButton="0" quotePrefix="0" xfId="1">
      <alignment wrapText="1"/>
    </xf>
    <xf numFmtId="0" fontId="1" fillId="2" borderId="0" applyAlignment="1" pivotButton="0" quotePrefix="0" xfId="1">
      <alignment wrapText="1"/>
    </xf>
    <xf numFmtId="2" fontId="0" fillId="0" borderId="0" pivotButton="0" quotePrefix="0" xfId="1"/>
    <xf numFmtId="1" fontId="0" fillId="0" borderId="0" pivotButton="0" quotePrefix="0" xfId="1"/>
    <xf numFmtId="0" fontId="5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2">
    <cellStyle name="Standard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Answered count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Metrics!$A$2:$A$4</f>
              <strCache>
                <ptCount val="3"/>
                <pt idx="0">
                  <v>Non-RAG</v>
                </pt>
                <pt idx="1">
                  <v>Website-RAG</v>
                </pt>
                <pt idx="2">
                  <v>Hybrid</v>
                </pt>
              </strCache>
            </strRef>
          </cat>
          <val>
            <numRef>
              <f>Metrics!$B$2:$B$4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1"/>
          <order val="1"/>
          <tx>
            <v>Avg correctness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Metrics!$A$2:$A$4</f>
              <strCache>
                <ptCount val="3"/>
                <pt idx="0">
                  <v>Non-RAG</v>
                </pt>
                <pt idx="1">
                  <v>Website-RAG</v>
                </pt>
                <pt idx="2">
                  <v>Hybrid</v>
                </pt>
              </strCache>
            </strRef>
          </cat>
          <val>
            <numRef>
              <f>Metrics!$C$2:$C$4</f>
              <numCache>
                <formatCode>0.00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9</col>
      <colOff>0</colOff>
      <row>1</row>
      <rowOff>0</rowOff>
    </from>
    <to>
      <col>17</col>
      <colOff>0</colOff>
      <row>16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EvaluationTable" displayName="EvaluationTable" ref="A1:AG79" headerRowCount="1">
  <tableColumns count="33">
    <tableColumn id="1" name="id"/>
    <tableColumn id="2" name="category"/>
    <tableColumn id="3" name="difficulty"/>
    <tableColumn id="4" name="language"/>
    <tableColumn id="5" name="question"/>
    <tableColumn id="6" name="expected_answer"/>
    <tableColumn id="7" name="source_of_truth"/>
    <tableColumn id="8" name="expected_flow"/>
    <tableColumn id="9" name="gold_source"/>
    <tableColumn id="10" name="required_fields"/>
    <tableColumn id="11" name="notes"/>
    <tableColumn id="12" name="nonrag_answer"/>
    <tableColumn id="13" name="nonrag_correctness_0_2"/>
    <tableColumn id="14" name="nonrag_faithfulness_0_2"/>
    <tableColumn id="15" name="nonrag_hallucination_0_1"/>
    <tableColumn id="16" name="nonrag_language_0_2"/>
    <tableColumn id="17" name="nonrag_time_ms"/>
    <tableColumn id="18" name="nonrag_error"/>
    <tableColumn id="19" name="webrag_answer"/>
    <tableColumn id="20" name="webrag_correctness_0_2"/>
    <tableColumn id="21" name="webrag_faithfulness_0_2"/>
    <tableColumn id="22" name="webrag_hallucination_0_1"/>
    <tableColumn id="23" name="webrag_language_0_2"/>
    <tableColumn id="24" name="webrag_time_ms"/>
    <tableColumn id="25" name="webrag_error"/>
    <tableColumn id="26" name="hybrid_answer"/>
    <tableColumn id="27" name="hybrid_correctness_0_2"/>
    <tableColumn id="28" name="hybrid_faithfulness_0_2"/>
    <tableColumn id="29" name="hybrid_hallucination_0_1"/>
    <tableColumn id="30" name="hybrid_language_0_2"/>
    <tableColumn id="31" name="hybrid_time_ms"/>
    <tableColumn id="32" name="hybrid_tool_used"/>
    <tableColumn id="33" name="hybrid_err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etricsTable" displayName="MetricsTable" ref="A1:H4" headerRowCount="1">
  <tableColumns count="8">
    <tableColumn id="1" name="System"/>
    <tableColumn id="2" name="Answered count"/>
    <tableColumn id="3" name="Avg correctness"/>
    <tableColumn id="4" name="Avg faithfulness"/>
    <tableColumn id="5" name="Hallucination rate"/>
    <tableColumn id="6" name="Avg language"/>
    <tableColumn id="7" name="Avg time ms"/>
    <tableColumn id="8" name="Error 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coringGuideTable" displayName="ScoringGuideTable" ref="A1:C14" headerRowCount="1">
  <tableColumns count="3">
    <tableColumn id="1" name="Metric"/>
    <tableColumn id="2" name="Score"/>
    <tableColumn id="3" name="Mea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7" sqref="A7"/>
    </sheetView>
  </sheetViews>
  <sheetFormatPr baseColWidth="10" defaultColWidth="8.796875" defaultRowHeight="13.8"/>
  <cols>
    <col width="120" customWidth="1" min="1" max="1"/>
  </cols>
  <sheetData>
    <row r="1" ht="21" customHeight="1">
      <c r="A1" s="6" t="inlineStr">
        <is>
          <t>Evaluation workbook for structured-data chatbot thesis</t>
        </is>
      </c>
    </row>
    <row r="3" ht="15.6" customHeight="1">
      <c r="A3" s="5" t="inlineStr">
        <is>
          <t>Purpose</t>
        </is>
      </c>
    </row>
    <row r="4">
      <c r="A4" t="inlineStr">
        <is>
          <t>Use this workbook to test three systems with the same question set: Non-RAG model-only chatbot, Website-RAG baseline, and Hybrid structured API + RAG chatbot.</t>
        </is>
      </c>
    </row>
    <row r="6" ht="15.6" customHeight="1">
      <c r="A6" s="5" t="inlineStr">
        <is>
          <t>How to use</t>
        </is>
      </c>
    </row>
    <row r="7">
      <c r="A7" t="inlineStr">
        <is>
          <t>1. Replace placeholders such as {COURSE_CODE}, {PROGRAM_NAME}, {SEMESTER_ID} with real values from your database/documents.</t>
        </is>
      </c>
    </row>
    <row r="8">
      <c r="A8" t="inlineStr">
        <is>
          <t>2. Fill expected_answer and gold_source before running the evaluation.</t>
        </is>
      </c>
    </row>
    <row r="9">
      <c r="A9" t="inlineStr">
        <is>
          <t>3. Run each question against all systems. The later script can fill answer/time/error columns automatically.</t>
        </is>
      </c>
    </row>
    <row r="10">
      <c r="A10" t="inlineStr">
        <is>
          <t>4. Manually score correctness, faithfulness, hallucination, and language consistency using the Scoring_Guide sheet.</t>
        </is>
      </c>
    </row>
    <row r="11">
      <c r="A11" t="inlineStr">
        <is>
          <t>5. Review the Metrics sheet for summary results.</t>
        </is>
      </c>
    </row>
    <row r="13" ht="15.6" customHeight="1">
      <c r="A13" s="5" t="inlineStr">
        <is>
          <t>Recommended comparison</t>
        </is>
      </c>
    </row>
    <row r="14">
      <c r="A14" t="inlineStr">
        <is>
          <t>A: Non-RAG = same Ollama model, no tools, no documents.</t>
        </is>
      </c>
    </row>
    <row r="15">
      <c r="A15" t="inlineStr">
        <is>
          <t>B: Website-RAG = same Ollama model + unstructured indexed Unifr pages/PDFs.</t>
        </is>
      </c>
    </row>
    <row r="16">
      <c r="A16" t="inlineStr">
        <is>
          <t>C: Hybrid = same Ollama model + backend APIs first + RAG fallback.</t>
        </is>
      </c>
    </row>
    <row r="18" ht="15.6" customHeight="1">
      <c r="A18" s="5" t="inlineStr">
        <is>
          <t>Notes</t>
        </is>
      </c>
    </row>
    <row r="19">
      <c r="A19" t="inlineStr">
        <is>
          <t>The questions intentionally include DB, RAG, mixed, ambiguous, multilingual, and unanswerable cases so that reliability can be evaluated at multiple levels.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9"/>
  <sheetViews>
    <sheetView tabSelected="1" workbookViewId="0">
      <selection activeCell="E4" sqref="E4"/>
    </sheetView>
  </sheetViews>
  <sheetFormatPr baseColWidth="10" defaultColWidth="8.796875" defaultRowHeight="13.8"/>
  <cols>
    <col width="6" customWidth="1" min="1" max="1"/>
    <col width="24" customWidth="1" min="2" max="2"/>
    <col width="12" customWidth="1" min="3" max="3"/>
    <col width="10" customWidth="1" min="4" max="4"/>
    <col width="48" customWidth="1" min="5" max="5"/>
    <col width="42" customWidth="1" min="6" max="6"/>
    <col width="14" customWidth="1" min="7" max="7"/>
    <col width="32" customWidth="1" min="8" max="8"/>
    <col width="28" customWidth="1" min="9" max="10"/>
    <col width="36" customWidth="1" min="11" max="11"/>
    <col width="42" customWidth="1" min="12" max="12"/>
    <col width="14" customWidth="1" min="13" max="17"/>
    <col width="18" customWidth="1" min="18" max="18"/>
    <col width="42" customWidth="1" min="19" max="19"/>
    <col width="14" customWidth="1" min="20" max="24"/>
    <col width="18" customWidth="1" min="25" max="25"/>
    <col width="42" customWidth="1" min="26" max="26"/>
    <col width="14" customWidth="1" min="27" max="31"/>
    <col width="18" customWidth="1" min="32" max="33"/>
  </cols>
  <sheetData>
    <row r="1" ht="24" customHeight="1">
      <c r="A1" s="2" t="inlineStr">
        <is>
          <t>id</t>
        </is>
      </c>
      <c r="B1" s="2" t="inlineStr">
        <is>
          <t>category</t>
        </is>
      </c>
      <c r="C1" s="2" t="inlineStr">
        <is>
          <t>difficulty</t>
        </is>
      </c>
      <c r="D1" s="2" t="inlineStr">
        <is>
          <t>language</t>
        </is>
      </c>
      <c r="E1" s="2" t="inlineStr">
        <is>
          <t>question</t>
        </is>
      </c>
      <c r="F1" s="2" t="inlineStr">
        <is>
          <t>expected_answer</t>
        </is>
      </c>
      <c r="G1" s="2" t="inlineStr">
        <is>
          <t>source_of_truth</t>
        </is>
      </c>
      <c r="H1" s="2" t="inlineStr">
        <is>
          <t>expected_flow</t>
        </is>
      </c>
      <c r="I1" s="2" t="inlineStr">
        <is>
          <t>gold_source</t>
        </is>
      </c>
      <c r="J1" s="2" t="inlineStr">
        <is>
          <t>required_fields</t>
        </is>
      </c>
      <c r="K1" s="2" t="inlineStr">
        <is>
          <t>notes</t>
        </is>
      </c>
      <c r="L1" s="2" t="inlineStr">
        <is>
          <t>nonrag_answer</t>
        </is>
      </c>
      <c r="M1" s="2" t="inlineStr">
        <is>
          <t>nonrag_correctness_0_2</t>
        </is>
      </c>
      <c r="N1" s="2" t="inlineStr">
        <is>
          <t>nonrag_faithfulness_0_2</t>
        </is>
      </c>
      <c r="O1" s="2" t="inlineStr">
        <is>
          <t>nonrag_hallucination_0_1</t>
        </is>
      </c>
      <c r="P1" s="2" t="inlineStr">
        <is>
          <t>nonrag_language_0_2</t>
        </is>
      </c>
      <c r="Q1" s="2" t="inlineStr">
        <is>
          <t>nonrag_time_ms</t>
        </is>
      </c>
      <c r="R1" s="2" t="inlineStr">
        <is>
          <t>nonrag_error</t>
        </is>
      </c>
      <c r="S1" s="2" t="inlineStr">
        <is>
          <t>webrag_answer</t>
        </is>
      </c>
      <c r="T1" s="2" t="inlineStr">
        <is>
          <t>webrag_correctness_0_2</t>
        </is>
      </c>
      <c r="U1" s="2" t="inlineStr">
        <is>
          <t>webrag_faithfulness_0_2</t>
        </is>
      </c>
      <c r="V1" s="2" t="inlineStr">
        <is>
          <t>webrag_hallucination_0_1</t>
        </is>
      </c>
      <c r="W1" s="2" t="inlineStr">
        <is>
          <t>webrag_language_0_2</t>
        </is>
      </c>
      <c r="X1" s="2" t="inlineStr">
        <is>
          <t>webrag_time_ms</t>
        </is>
      </c>
      <c r="Y1" s="2" t="inlineStr">
        <is>
          <t>webrag_error</t>
        </is>
      </c>
      <c r="Z1" s="2" t="inlineStr">
        <is>
          <t>hybrid_answer</t>
        </is>
      </c>
      <c r="AA1" s="2" t="inlineStr">
        <is>
          <t>hybrid_correctness_0_2</t>
        </is>
      </c>
      <c r="AB1" s="2" t="inlineStr">
        <is>
          <t>hybrid_faithfulness_0_2</t>
        </is>
      </c>
      <c r="AC1" s="2" t="inlineStr">
        <is>
          <t>hybrid_hallucination_0_1</t>
        </is>
      </c>
      <c r="AD1" s="2" t="inlineStr">
        <is>
          <t>hybrid_language_0_2</t>
        </is>
      </c>
      <c r="AE1" s="2" t="inlineStr">
        <is>
          <t>hybrid_time_ms</t>
        </is>
      </c>
      <c r="AF1" s="2" t="inlineStr">
        <is>
          <t>hybrid_tool_used</t>
        </is>
      </c>
      <c r="AG1" s="2" t="inlineStr">
        <is>
          <t>hybrid_error</t>
        </is>
      </c>
    </row>
    <row r="2" ht="27.6" customHeight="1">
      <c r="A2" s="3" t="n">
        <v>1</v>
      </c>
      <c r="B2" s="3" t="inlineStr">
        <is>
          <t>program_overview</t>
        </is>
      </c>
      <c r="C2" s="3" t="inlineStr">
        <is>
          <t>medium</t>
        </is>
      </c>
      <c r="D2" s="3" t="inlineStr">
        <is>
          <t>EN</t>
        </is>
      </c>
      <c r="E2" s="3" t="inlineStr">
        <is>
          <t>Which programs can I study at Unifr at bachelor level?</t>
        </is>
      </c>
      <c r="F2" s="3" t="inlineStr">
        <is>
          <t>List of all bachelor programs available in the database.</t>
        </is>
      </c>
      <c r="G2" s="3" t="inlineStr">
        <is>
          <t>DB</t>
        </is>
      </c>
      <c r="H2" s="3" t="inlineStr">
        <is>
          <t>API /programs?degree_level=Bachelor</t>
        </is>
      </c>
      <c r="I2" s="3" t="inlineStr">
        <is>
          <t>StudyProgram table</t>
        </is>
      </c>
      <c r="J2" s="3" t="inlineStr">
        <is>
          <t>program names, degree level</t>
        </is>
      </c>
      <c r="K2" s="3" t="inlineStr">
        <is>
          <t>Existing sample question, cleaned.</t>
        </is>
      </c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</row>
    <row r="3" ht="27.6" customHeight="1">
      <c r="A3" s="3" t="n">
        <v>2</v>
      </c>
      <c r="B3" s="3" t="inlineStr">
        <is>
          <t>program_overview</t>
        </is>
      </c>
      <c r="C3" s="3" t="inlineStr">
        <is>
          <t>medium</t>
        </is>
      </c>
      <c r="D3" s="3" t="inlineStr">
        <is>
          <t>EN</t>
        </is>
      </c>
      <c r="E3" s="3" t="inlineStr">
        <is>
          <t>Which minor programs does Unifr offer?</t>
        </is>
      </c>
      <c r="F3" s="3" t="inlineStr">
        <is>
          <t>List of minor-like programs, e.g. programs with total ECTS &lt;= 60, excluding null/doctorate entries.</t>
        </is>
      </c>
      <c r="G3" s="3" t="inlineStr">
        <is>
          <t>DB</t>
        </is>
      </c>
      <c r="H3" s="3" t="inlineStr">
        <is>
          <t>API /programs?max_ects=60</t>
        </is>
      </c>
      <c r="I3" s="3" t="inlineStr">
        <is>
          <t>StudyProgram table</t>
        </is>
      </c>
      <c r="J3" s="3" t="inlineStr">
        <is>
          <t>program names, ECTS</t>
        </is>
      </c>
      <c r="K3" s="3" t="inlineStr">
        <is>
          <t>Existing sample question, cleaned.</t>
        </is>
      </c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</row>
    <row r="4" ht="41.4" customHeight="1">
      <c r="A4" s="3" t="n">
        <v>3</v>
      </c>
      <c r="B4" s="3" t="inlineStr">
        <is>
          <t>program_courses</t>
        </is>
      </c>
      <c r="C4" s="3" t="inlineStr">
        <is>
          <t>hard</t>
        </is>
      </c>
      <c r="D4" s="3" t="inlineStr">
        <is>
          <t>EN</t>
        </is>
      </c>
      <c r="E4" s="3" t="inlineStr">
        <is>
          <t>What courses are mandatory in the Bachelor of Business Informatics with 180 ECTS?</t>
        </is>
      </c>
      <c r="F4" s="3" t="inlineStr">
        <is>
          <t>List of mandatory courses for the specified program.</t>
        </is>
      </c>
      <c r="G4" s="3" t="inlineStr">
        <is>
          <t>DB</t>
        </is>
      </c>
      <c r="H4" s="3" t="inlineStr">
        <is>
          <t>API /programs/:id/courses?type=Mandatory</t>
        </is>
      </c>
      <c r="I4" s="3" t="inlineStr">
        <is>
          <t>consist_of + StudyProgram</t>
        </is>
      </c>
      <c r="J4" s="3" t="inlineStr">
        <is>
          <t>course codes, titles, mandatory status</t>
        </is>
      </c>
      <c r="K4" s="3" t="inlineStr">
        <is>
          <t>Existing sample question, cleaned.</t>
        </is>
      </c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</row>
    <row r="5" ht="27.6" customHeight="1">
      <c r="A5" s="3" t="n">
        <v>4</v>
      </c>
      <c r="B5" s="3" t="inlineStr">
        <is>
          <t>program_requirements</t>
        </is>
      </c>
      <c r="C5" s="3" t="inlineStr">
        <is>
          <t>medium</t>
        </is>
      </c>
      <c r="D5" s="3" t="inlineStr">
        <is>
          <t>EN</t>
        </is>
      </c>
      <c r="E5" s="3" t="inlineStr">
        <is>
          <t>How long does the bachelor program usually take?</t>
        </is>
      </c>
      <c r="F5" s="3" t="inlineStr">
        <is>
          <t>Minimum/standard/max duration if available; otherwise answer based on retrieved regulations.</t>
        </is>
      </c>
      <c r="G5" s="3" t="inlineStr">
        <is>
          <t>Mixed</t>
        </is>
      </c>
      <c r="H5" s="3" t="inlineStr">
        <is>
          <t>API first, RAG fallback</t>
        </is>
      </c>
      <c r="I5" s="3" t="inlineStr">
        <is>
          <t>StudyProgram table or regulation document</t>
        </is>
      </c>
      <c r="J5" s="3" t="inlineStr">
        <is>
          <t>duration semesters</t>
        </is>
      </c>
      <c r="K5" s="3" t="inlineStr">
        <is>
          <t>Existing sample question, cleaned.</t>
        </is>
      </c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</row>
    <row r="6" ht="27.6" customHeight="1">
      <c r="A6" s="3" t="n">
        <v>5</v>
      </c>
      <c r="B6" s="3" t="inlineStr">
        <is>
          <t>program_courses</t>
        </is>
      </c>
      <c r="C6" s="3" t="inlineStr">
        <is>
          <t>hard</t>
        </is>
      </c>
      <c r="D6" s="3" t="inlineStr">
        <is>
          <t>EN</t>
        </is>
      </c>
      <c r="E6" s="3" t="inlineStr">
        <is>
          <t>What courses does the Bachelor in Economics with 180 ECTS include in the first study year?</t>
        </is>
      </c>
      <c r="F6" s="3" t="inlineStr">
        <is>
          <t>List of first-year courses if the study plan provides this structure.</t>
        </is>
      </c>
      <c r="G6" s="3" t="inlineStr">
        <is>
          <t>RAG</t>
        </is>
      </c>
      <c r="H6" s="3" t="inlineStr">
        <is>
          <t>RAG over study plan documents</t>
        </is>
      </c>
      <c r="I6" s="3" t="inlineStr">
        <is>
          <t>study plan PDF</t>
        </is>
      </c>
      <c r="J6" s="3" t="inlineStr">
        <is>
          <t>course titles/codes, first-year context</t>
        </is>
      </c>
      <c r="K6" s="3" t="inlineStr">
        <is>
          <t>Existing sample question, cleaned.</t>
        </is>
      </c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</row>
    <row r="7" ht="41.4" customHeight="1">
      <c r="A7" s="3" t="n">
        <v>6</v>
      </c>
      <c r="B7" s="3" t="inlineStr">
        <is>
          <t>planning</t>
        </is>
      </c>
      <c r="C7" s="3" t="inlineStr">
        <is>
          <t>hard</t>
        </is>
      </c>
      <c r="D7" s="3" t="inlineStr">
        <is>
          <t>EN</t>
        </is>
      </c>
      <c r="E7" s="3" t="inlineStr">
        <is>
          <t>Can you plan my next semester?</t>
        </is>
      </c>
      <c r="F7" s="3" t="inlineStr">
        <is>
          <t>Should ask for missing constraints or provide a cautious partial plan based on selected program/semester.</t>
        </is>
      </c>
      <c r="G7" s="3" t="inlineStr">
        <is>
          <t>Mixed</t>
        </is>
      </c>
      <c r="H7" s="3" t="inlineStr">
        <is>
          <t>API + possibly clarification</t>
        </is>
      </c>
      <c r="I7" s="3" t="inlineStr">
        <is>
          <t>DB + user context</t>
        </is>
      </c>
      <c r="J7" s="3" t="inlineStr">
        <is>
          <t>missing info handling</t>
        </is>
      </c>
      <c r="K7" s="3" t="inlineStr">
        <is>
          <t>Existing sample question; evaluate refusal/clarification behavior.</t>
        </is>
      </c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</row>
    <row r="8" ht="27.6" customHeight="1">
      <c r="A8" s="3" t="n">
        <v>7</v>
      </c>
      <c r="B8" s="3" t="inlineStr">
        <is>
          <t>course_facts</t>
        </is>
      </c>
      <c r="C8" s="3" t="inlineStr">
        <is>
          <t>easy</t>
        </is>
      </c>
      <c r="D8" s="3" t="inlineStr">
        <is>
          <t>EN</t>
        </is>
      </c>
      <c r="E8" s="3" t="inlineStr">
        <is>
          <t>How many ECTS does UE-F23.00128 have?</t>
        </is>
      </c>
      <c r="F8" s="3" t="inlineStr">
        <is>
          <t>Exact value from Course/CourseOffering records.</t>
        </is>
      </c>
      <c r="G8" s="3" t="inlineStr">
        <is>
          <t>DB</t>
        </is>
      </c>
      <c r="H8" s="3" t="inlineStr">
        <is>
          <t>API /courses/:code</t>
        </is>
      </c>
      <c r="I8" s="3" t="inlineStr">
        <is>
          <t>Course, CourseOffering, teaches, is_taught_in</t>
        </is>
      </c>
      <c r="J8" s="3" t="inlineStr">
        <is>
          <t>ECTS</t>
        </is>
      </c>
      <c r="K8" s="3" t="inlineStr">
        <is>
          <t>Replace {COURSE_CODE} with a real course code from your DB.</t>
        </is>
      </c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</row>
    <row r="9" ht="27.6" customHeight="1">
      <c r="A9" s="3" t="n">
        <v>8</v>
      </c>
      <c r="B9" s="3" t="inlineStr">
        <is>
          <t>course_facts</t>
        </is>
      </c>
      <c r="C9" s="3" t="inlineStr">
        <is>
          <t>easy</t>
        </is>
      </c>
      <c r="D9" s="3" t="inlineStr">
        <is>
          <t>EN</t>
        </is>
      </c>
      <c r="E9" s="3" t="inlineStr">
        <is>
          <t>What is the title of course UE-SMH.03303?</t>
        </is>
      </c>
      <c r="F9" s="3" t="inlineStr">
        <is>
          <t>Exact value from Course/CourseOffering records.</t>
        </is>
      </c>
      <c r="G9" s="3" t="inlineStr">
        <is>
          <t>DB</t>
        </is>
      </c>
      <c r="H9" s="3" t="inlineStr">
        <is>
          <t>API /courses/:code</t>
        </is>
      </c>
      <c r="I9" s="3" t="inlineStr">
        <is>
          <t>Course, CourseOffering, teaches, is_taught_in</t>
        </is>
      </c>
      <c r="J9" s="3" t="inlineStr">
        <is>
          <t>course title</t>
        </is>
      </c>
      <c r="K9" s="3" t="inlineStr">
        <is>
          <t>Replace {COURSE_CODE} with a real course code from your DB.</t>
        </is>
      </c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</row>
    <row r="10" ht="27.6" customHeight="1">
      <c r="A10" s="3" t="n">
        <v>9</v>
      </c>
      <c r="B10" s="3" t="inlineStr">
        <is>
          <t>course_facts</t>
        </is>
      </c>
      <c r="C10" s="3" t="inlineStr">
        <is>
          <t>easy</t>
        </is>
      </c>
      <c r="D10" s="3" t="inlineStr">
        <is>
          <t>EN</t>
        </is>
      </c>
      <c r="E10" s="3" t="inlineStr">
        <is>
          <t>What is the description of course UE-L15.02297?</t>
        </is>
      </c>
      <c r="F10" s="3" t="inlineStr">
        <is>
          <t>Exact value from Course/CourseOffering records.</t>
        </is>
      </c>
      <c r="G10" s="3" t="inlineStr">
        <is>
          <t>DB</t>
        </is>
      </c>
      <c r="H10" s="3" t="inlineStr">
        <is>
          <t>API /courses/:code</t>
        </is>
      </c>
      <c r="I10" s="3" t="inlineStr">
        <is>
          <t>Course, CourseOffering, teaches, is_taught_in</t>
        </is>
      </c>
      <c r="J10" s="3" t="inlineStr">
        <is>
          <t>description</t>
        </is>
      </c>
      <c r="K10" s="3" t="inlineStr">
        <is>
          <t>Replace {COURSE_CODE} with a real course code from your DB.</t>
        </is>
      </c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</row>
    <row r="11" ht="27.6" customHeight="1">
      <c r="A11" s="3" t="n">
        <v>10</v>
      </c>
      <c r="B11" s="3" t="inlineStr">
        <is>
          <t>course_facts</t>
        </is>
      </c>
      <c r="C11" s="3" t="inlineStr">
        <is>
          <t>easy</t>
        </is>
      </c>
      <c r="D11" s="3" t="inlineStr">
        <is>
          <t>EN</t>
        </is>
      </c>
      <c r="E11" s="3" t="inlineStr">
        <is>
          <t>What are the learning goals of UE-SCH.01084?</t>
        </is>
      </c>
      <c r="F11" s="3" t="inlineStr">
        <is>
          <t>Exact value from Course/CourseOffering records.</t>
        </is>
      </c>
      <c r="G11" s="3" t="inlineStr">
        <is>
          <t>DB</t>
        </is>
      </c>
      <c r="H11" s="3" t="inlineStr">
        <is>
          <t>API /courses/:code</t>
        </is>
      </c>
      <c r="I11" s="3" t="inlineStr">
        <is>
          <t>Course, CourseOffering, teaches, is_taught_in</t>
        </is>
      </c>
      <c r="J11" s="3" t="inlineStr">
        <is>
          <t>learning goals</t>
        </is>
      </c>
      <c r="K11" s="3" t="inlineStr">
        <is>
          <t>Replace {COURSE_CODE} with a real course code from your DB.</t>
        </is>
      </c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</row>
    <row r="12" ht="27.6" customHeight="1">
      <c r="A12" s="3" t="n">
        <v>11</v>
      </c>
      <c r="B12" s="3" t="inlineStr">
        <is>
          <t>course_facts</t>
        </is>
      </c>
      <c r="C12" s="3" t="inlineStr">
        <is>
          <t>easy</t>
        </is>
      </c>
      <c r="D12" s="3" t="inlineStr">
        <is>
          <t>EN</t>
        </is>
      </c>
      <c r="E12" s="3" t="inlineStr">
        <is>
          <t>Who teaches UE-L15.01360?</t>
        </is>
      </c>
      <c r="F12" s="3" t="inlineStr">
        <is>
          <t>Exact value from Course/CourseOffering records.</t>
        </is>
      </c>
      <c r="G12" s="3" t="inlineStr">
        <is>
          <t>DB</t>
        </is>
      </c>
      <c r="H12" s="3" t="inlineStr">
        <is>
          <t>API /courses/:code</t>
        </is>
      </c>
      <c r="I12" s="3" t="inlineStr">
        <is>
          <t>Course, CourseOffering, teaches, is_taught_in</t>
        </is>
      </c>
      <c r="J12" s="3" t="inlineStr">
        <is>
          <t>professor/instructor</t>
        </is>
      </c>
      <c r="K12" s="3" t="inlineStr">
        <is>
          <t>Replace {COURSE_CODE} with a real course code from your DB.</t>
        </is>
      </c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</row>
    <row r="13" ht="27.6" customHeight="1">
      <c r="A13" s="3" t="n">
        <v>12</v>
      </c>
      <c r="B13" s="3" t="inlineStr">
        <is>
          <t>course_facts</t>
        </is>
      </c>
      <c r="C13" s="3" t="inlineStr">
        <is>
          <t>easy</t>
        </is>
      </c>
      <c r="D13" s="3" t="inlineStr">
        <is>
          <t>EN</t>
        </is>
      </c>
      <c r="E13" s="3" t="inlineStr">
        <is>
          <t>In which language is UE-F24.00756 taught?</t>
        </is>
      </c>
      <c r="F13" s="3" t="inlineStr">
        <is>
          <t>Exact value from Course/CourseOffering records.</t>
        </is>
      </c>
      <c r="G13" s="3" t="inlineStr">
        <is>
          <t>DB</t>
        </is>
      </c>
      <c r="H13" s="3" t="inlineStr">
        <is>
          <t>API /courses/:code</t>
        </is>
      </c>
      <c r="I13" s="3" t="inlineStr">
        <is>
          <t>Course, CourseOffering, teaches, is_taught_in</t>
        </is>
      </c>
      <c r="J13" s="3" t="inlineStr">
        <is>
          <t>language</t>
        </is>
      </c>
      <c r="K13" s="3" t="inlineStr">
        <is>
          <t>Replace {COURSE_CODE} with a real course code from your DB.</t>
        </is>
      </c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</row>
    <row r="14" ht="27.6" customHeight="1">
      <c r="A14" s="3" t="n">
        <v>13</v>
      </c>
      <c r="B14" s="3" t="inlineStr">
        <is>
          <t>course_facts</t>
        </is>
      </c>
      <c r="C14" s="3" t="inlineStr">
        <is>
          <t>easy</t>
        </is>
      </c>
      <c r="D14" s="3" t="inlineStr">
        <is>
          <t>EN</t>
        </is>
      </c>
      <c r="E14" s="3" t="inlineStr">
        <is>
          <t>Is UE-L14.02290 marked as a soft-skills course?</t>
        </is>
      </c>
      <c r="F14" s="3" t="inlineStr">
        <is>
          <t>Exact value from Course/CourseOffering records.</t>
        </is>
      </c>
      <c r="G14" s="3" t="inlineStr">
        <is>
          <t>DB</t>
        </is>
      </c>
      <c r="H14" s="3" t="inlineStr">
        <is>
          <t>API /courses/:code</t>
        </is>
      </c>
      <c r="I14" s="3" t="inlineStr">
        <is>
          <t>Course, CourseOffering, teaches, is_taught_in</t>
        </is>
      </c>
      <c r="J14" s="3" t="inlineStr">
        <is>
          <t>soft_skills flag</t>
        </is>
      </c>
      <c r="K14" s="3" t="inlineStr">
        <is>
          <t>Replace {COURSE_CODE} with a real course code from your DB.</t>
        </is>
      </c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</row>
    <row r="15" ht="27.6" customHeight="1">
      <c r="A15" s="3" t="n">
        <v>14</v>
      </c>
      <c r="B15" s="3" t="inlineStr">
        <is>
          <t>course_facts</t>
        </is>
      </c>
      <c r="C15" s="3" t="inlineStr">
        <is>
          <t>easy</t>
        </is>
      </c>
      <c r="D15" s="3" t="inlineStr">
        <is>
          <t>EN</t>
        </is>
      </c>
      <c r="E15" s="3" t="inlineStr">
        <is>
          <t>Is UE-L37.01417 mobility-friendly?</t>
        </is>
      </c>
      <c r="F15" s="3" t="inlineStr">
        <is>
          <t>Exact value from Course/CourseOffering records.</t>
        </is>
      </c>
      <c r="G15" s="3" t="inlineStr">
        <is>
          <t>DB</t>
        </is>
      </c>
      <c r="H15" s="3" t="inlineStr">
        <is>
          <t>API /courses/:code</t>
        </is>
      </c>
      <c r="I15" s="3" t="inlineStr">
        <is>
          <t>Course, CourseOffering, teaches, is_taught_in</t>
        </is>
      </c>
      <c r="J15" s="3" t="inlineStr">
        <is>
          <t>mobility flag</t>
        </is>
      </c>
      <c r="K15" s="3" t="inlineStr">
        <is>
          <t>Replace {COURSE_CODE} with a real course code from your DB.</t>
        </is>
      </c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</row>
    <row r="16" ht="27.6" customHeight="1">
      <c r="A16" s="3" t="n">
        <v>15</v>
      </c>
      <c r="B16" s="3" t="inlineStr">
        <is>
          <t>schedule_datetime</t>
        </is>
      </c>
      <c r="C16" s="3" t="inlineStr">
        <is>
          <t>medium</t>
        </is>
      </c>
      <c r="D16" s="3" t="inlineStr">
        <is>
          <t>EN</t>
        </is>
      </c>
      <c r="E16" s="3" t="inlineStr">
        <is>
          <t>When does UE-L26.00318 take place in HS-2026?</t>
        </is>
      </c>
      <c r="F16" s="3" t="inlineStr">
        <is>
          <t>Exact schedule/evaluation information or explicit not available.</t>
        </is>
      </c>
      <c r="G16" s="3" t="inlineStr">
        <is>
          <t>DB</t>
        </is>
      </c>
      <c r="H16" s="3" t="inlineStr">
        <is>
          <t>API /planner or /courses/:code/offerings</t>
        </is>
      </c>
      <c r="I16" s="3" t="inlineStr">
        <is>
          <t>CourseOffering, Session, Evaluation</t>
        </is>
      </c>
      <c r="J16" s="3" t="inlineStr">
        <is>
          <t>date/time</t>
        </is>
      </c>
      <c r="K16" s="3" t="inlineStr">
        <is>
          <t>Replace placeholders with real DB values.</t>
        </is>
      </c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</row>
    <row r="17" ht="27.6" customHeight="1">
      <c r="A17" s="3" t="n">
        <v>16</v>
      </c>
      <c r="B17" s="3" t="inlineStr">
        <is>
          <t>schedule_datetime</t>
        </is>
      </c>
      <c r="C17" s="3" t="inlineStr">
        <is>
          <t>medium</t>
        </is>
      </c>
      <c r="D17" s="3" t="inlineStr">
        <is>
          <t>EN</t>
        </is>
      </c>
      <c r="E17" s="3" t="inlineStr">
        <is>
          <t>On which weekday is UE-EKM.01125 held in HS-2026?</t>
        </is>
      </c>
      <c r="F17" s="3" t="inlineStr">
        <is>
          <t>Exact schedule/evaluation information or explicit not available.</t>
        </is>
      </c>
      <c r="G17" s="3" t="inlineStr">
        <is>
          <t>DB</t>
        </is>
      </c>
      <c r="H17" s="3" t="inlineStr">
        <is>
          <t>API /planner or /courses/:code/offerings</t>
        </is>
      </c>
      <c r="I17" s="3" t="inlineStr">
        <is>
          <t>CourseOffering, Session, Evaluation</t>
        </is>
      </c>
      <c r="J17" s="3" t="inlineStr">
        <is>
          <t>weekday</t>
        </is>
      </c>
      <c r="K17" s="3" t="inlineStr">
        <is>
          <t>Replace placeholders with real DB values.</t>
        </is>
      </c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</row>
    <row r="18" ht="27.6" customHeight="1">
      <c r="A18" s="3" t="n">
        <v>17</v>
      </c>
      <c r="B18" s="3" t="inlineStr">
        <is>
          <t>schedule_datetime</t>
        </is>
      </c>
      <c r="C18" s="3" t="inlineStr">
        <is>
          <t>medium</t>
        </is>
      </c>
      <c r="D18" s="3" t="inlineStr">
        <is>
          <t>EN</t>
        </is>
      </c>
      <c r="E18" s="3" t="inlineStr">
        <is>
          <t>Where does UE-L37.00927 take place in FS-2026?</t>
        </is>
      </c>
      <c r="F18" s="3" t="inlineStr">
        <is>
          <t>Exact schedule/evaluation information or explicit not available.</t>
        </is>
      </c>
      <c r="G18" s="3" t="inlineStr">
        <is>
          <t>DB</t>
        </is>
      </c>
      <c r="H18" s="3" t="inlineStr">
        <is>
          <t>API /planner or /courses/:code/offerings</t>
        </is>
      </c>
      <c r="I18" s="3" t="inlineStr">
        <is>
          <t>CourseOffering, Session, Evaluation</t>
        </is>
      </c>
      <c r="J18" s="3" t="inlineStr">
        <is>
          <t>room</t>
        </is>
      </c>
      <c r="K18" s="3" t="inlineStr">
        <is>
          <t>Replace placeholders with real DB values.</t>
        </is>
      </c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</row>
    <row r="19" ht="27.6" customHeight="1">
      <c r="A19" s="3" t="n">
        <v>18</v>
      </c>
      <c r="B19" s="3" t="inlineStr">
        <is>
          <t>schedule_datetime</t>
        </is>
      </c>
      <c r="C19" s="3" t="inlineStr">
        <is>
          <t>medium</t>
        </is>
      </c>
      <c r="D19" s="3" t="inlineStr">
        <is>
          <t>EN</t>
        </is>
      </c>
      <c r="E19" s="3" t="inlineStr">
        <is>
          <t>Is UE-F22.00184 a weekly course or a block course in FS-2026?</t>
        </is>
      </c>
      <c r="F19" s="3" t="inlineStr">
        <is>
          <t>Exact schedule/evaluation information or explicit not available.</t>
        </is>
      </c>
      <c r="G19" s="3" t="inlineStr">
        <is>
          <t>DB</t>
        </is>
      </c>
      <c r="H19" s="3" t="inlineStr">
        <is>
          <t>API /planner or /courses/:code/offerings</t>
        </is>
      </c>
      <c r="I19" s="3" t="inlineStr">
        <is>
          <t>CourseOffering, Session, Evaluation</t>
        </is>
      </c>
      <c r="J19" s="3" t="inlineStr">
        <is>
          <t>offering type</t>
        </is>
      </c>
      <c r="K19" s="3" t="inlineStr">
        <is>
          <t>Replace placeholders with real DB values.</t>
        </is>
      </c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</row>
    <row r="20" ht="27.6" customHeight="1">
      <c r="A20" s="3" t="n">
        <v>19</v>
      </c>
      <c r="B20" s="3" t="inlineStr">
        <is>
          <t>schedule_datetime</t>
        </is>
      </c>
      <c r="C20" s="3" t="inlineStr">
        <is>
          <t>medium</t>
        </is>
      </c>
      <c r="D20" s="3" t="inlineStr">
        <is>
          <t>EN</t>
        </is>
      </c>
      <c r="E20" s="3" t="inlineStr">
        <is>
          <t>What sessions are listed for 	UE-I08.00010 in FS-2026?</t>
        </is>
      </c>
      <c r="F20" s="3" t="inlineStr">
        <is>
          <t>Exact schedule/evaluation information or explicit not available.</t>
        </is>
      </c>
      <c r="G20" s="3" t="inlineStr">
        <is>
          <t>DB</t>
        </is>
      </c>
      <c r="H20" s="3" t="inlineStr">
        <is>
          <t>API /planner or /courses/:code/offerings</t>
        </is>
      </c>
      <c r="I20" s="3" t="inlineStr">
        <is>
          <t>CourseOffering, Session, Evaluation</t>
        </is>
      </c>
      <c r="J20" s="3" t="inlineStr">
        <is>
          <t>session list</t>
        </is>
      </c>
      <c r="K20" s="3" t="inlineStr">
        <is>
          <t>Replace placeholders with real DB values.</t>
        </is>
      </c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</row>
    <row r="21" ht="27.6" customHeight="1">
      <c r="A21" s="3" t="n">
        <v>20</v>
      </c>
      <c r="B21" s="3" t="inlineStr">
        <is>
          <t>schedule_datetime</t>
        </is>
      </c>
      <c r="C21" s="3" t="inlineStr">
        <is>
          <t>medium</t>
        </is>
      </c>
      <c r="D21" s="3" t="inlineStr">
        <is>
          <t>EN</t>
        </is>
      </c>
      <c r="E21" s="3" t="inlineStr">
        <is>
          <t>When is the evaluation or exam for UE-SBC.07109 in HS-2026?</t>
        </is>
      </c>
      <c r="F21" s="3" t="inlineStr">
        <is>
          <t>Exact schedule/evaluation information or explicit not available.</t>
        </is>
      </c>
      <c r="G21" s="3" t="inlineStr">
        <is>
          <t>DB</t>
        </is>
      </c>
      <c r="H21" s="3" t="inlineStr">
        <is>
          <t>API /planner or /courses/:code/offerings</t>
        </is>
      </c>
      <c r="I21" s="3" t="inlineStr">
        <is>
          <t>CourseOffering, Session, Evaluation</t>
        </is>
      </c>
      <c r="J21" s="3" t="inlineStr">
        <is>
          <t>evaluation date/time</t>
        </is>
      </c>
      <c r="K21" s="3" t="inlineStr">
        <is>
          <t>Replace placeholders with real DB values.</t>
        </is>
      </c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</row>
    <row r="22" ht="27.6" customHeight="1">
      <c r="A22" s="3" t="n">
        <v>21</v>
      </c>
      <c r="B22" s="3" t="inlineStr">
        <is>
          <t>schedule_datetime</t>
        </is>
      </c>
      <c r="C22" s="3" t="inlineStr">
        <is>
          <t>medium</t>
        </is>
      </c>
      <c r="D22" s="3" t="inlineStr">
        <is>
          <t>EN</t>
        </is>
      </c>
      <c r="E22" s="3" t="inlineStr">
        <is>
          <t>Which courses in FS-2026 happen on Monday?</t>
        </is>
      </c>
      <c r="F22" s="3" t="inlineStr">
        <is>
          <t>Exact schedule/evaluation information or explicit not available.</t>
        </is>
      </c>
      <c r="G22" s="3" t="inlineStr">
        <is>
          <t>DB</t>
        </is>
      </c>
      <c r="H22" s="3" t="inlineStr">
        <is>
          <t>API /planner or /courses/:code/offerings</t>
        </is>
      </c>
      <c r="I22" s="3" t="inlineStr">
        <is>
          <t>CourseOffering, Session, Evaluation</t>
        </is>
      </c>
      <c r="J22" s="3" t="inlineStr">
        <is>
          <t>course list</t>
        </is>
      </c>
      <c r="K22" s="3" t="inlineStr">
        <is>
          <t>Replace placeholders with real DB values.</t>
        </is>
      </c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</row>
    <row r="23" ht="27.6" customHeight="1">
      <c r="A23" s="3" t="n">
        <v>22</v>
      </c>
      <c r="B23" s="3" t="inlineStr">
        <is>
          <t>schedule_datetime</t>
        </is>
      </c>
      <c r="C23" s="3" t="inlineStr">
        <is>
          <t>medium</t>
        </is>
      </c>
      <c r="D23" s="3" t="inlineStr">
        <is>
          <t>EN</t>
        </is>
      </c>
      <c r="E23" s="3" t="inlineStr">
        <is>
          <t>Which courses in HS-2026 have a time conflict with UE-L26.00013?</t>
        </is>
      </c>
      <c r="F23" s="3" t="inlineStr">
        <is>
          <t>Exact schedule/evaluation information or explicit not available.</t>
        </is>
      </c>
      <c r="G23" s="3" t="inlineStr">
        <is>
          <t>DB</t>
        </is>
      </c>
      <c r="H23" s="3" t="inlineStr">
        <is>
          <t>API /planner or /courses/:code/offerings</t>
        </is>
      </c>
      <c r="I23" s="3" t="inlineStr">
        <is>
          <t>CourseOffering, Session, Evaluation</t>
        </is>
      </c>
      <c r="J23" s="3" t="inlineStr">
        <is>
          <t>conflicting sessions</t>
        </is>
      </c>
      <c r="K23" s="3" t="inlineStr">
        <is>
          <t>Replace placeholders with real DB values.</t>
        </is>
      </c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</row>
    <row r="24" ht="27.6" customHeight="1">
      <c r="A24" s="3" t="n">
        <v>23</v>
      </c>
      <c r="B24" s="3" t="inlineStr">
        <is>
          <t>program_structure_filtering</t>
        </is>
      </c>
      <c r="C24" s="3" t="inlineStr">
        <is>
          <t>medium</t>
        </is>
      </c>
      <c r="D24" s="3" t="inlineStr">
        <is>
          <t>EN</t>
        </is>
      </c>
      <c r="E24" s="3" t="inlineStr">
        <is>
          <t>How many ECTS are required for Business Informatics?</t>
        </is>
      </c>
      <c r="F24" s="3" t="inlineStr">
        <is>
          <t>Exact values from DB.</t>
        </is>
      </c>
      <c r="G24" s="3" t="inlineStr">
        <is>
          <t>DB</t>
        </is>
      </c>
      <c r="H24" s="3" t="inlineStr">
        <is>
          <t>API /programs filter</t>
        </is>
      </c>
      <c r="I24" s="3" t="inlineStr">
        <is>
          <t>StudyProgram, consist_of, Course, programDocument</t>
        </is>
      </c>
      <c r="J24" s="3" t="inlineStr">
        <is>
          <t>total ECTS</t>
        </is>
      </c>
      <c r="K24" s="3" t="inlineStr">
        <is>
          <t>Replace placeholders where needed.</t>
        </is>
      </c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</row>
    <row r="25" ht="27.6" customHeight="1">
      <c r="A25" s="3" t="n">
        <v>24</v>
      </c>
      <c r="B25" s="3" t="inlineStr">
        <is>
          <t>program_structure_filtering</t>
        </is>
      </c>
      <c r="C25" s="3" t="inlineStr">
        <is>
          <t>medium</t>
        </is>
      </c>
      <c r="D25" s="3" t="inlineStr">
        <is>
          <t>EN</t>
        </is>
      </c>
      <c r="E25" s="3" t="inlineStr">
        <is>
          <t>When can students start Physics: autumn, spring, or both?</t>
        </is>
      </c>
      <c r="F25" s="3" t="inlineStr">
        <is>
          <t>Exact values from DB.</t>
        </is>
      </c>
      <c r="G25" s="3" t="inlineStr">
        <is>
          <t>DB</t>
        </is>
      </c>
      <c r="H25" s="3" t="inlineStr">
        <is>
          <t>API /programs filter</t>
        </is>
      </c>
      <c r="I25" s="3" t="inlineStr">
        <is>
          <t>StudyProgram, consist_of, Course, programDocument</t>
        </is>
      </c>
      <c r="J25" s="3" t="inlineStr">
        <is>
          <t>study_start</t>
        </is>
      </c>
      <c r="K25" s="3" t="inlineStr">
        <is>
          <t>Replace placeholders where needed.</t>
        </is>
      </c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</row>
    <row r="26" ht="27.6" customHeight="1">
      <c r="A26" s="3" t="n">
        <v>25</v>
      </c>
      <c r="B26" s="3" t="inlineStr">
        <is>
          <t>program_structure_filtering</t>
        </is>
      </c>
      <c r="C26" s="3" t="inlineStr">
        <is>
          <t>medium</t>
        </is>
      </c>
      <c r="D26" s="3" t="inlineStr">
        <is>
          <t>EN</t>
        </is>
      </c>
      <c r="E26" s="3" t="inlineStr">
        <is>
          <t>Which faculty offers 	Digital Neuroscience?</t>
        </is>
      </c>
      <c r="F26" s="3" t="inlineStr">
        <is>
          <t>Exact values from DB.</t>
        </is>
      </c>
      <c r="G26" s="3" t="inlineStr">
        <is>
          <t>DB</t>
        </is>
      </c>
      <c r="H26" s="3" t="inlineStr">
        <is>
          <t>API /programs filter</t>
        </is>
      </c>
      <c r="I26" s="3" t="inlineStr">
        <is>
          <t>StudyProgram, consist_of, Course, programDocument</t>
        </is>
      </c>
      <c r="J26" s="3" t="inlineStr">
        <is>
          <t>faculty</t>
        </is>
      </c>
      <c r="K26" s="3" t="inlineStr">
        <is>
          <t>Replace placeholders where needed.</t>
        </is>
      </c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</row>
    <row r="27" ht="27.6" customHeight="1">
      <c r="A27" s="3" t="n">
        <v>26</v>
      </c>
      <c r="B27" s="3" t="inlineStr">
        <is>
          <t>program_structure_filtering</t>
        </is>
      </c>
      <c r="C27" s="3" t="inlineStr">
        <is>
          <t>medium</t>
        </is>
      </c>
      <c r="D27" s="3" t="inlineStr">
        <is>
          <t>EN</t>
        </is>
      </c>
      <c r="E27" s="3" t="inlineStr">
        <is>
          <t>Which languages are associated with 	Digital Neuroscience?</t>
        </is>
      </c>
      <c r="F27" s="3" t="inlineStr">
        <is>
          <t>Exact values from DB.</t>
        </is>
      </c>
      <c r="G27" s="3" t="inlineStr">
        <is>
          <t>DB</t>
        </is>
      </c>
      <c r="H27" s="3" t="inlineStr">
        <is>
          <t>API /programs/:id/languages</t>
        </is>
      </c>
      <c r="I27" s="3" t="inlineStr">
        <is>
          <t>StudyProgram, consist_of, Course, programDocument</t>
        </is>
      </c>
      <c r="J27" s="3" t="inlineStr">
        <is>
          <t>languages</t>
        </is>
      </c>
      <c r="K27" s="3" t="inlineStr">
        <is>
          <t>Replace placeholders where needed.</t>
        </is>
      </c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</row>
    <row r="28" ht="27.6" customHeight="1">
      <c r="A28" s="3" t="n">
        <v>27</v>
      </c>
      <c r="B28" s="3" t="inlineStr">
        <is>
          <t>program_structure_filtering</t>
        </is>
      </c>
      <c r="C28" s="3" t="inlineStr">
        <is>
          <t>medium</t>
        </is>
      </c>
      <c r="D28" s="3" t="inlineStr">
        <is>
          <t>EN</t>
        </is>
      </c>
      <c r="E28" s="3" t="inlineStr">
        <is>
          <t>Which courses belong to Experimental Biomedical Research?</t>
        </is>
      </c>
      <c r="F28" s="3" t="inlineStr">
        <is>
          <t>Exact values from DB.</t>
        </is>
      </c>
      <c r="G28" s="3" t="inlineStr">
        <is>
          <t>DB</t>
        </is>
      </c>
      <c r="H28" s="3" t="inlineStr">
        <is>
          <t>API /programs/:id/courses</t>
        </is>
      </c>
      <c r="I28" s="3" t="inlineStr">
        <is>
          <t>StudyProgram, consist_of, Course, programDocument</t>
        </is>
      </c>
      <c r="J28" s="3" t="inlineStr">
        <is>
          <t>course list</t>
        </is>
      </c>
      <c r="K28" s="3" t="inlineStr">
        <is>
          <t>Replace placeholders where needed.</t>
        </is>
      </c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</row>
    <row r="29" ht="27.6" customHeight="1">
      <c r="A29" s="3" t="n">
        <v>28</v>
      </c>
      <c r="B29" s="3" t="inlineStr">
        <is>
          <t>program_structure_filtering</t>
        </is>
      </c>
      <c r="C29" s="3" t="inlineStr">
        <is>
          <t>medium</t>
        </is>
      </c>
      <c r="D29" s="3" t="inlineStr">
        <is>
          <t>EN</t>
        </is>
      </c>
      <c r="E29" s="3" t="inlineStr">
        <is>
          <t>Which elective courses belong to Computer Science?</t>
        </is>
      </c>
      <c r="F29" s="3" t="inlineStr">
        <is>
          <t>Exact values from DB.</t>
        </is>
      </c>
      <c r="G29" s="3" t="inlineStr">
        <is>
          <t>DB</t>
        </is>
      </c>
      <c r="H29" s="3" t="inlineStr">
        <is>
          <t>API /programs/:id/courses?type=Elective</t>
        </is>
      </c>
      <c r="I29" s="3" t="inlineStr">
        <is>
          <t>StudyProgram, consist_of, Course, programDocument</t>
        </is>
      </c>
      <c r="J29" s="3" t="inlineStr">
        <is>
          <t>elective list</t>
        </is>
      </c>
      <c r="K29" s="3" t="inlineStr">
        <is>
          <t>Replace placeholders where needed.</t>
        </is>
      </c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</row>
    <row r="30" ht="41.4" customHeight="1">
      <c r="A30" s="3" t="n">
        <v>29</v>
      </c>
      <c r="B30" s="3" t="inlineStr">
        <is>
          <t>program_structure_filtering</t>
        </is>
      </c>
      <c r="C30" s="3" t="inlineStr">
        <is>
          <t>medium</t>
        </is>
      </c>
      <c r="D30" s="3" t="inlineStr">
        <is>
          <t>EN</t>
        </is>
      </c>
      <c r="E30" s="3" t="inlineStr">
        <is>
          <t>Which mandatory courses belong to 3	Computer Sci?ence</t>
        </is>
      </c>
      <c r="F30" s="3" t="inlineStr">
        <is>
          <t>Exact values from DB.</t>
        </is>
      </c>
      <c r="G30" s="3" t="inlineStr">
        <is>
          <t>DB</t>
        </is>
      </c>
      <c r="H30" s="3" t="inlineStr">
        <is>
          <t>API /programs/:id/courses?type=Mandatory</t>
        </is>
      </c>
      <c r="I30" s="3" t="inlineStr">
        <is>
          <t>StudyProgram, consist_of, Course, programDocument</t>
        </is>
      </c>
      <c r="J30" s="3" t="inlineStr">
        <is>
          <t>mandatory list</t>
        </is>
      </c>
      <c r="K30" s="3" t="inlineStr">
        <is>
          <t>Replace placeholders where needed.</t>
        </is>
      </c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</row>
    <row r="31" ht="27.6" customHeight="1">
      <c r="A31" s="3" t="n">
        <v>30</v>
      </c>
      <c r="B31" s="3" t="inlineStr">
        <is>
          <t>program_structure_filtering</t>
        </is>
      </c>
      <c r="C31" s="3" t="inlineStr">
        <is>
          <t>medium</t>
        </is>
      </c>
      <c r="D31" s="3" t="inlineStr">
        <is>
          <t>EN</t>
        </is>
      </c>
      <c r="E31" s="3" t="inlineStr">
        <is>
          <t>Which study plan documents are stored for Social Anthropology?</t>
        </is>
      </c>
      <c r="F31" s="3" t="inlineStr">
        <is>
          <t>Exact values from DB.</t>
        </is>
      </c>
      <c r="G31" s="3" t="inlineStr">
        <is>
          <t>DB</t>
        </is>
      </c>
      <c r="H31" s="3" t="inlineStr">
        <is>
          <t>API /programs/:id/documents</t>
        </is>
      </c>
      <c r="I31" s="3" t="inlineStr">
        <is>
          <t>StudyProgram, consist_of, Course, programDocument</t>
        </is>
      </c>
      <c r="J31" s="3" t="inlineStr">
        <is>
          <t>document labels/URLs</t>
        </is>
      </c>
      <c r="K31" s="3" t="inlineStr">
        <is>
          <t>Replace placeholders where needed.</t>
        </is>
      </c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</row>
    <row r="32" ht="27.6" customHeight="1">
      <c r="A32" s="3" t="n">
        <v>31</v>
      </c>
      <c r="B32" s="3" t="inlineStr">
        <is>
          <t>program_structure_filtering</t>
        </is>
      </c>
      <c r="C32" s="3" t="inlineStr">
        <is>
          <t>medium</t>
        </is>
      </c>
      <c r="D32" s="3" t="inlineStr">
        <is>
          <t>EN</t>
        </is>
      </c>
      <c r="E32" s="3" t="inlineStr">
        <is>
          <t>Show all courses with 6 ECTS.</t>
        </is>
      </c>
      <c r="F32" s="3" t="inlineStr">
        <is>
          <t>Exact values from DB.</t>
        </is>
      </c>
      <c r="G32" s="3" t="inlineStr">
        <is>
          <t>DB</t>
        </is>
      </c>
      <c r="H32" s="3" t="inlineStr">
        <is>
          <t>API /courses?ects=6</t>
        </is>
      </c>
      <c r="I32" s="3" t="inlineStr">
        <is>
          <t>StudyProgram, consist_of, Course, programDocument</t>
        </is>
      </c>
      <c r="J32" s="3" t="inlineStr">
        <is>
          <t>course list</t>
        </is>
      </c>
      <c r="K32" s="3" t="inlineStr">
        <is>
          <t>Replace placeholders where needed.</t>
        </is>
      </c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</row>
    <row r="33" ht="27.6" customHeight="1">
      <c r="A33" s="3" t="n">
        <v>32</v>
      </c>
      <c r="B33" s="3" t="inlineStr">
        <is>
          <t>program_structure_filtering</t>
        </is>
      </c>
      <c r="C33" s="3" t="inlineStr">
        <is>
          <t>medium</t>
        </is>
      </c>
      <c r="D33" s="3" t="inlineStr">
        <is>
          <t>EN</t>
        </is>
      </c>
      <c r="E33" s="3" t="inlineStr">
        <is>
          <t>Show all courses taught in English.</t>
        </is>
      </c>
      <c r="F33" s="3" t="inlineStr">
        <is>
          <t>Exact values from DB.</t>
        </is>
      </c>
      <c r="G33" s="3" t="inlineStr">
        <is>
          <t>DB</t>
        </is>
      </c>
      <c r="H33" s="3" t="inlineStr">
        <is>
          <t>API /courses?language=English</t>
        </is>
      </c>
      <c r="I33" s="3" t="inlineStr">
        <is>
          <t>StudyProgram, consist_of, Course, programDocument</t>
        </is>
      </c>
      <c r="J33" s="3" t="inlineStr">
        <is>
          <t>course list</t>
        </is>
      </c>
      <c r="K33" s="3" t="inlineStr">
        <is>
          <t>Replace placeholders where needed.</t>
        </is>
      </c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</row>
    <row r="34" ht="27.6" customHeight="1">
      <c r="A34" s="3" t="n">
        <v>33</v>
      </c>
      <c r="B34" s="3" t="inlineStr">
        <is>
          <t>program_structure_filtering</t>
        </is>
      </c>
      <c r="C34" s="3" t="inlineStr">
        <is>
          <t>medium</t>
        </is>
      </c>
      <c r="D34" s="3" t="inlineStr">
        <is>
          <t>EN</t>
        </is>
      </c>
      <c r="E34" s="3" t="inlineStr">
        <is>
          <t>Show all courses offered in HS-2026.</t>
        </is>
      </c>
      <c r="F34" s="3" t="inlineStr">
        <is>
          <t>Exact values from DB.</t>
        </is>
      </c>
      <c r="G34" s="3" t="inlineStr">
        <is>
          <t>DB</t>
        </is>
      </c>
      <c r="H34" s="3" t="inlineStr">
        <is>
          <t>API /courses?semester=...</t>
        </is>
      </c>
      <c r="I34" s="3" t="inlineStr">
        <is>
          <t>StudyProgram, consist_of, Course, programDocument</t>
        </is>
      </c>
      <c r="J34" s="3" t="inlineStr">
        <is>
          <t>course list</t>
        </is>
      </c>
      <c r="K34" s="3" t="inlineStr">
        <is>
          <t>Replace placeholders where needed.</t>
        </is>
      </c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</row>
    <row r="35" ht="41.4" customHeight="1">
      <c r="A35" s="3" t="n">
        <v>34</v>
      </c>
      <c r="B35" s="3" t="inlineStr">
        <is>
          <t>program_structure_filtering</t>
        </is>
      </c>
      <c r="C35" s="3" t="inlineStr">
        <is>
          <t>medium</t>
        </is>
      </c>
      <c r="D35" s="3" t="inlineStr">
        <is>
          <t>EN</t>
        </is>
      </c>
      <c r="E35" s="3" t="inlineStr">
        <is>
          <t>Which bachelor programs have 180 ECTS?</t>
        </is>
      </c>
      <c r="F35" s="3" t="inlineStr">
        <is>
          <t>Exact values from DB.</t>
        </is>
      </c>
      <c r="G35" s="3" t="inlineStr">
        <is>
          <t>DB</t>
        </is>
      </c>
      <c r="H35" s="3" t="inlineStr">
        <is>
          <t>API /programs?degree=Bachelor&amp;ects=180</t>
        </is>
      </c>
      <c r="I35" s="3" t="inlineStr">
        <is>
          <t>StudyProgram, consist_of, Course, programDocument</t>
        </is>
      </c>
      <c r="J35" s="3" t="inlineStr">
        <is>
          <t>program list</t>
        </is>
      </c>
      <c r="K35" s="3" t="inlineStr">
        <is>
          <t>Replace placeholders where needed.</t>
        </is>
      </c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</row>
    <row r="36" ht="27.6" customHeight="1">
      <c r="A36" s="3" t="n">
        <v>35</v>
      </c>
      <c r="B36" s="3" t="inlineStr">
        <is>
          <t>rag_document</t>
        </is>
      </c>
      <c r="C36" s="3" t="inlineStr">
        <is>
          <t>hard</t>
        </is>
      </c>
      <c r="D36" s="3" t="inlineStr">
        <is>
          <t>EN</t>
        </is>
      </c>
      <c r="E36" s="3" t="inlineStr">
        <is>
          <t>What does the study plan of History say about electives?</t>
        </is>
      </c>
      <c r="F36" s="3" t="inlineStr">
        <is>
          <t>Answer grounded in retrieved document text with correct source attribution.</t>
        </is>
      </c>
      <c r="G36" s="3" t="inlineStr">
        <is>
          <t>RAG</t>
        </is>
      </c>
      <c r="H36" s="3" t="inlineStr">
        <is>
          <t>RAG over study plan/regulation documents</t>
        </is>
      </c>
      <c r="I36" s="3" t="inlineStr">
        <is>
          <t>PDF/study plan/regulation</t>
        </is>
      </c>
      <c r="J36" s="3" t="inlineStr">
        <is>
          <t>elective rules</t>
        </is>
      </c>
      <c r="K36" s="3" t="inlineStr">
        <is>
          <t>Use for website-RAG vs hybrid fallback comparison.</t>
        </is>
      </c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</row>
    <row r="37" ht="27.6" customHeight="1">
      <c r="A37" s="3" t="n">
        <v>36</v>
      </c>
      <c r="B37" s="3" t="inlineStr">
        <is>
          <t>rag_document</t>
        </is>
      </c>
      <c r="C37" s="3" t="inlineStr">
        <is>
          <t>hard</t>
        </is>
      </c>
      <c r="D37" s="3" t="inlineStr">
        <is>
          <t>EN</t>
        </is>
      </c>
      <c r="E37" s="3" t="inlineStr">
        <is>
          <t>What does the regulation document say about admission requirements for Special Education?</t>
        </is>
      </c>
      <c r="F37" s="3" t="inlineStr">
        <is>
          <t>Answer grounded in retrieved document text with correct source attribution.</t>
        </is>
      </c>
      <c r="G37" s="3" t="inlineStr">
        <is>
          <t>RAG</t>
        </is>
      </c>
      <c r="H37" s="3" t="inlineStr">
        <is>
          <t>RAG over study plan/regulation documents</t>
        </is>
      </c>
      <c r="I37" s="3" t="inlineStr">
        <is>
          <t>PDF/study plan/regulation</t>
        </is>
      </c>
      <c r="J37" s="3" t="inlineStr">
        <is>
          <t>admission requirements</t>
        </is>
      </c>
      <c r="K37" s="3" t="inlineStr">
        <is>
          <t>Use for website-RAG vs hybrid fallback comparison.</t>
        </is>
      </c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</row>
    <row r="38" ht="27.6" customHeight="1">
      <c r="A38" s="3" t="n">
        <v>37</v>
      </c>
      <c r="B38" s="3" t="inlineStr">
        <is>
          <t>rag_document</t>
        </is>
      </c>
      <c r="C38" s="3" t="inlineStr">
        <is>
          <t>hard</t>
        </is>
      </c>
      <c r="D38" s="3" t="inlineStr">
        <is>
          <t>EN</t>
        </is>
      </c>
      <c r="E38" s="3" t="inlineStr">
        <is>
          <t>What does the study plan say about recommended semester structure for Political Science?</t>
        </is>
      </c>
      <c r="F38" s="3" t="inlineStr">
        <is>
          <t>Answer grounded in retrieved document text with correct source attribution.</t>
        </is>
      </c>
      <c r="G38" s="3" t="inlineStr">
        <is>
          <t>RAG</t>
        </is>
      </c>
      <c r="H38" s="3" t="inlineStr">
        <is>
          <t>RAG over study plan/regulation documents</t>
        </is>
      </c>
      <c r="I38" s="3" t="inlineStr">
        <is>
          <t>PDF/study plan/regulation</t>
        </is>
      </c>
      <c r="J38" s="3" t="inlineStr">
        <is>
          <t>semester structure</t>
        </is>
      </c>
      <c r="K38" s="3" t="inlineStr">
        <is>
          <t>Use for website-RAG vs hybrid fallback comparison.</t>
        </is>
      </c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</row>
    <row r="39" ht="27.6" customHeight="1">
      <c r="A39" s="3" t="n">
        <v>38</v>
      </c>
      <c r="B39" s="3" t="inlineStr">
        <is>
          <t>rag_document</t>
        </is>
      </c>
      <c r="C39" s="3" t="inlineStr">
        <is>
          <t>hard</t>
        </is>
      </c>
      <c r="D39" s="3" t="inlineStr">
        <is>
          <t>EN</t>
        </is>
      </c>
      <c r="E39" s="3" t="inlineStr">
        <is>
          <t>What learning outcomes or competencies are described for Communication Studies?</t>
        </is>
      </c>
      <c r="F39" s="3" t="inlineStr">
        <is>
          <t>Answer grounded in retrieved document text with correct source attribution.</t>
        </is>
      </c>
      <c r="G39" s="3" t="inlineStr">
        <is>
          <t>RAG</t>
        </is>
      </c>
      <c r="H39" s="3" t="inlineStr">
        <is>
          <t>RAG over study plan/regulation documents</t>
        </is>
      </c>
      <c r="I39" s="3" t="inlineStr">
        <is>
          <t>PDF/study plan/regulation</t>
        </is>
      </c>
      <c r="J39" s="3" t="inlineStr">
        <is>
          <t>learning outcomes/competencies</t>
        </is>
      </c>
      <c r="K39" s="3" t="inlineStr">
        <is>
          <t>Use for website-RAG vs hybrid fallback comparison.</t>
        </is>
      </c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</row>
    <row r="40" ht="27.6" customHeight="1">
      <c r="A40" s="3" t="n">
        <v>39</v>
      </c>
      <c r="B40" s="3" t="inlineStr">
        <is>
          <t>rag_document</t>
        </is>
      </c>
      <c r="C40" s="3" t="inlineStr">
        <is>
          <t>hard</t>
        </is>
      </c>
      <c r="D40" s="3" t="inlineStr">
        <is>
          <t>EN</t>
        </is>
      </c>
      <c r="E40" s="3" t="inlineStr">
        <is>
          <t>Which examination rules are mentioned in the regulation document for Economics?</t>
        </is>
      </c>
      <c r="F40" s="3" t="inlineStr">
        <is>
          <t>Answer grounded in retrieved document text with correct source attribution.</t>
        </is>
      </c>
      <c r="G40" s="3" t="inlineStr">
        <is>
          <t>RAG</t>
        </is>
      </c>
      <c r="H40" s="3" t="inlineStr">
        <is>
          <t>RAG over study plan/regulation documents</t>
        </is>
      </c>
      <c r="I40" s="3" t="inlineStr">
        <is>
          <t>PDF/study plan/regulation</t>
        </is>
      </c>
      <c r="J40" s="3" t="inlineStr">
        <is>
          <t>exam/regulation rules</t>
        </is>
      </c>
      <c r="K40" s="3" t="inlineStr">
        <is>
          <t>Use for website-RAG vs hybrid fallback comparison.</t>
        </is>
      </c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</row>
    <row r="41" ht="27.6" customHeight="1">
      <c r="A41" s="3" t="n">
        <v>40</v>
      </c>
      <c r="B41" s="3" t="inlineStr">
        <is>
          <t>rag_document</t>
        </is>
      </c>
      <c r="C41" s="3" t="inlineStr">
        <is>
          <t>hard</t>
        </is>
      </c>
      <c r="D41" s="3" t="inlineStr">
        <is>
          <t>EN</t>
        </is>
      </c>
      <c r="E41" s="3" t="inlineStr">
        <is>
          <t>What does the document say about repeating failed exams?</t>
        </is>
      </c>
      <c r="F41" s="3" t="inlineStr">
        <is>
          <t>Answer grounded in retrieved document text with correct source attribution.</t>
        </is>
      </c>
      <c r="G41" s="3" t="inlineStr">
        <is>
          <t>RAG</t>
        </is>
      </c>
      <c r="H41" s="3" t="inlineStr">
        <is>
          <t>RAG over study plan/regulation documents</t>
        </is>
      </c>
      <c r="I41" s="3" t="inlineStr">
        <is>
          <t>PDF/study plan/regulation</t>
        </is>
      </c>
      <c r="J41" s="3" t="inlineStr">
        <is>
          <t>repeat exam rules</t>
        </is>
      </c>
      <c r="K41" s="3" t="inlineStr">
        <is>
          <t>Use for website-RAG vs hybrid fallback comparison.</t>
        </is>
      </c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</row>
    <row r="42" ht="27.6" customHeight="1">
      <c r="A42" s="3" t="n">
        <v>41</v>
      </c>
      <c r="B42" s="3" t="inlineStr">
        <is>
          <t>rag_document</t>
        </is>
      </c>
      <c r="C42" s="3" t="inlineStr">
        <is>
          <t>hard</t>
        </is>
      </c>
      <c r="D42" s="3" t="inlineStr">
        <is>
          <t>EN</t>
        </is>
      </c>
      <c r="E42" s="3" t="inlineStr">
        <is>
          <t>What does the document say about recognition of external credits or mobility?</t>
        </is>
      </c>
      <c r="F42" s="3" t="inlineStr">
        <is>
          <t>Answer grounded in retrieved document text with correct source attribution.</t>
        </is>
      </c>
      <c r="G42" s="3" t="inlineStr">
        <is>
          <t>RAG</t>
        </is>
      </c>
      <c r="H42" s="3" t="inlineStr">
        <is>
          <t>RAG over study plan/regulation documents</t>
        </is>
      </c>
      <c r="I42" s="3" t="inlineStr">
        <is>
          <t>PDF/study plan/regulation</t>
        </is>
      </c>
      <c r="J42" s="3" t="inlineStr">
        <is>
          <t>mobility/credit recognition</t>
        </is>
      </c>
      <c r="K42" s="3" t="inlineStr">
        <is>
          <t>Use for website-RAG vs hybrid fallback comparison.</t>
        </is>
      </c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</row>
    <row r="43" ht="27.6" customHeight="1">
      <c r="A43" s="3" t="n">
        <v>42</v>
      </c>
      <c r="B43" s="3" t="inlineStr">
        <is>
          <t>rag_document</t>
        </is>
      </c>
      <c r="C43" s="3" t="inlineStr">
        <is>
          <t>hard</t>
        </is>
      </c>
      <c r="D43" s="3" t="inlineStr">
        <is>
          <t>EN</t>
        </is>
      </c>
      <c r="E43" s="3" t="inlineStr">
        <is>
          <t>What does the study plan say about choosing minor programs?</t>
        </is>
      </c>
      <c r="F43" s="3" t="inlineStr">
        <is>
          <t>Answer grounded in retrieved document text with correct source attribution.</t>
        </is>
      </c>
      <c r="G43" s="3" t="inlineStr">
        <is>
          <t>RAG</t>
        </is>
      </c>
      <c r="H43" s="3" t="inlineStr">
        <is>
          <t>RAG over study plan/regulation documents</t>
        </is>
      </c>
      <c r="I43" s="3" t="inlineStr">
        <is>
          <t>PDF/study plan/regulation</t>
        </is>
      </c>
      <c r="J43" s="3" t="inlineStr">
        <is>
          <t>minor/elective rules</t>
        </is>
      </c>
      <c r="K43" s="3" t="inlineStr">
        <is>
          <t>Use for website-RAG vs hybrid fallback comparison.</t>
        </is>
      </c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</row>
    <row r="44" ht="41.4" customHeight="1">
      <c r="A44" s="3" t="n">
        <v>43</v>
      </c>
      <c r="B44" s="3" t="inlineStr">
        <is>
          <t>multilingual</t>
        </is>
      </c>
      <c r="C44" s="3" t="inlineStr">
        <is>
          <t>medium</t>
        </is>
      </c>
      <c r="D44" s="3" t="inlineStr">
        <is>
          <t>DE</t>
        </is>
      </c>
      <c r="E44" s="3" t="inlineStr">
        <is>
          <t>Welche Bachelorprogramme kann ich an der Universität Freiburg studieren?</t>
        </is>
      </c>
      <c r="F44" s="3" t="inlineStr">
        <is>
          <t>Same factual answer as the equivalent English/German/French query; response language should match or be appropriate.</t>
        </is>
      </c>
      <c r="G44" s="3" t="inlineStr">
        <is>
          <t>Mixed</t>
        </is>
      </c>
      <c r="H44" s="3" t="inlineStr">
        <is>
          <t>API first, RAG fallback</t>
        </is>
      </c>
      <c r="I44" s="3" t="inlineStr">
        <is>
          <t>DB or PDF source</t>
        </is>
      </c>
      <c r="J44" s="3" t="inlineStr">
        <is>
          <t>program names</t>
        </is>
      </c>
      <c r="K44" s="3" t="inlineStr">
        <is>
          <t>Tests multilingual query understanding and response language consistency.</t>
        </is>
      </c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</row>
    <row r="45" ht="41.4" customHeight="1">
      <c r="A45" s="3" t="n">
        <v>44</v>
      </c>
      <c r="B45" s="3" t="inlineStr">
        <is>
          <t>multilingual</t>
        </is>
      </c>
      <c r="C45" s="3" t="inlineStr">
        <is>
          <t>medium</t>
        </is>
      </c>
      <c r="D45" s="3" t="inlineStr">
        <is>
          <t>DE</t>
        </is>
      </c>
      <c r="E45" s="3" t="inlineStr">
        <is>
          <t>Wie viele ECTS hat UE-L14.02281?</t>
        </is>
      </c>
      <c r="F45" s="3" t="inlineStr">
        <is>
          <t>Same factual answer as the equivalent English/German/French query; response language should match or be appropriate.</t>
        </is>
      </c>
      <c r="G45" s="3" t="inlineStr">
        <is>
          <t>Mixed</t>
        </is>
      </c>
      <c r="H45" s="3" t="inlineStr">
        <is>
          <t>API first, RAG fallback</t>
        </is>
      </c>
      <c r="I45" s="3" t="inlineStr">
        <is>
          <t>DB or PDF source</t>
        </is>
      </c>
      <c r="J45" s="3" t="inlineStr">
        <is>
          <t>ECTS</t>
        </is>
      </c>
      <c r="K45" s="3" t="inlineStr">
        <is>
          <t>Tests multilingual query understanding and response language consistency.</t>
        </is>
      </c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</row>
    <row r="46" ht="41.4" customHeight="1">
      <c r="A46" s="3" t="n">
        <v>45</v>
      </c>
      <c r="B46" s="3" t="inlineStr">
        <is>
          <t>multilingual</t>
        </is>
      </c>
      <c r="C46" s="3" t="inlineStr">
        <is>
          <t>medium</t>
        </is>
      </c>
      <c r="D46" s="3" t="inlineStr">
        <is>
          <t>DE</t>
        </is>
      </c>
      <c r="E46" s="3" t="inlineStr">
        <is>
          <t>Wann findet UE-SME.07105 im FS-2026 statt?</t>
        </is>
      </c>
      <c r="F46" s="3" t="inlineStr">
        <is>
          <t>Same factual answer as the equivalent English/German/French query; response language should match or be appropriate.</t>
        </is>
      </c>
      <c r="G46" s="3" t="inlineStr">
        <is>
          <t>Mixed</t>
        </is>
      </c>
      <c r="H46" s="3" t="inlineStr">
        <is>
          <t>API first, RAG fallback</t>
        </is>
      </c>
      <c r="I46" s="3" t="inlineStr">
        <is>
          <t>DB or PDF source</t>
        </is>
      </c>
      <c r="J46" s="3" t="inlineStr">
        <is>
          <t>date/time</t>
        </is>
      </c>
      <c r="K46" s="3" t="inlineStr">
        <is>
          <t>Tests multilingual query understanding and response language consistency.</t>
        </is>
      </c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</row>
    <row r="47" ht="41.4" customHeight="1">
      <c r="A47" s="3" t="n">
        <v>46</v>
      </c>
      <c r="B47" s="3" t="inlineStr">
        <is>
          <t>multilingual</t>
        </is>
      </c>
      <c r="C47" s="3" t="inlineStr">
        <is>
          <t>medium</t>
        </is>
      </c>
      <c r="D47" s="3" t="inlineStr">
        <is>
          <t>DE</t>
        </is>
      </c>
      <c r="E47" s="3" t="inlineStr">
        <is>
          <t>Welche Kurse sind im Studienprogramm Philosophie obligatorisch?</t>
        </is>
      </c>
      <c r="F47" s="3" t="inlineStr">
        <is>
          <t>Same factual answer as the equivalent English/German/French query; response language should match or be appropriate.</t>
        </is>
      </c>
      <c r="G47" s="3" t="inlineStr">
        <is>
          <t>Mixed</t>
        </is>
      </c>
      <c r="H47" s="3" t="inlineStr">
        <is>
          <t>API first, RAG fallback</t>
        </is>
      </c>
      <c r="I47" s="3" t="inlineStr">
        <is>
          <t>DB or PDF source</t>
        </is>
      </c>
      <c r="J47" s="3" t="inlineStr">
        <is>
          <t>mandatory courses</t>
        </is>
      </c>
      <c r="K47" s="3" t="inlineStr">
        <is>
          <t>Tests multilingual query understanding and response language consistency.</t>
        </is>
      </c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</row>
    <row r="48" ht="41.4" customHeight="1">
      <c r="A48" s="3" t="n">
        <v>47</v>
      </c>
      <c r="B48" s="3" t="inlineStr">
        <is>
          <t>multilingual</t>
        </is>
      </c>
      <c r="C48" s="3" t="inlineStr">
        <is>
          <t>medium</t>
        </is>
      </c>
      <c r="D48" s="3" t="inlineStr">
        <is>
          <t>DE</t>
        </is>
      </c>
      <c r="E48" s="3" t="inlineStr">
        <is>
          <t>Welche Informationen enthält der Studienplan zu Wahlfächern?</t>
        </is>
      </c>
      <c r="F48" s="3" t="inlineStr">
        <is>
          <t>Same factual answer as the equivalent English/German/French query; response language should match or be appropriate.</t>
        </is>
      </c>
      <c r="G48" s="3" t="inlineStr">
        <is>
          <t>Mixed</t>
        </is>
      </c>
      <c r="H48" s="3" t="inlineStr">
        <is>
          <t>API first, RAG fallback</t>
        </is>
      </c>
      <c r="I48" s="3" t="inlineStr">
        <is>
          <t>DB or PDF source</t>
        </is>
      </c>
      <c r="J48" s="3" t="inlineStr">
        <is>
          <t>elective rules</t>
        </is>
      </c>
      <c r="K48" s="3" t="inlineStr">
        <is>
          <t>Tests multilingual query understanding and response language consistency.</t>
        </is>
      </c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</row>
    <row r="49" ht="41.4" customHeight="1">
      <c r="A49" s="3" t="n">
        <v>48</v>
      </c>
      <c r="B49" s="3" t="inlineStr">
        <is>
          <t>multilingual</t>
        </is>
      </c>
      <c r="C49" s="3" t="inlineStr">
        <is>
          <t>medium</t>
        </is>
      </c>
      <c r="D49" s="3" t="inlineStr">
        <is>
          <t>FR</t>
        </is>
      </c>
      <c r="E49" s="3" t="inlineStr">
        <is>
          <t>Quels programmes de bachelor puis-je étudier à l'Université de Fribourg ?</t>
        </is>
      </c>
      <c r="F49" s="3" t="inlineStr">
        <is>
          <t>Same factual answer as the equivalent English/German/French query; response language should match or be appropriate.</t>
        </is>
      </c>
      <c r="G49" s="3" t="inlineStr">
        <is>
          <t>Mixed</t>
        </is>
      </c>
      <c r="H49" s="3" t="inlineStr">
        <is>
          <t>API first, RAG fallback</t>
        </is>
      </c>
      <c r="I49" s="3" t="inlineStr">
        <is>
          <t>DB or PDF source</t>
        </is>
      </c>
      <c r="J49" s="3" t="inlineStr">
        <is>
          <t>program names</t>
        </is>
      </c>
      <c r="K49" s="3" t="inlineStr">
        <is>
          <t>Tests multilingual query understanding and response language consistency.</t>
        </is>
      </c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</row>
    <row r="50" ht="41.4" customHeight="1">
      <c r="A50" s="3" t="n">
        <v>49</v>
      </c>
      <c r="B50" s="3" t="inlineStr">
        <is>
          <t>multilingual</t>
        </is>
      </c>
      <c r="C50" s="3" t="inlineStr">
        <is>
          <t>medium</t>
        </is>
      </c>
      <c r="D50" s="3" t="inlineStr">
        <is>
          <t>FR</t>
        </is>
      </c>
      <c r="E50" s="3" t="inlineStr">
        <is>
          <t>Combien de crédits ECTS vaut UE-DDR.00451?</t>
        </is>
      </c>
      <c r="F50" s="3" t="inlineStr">
        <is>
          <t>Same factual answer as the equivalent English/German/French query; response language should match or be appropriate.</t>
        </is>
      </c>
      <c r="G50" s="3" t="inlineStr">
        <is>
          <t>Mixed</t>
        </is>
      </c>
      <c r="H50" s="3" t="inlineStr">
        <is>
          <t>API first, RAG fallback</t>
        </is>
      </c>
      <c r="I50" s="3" t="inlineStr">
        <is>
          <t>DB or PDF source</t>
        </is>
      </c>
      <c r="J50" s="3" t="inlineStr">
        <is>
          <t>ECTS</t>
        </is>
      </c>
      <c r="K50" s="3" t="inlineStr">
        <is>
          <t>Tests multilingual query understanding and response language consistency.</t>
        </is>
      </c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</row>
    <row r="51" ht="41.4" customHeight="1">
      <c r="A51" s="3" t="n">
        <v>50</v>
      </c>
      <c r="B51" s="3" t="inlineStr">
        <is>
          <t>multilingual</t>
        </is>
      </c>
      <c r="C51" s="3" t="inlineStr">
        <is>
          <t>medium</t>
        </is>
      </c>
      <c r="D51" s="3" t="inlineStr">
        <is>
          <t>FR</t>
        </is>
      </c>
      <c r="E51" s="3" t="inlineStr">
        <is>
          <t>Quand a lieu le cours UE-DDR.00368 pendant HS-2026 ?</t>
        </is>
      </c>
      <c r="F51" s="3" t="inlineStr">
        <is>
          <t>Same factual answer as the equivalent English/German/French query; response language should match or be appropriate.</t>
        </is>
      </c>
      <c r="G51" s="3" t="inlineStr">
        <is>
          <t>Mixed</t>
        </is>
      </c>
      <c r="H51" s="3" t="inlineStr">
        <is>
          <t>API first, RAG fallback</t>
        </is>
      </c>
      <c r="I51" s="3" t="inlineStr">
        <is>
          <t>DB or PDF source</t>
        </is>
      </c>
      <c r="J51" s="3" t="inlineStr">
        <is>
          <t>date/time</t>
        </is>
      </c>
      <c r="K51" s="3" t="inlineStr">
        <is>
          <t>Tests multilingual query understanding and response language consistency.</t>
        </is>
      </c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</row>
    <row r="52" ht="41.4" customHeight="1">
      <c r="A52" s="3" t="n">
        <v>51</v>
      </c>
      <c r="B52" s="3" t="inlineStr">
        <is>
          <t>multilingual</t>
        </is>
      </c>
      <c r="C52" s="3" t="inlineStr">
        <is>
          <t>medium</t>
        </is>
      </c>
      <c r="D52" s="3" t="inlineStr">
        <is>
          <t>FR</t>
        </is>
      </c>
      <c r="E52" s="3" t="inlineStr">
        <is>
          <t>Quels cours sont obligatoires dans le programme Marketing ?</t>
        </is>
      </c>
      <c r="F52" s="3" t="inlineStr">
        <is>
          <t>Same factual answer as the equivalent English/German/French query; response language should match or be appropriate.</t>
        </is>
      </c>
      <c r="G52" s="3" t="inlineStr">
        <is>
          <t>Mixed</t>
        </is>
      </c>
      <c r="H52" s="3" t="inlineStr">
        <is>
          <t>API first, RAG fallback</t>
        </is>
      </c>
      <c r="I52" s="3" t="inlineStr">
        <is>
          <t>DB or PDF source</t>
        </is>
      </c>
      <c r="J52" s="3" t="inlineStr">
        <is>
          <t>mandatory courses</t>
        </is>
      </c>
      <c r="K52" s="3" t="inlineStr">
        <is>
          <t>Tests multilingual query understanding and response language consistency.</t>
        </is>
      </c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</row>
    <row r="53" ht="41.4" customHeight="1">
      <c r="A53" s="3" t="n">
        <v>52</v>
      </c>
      <c r="B53" s="3" t="inlineStr">
        <is>
          <t>multilingual</t>
        </is>
      </c>
      <c r="C53" s="3" t="inlineStr">
        <is>
          <t>medium</t>
        </is>
      </c>
      <c r="D53" s="3" t="inlineStr">
        <is>
          <t>FR</t>
        </is>
      </c>
      <c r="E53" s="3" t="inlineStr">
        <is>
          <t>Que dit le plan d'études sur les cours à option ?</t>
        </is>
      </c>
      <c r="F53" s="3" t="inlineStr">
        <is>
          <t>Same factual answer as the equivalent English/German/French query; response language should match or be appropriate.</t>
        </is>
      </c>
      <c r="G53" s="3" t="inlineStr">
        <is>
          <t>Mixed</t>
        </is>
      </c>
      <c r="H53" s="3" t="inlineStr">
        <is>
          <t>API first, RAG fallback</t>
        </is>
      </c>
      <c r="I53" s="3" t="inlineStr">
        <is>
          <t>DB or PDF source</t>
        </is>
      </c>
      <c r="J53" s="3" t="inlineStr">
        <is>
          <t>elective rules</t>
        </is>
      </c>
      <c r="K53" s="3" t="inlineStr">
        <is>
          <t>Tests multilingual query understanding and response language consistency.</t>
        </is>
      </c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</row>
    <row r="54" ht="41.4" customHeight="1">
      <c r="A54" s="3" t="n">
        <v>53</v>
      </c>
      <c r="B54" s="3" t="inlineStr">
        <is>
          <t>multilingual</t>
        </is>
      </c>
      <c r="C54" s="3" t="inlineStr">
        <is>
          <t>medium</t>
        </is>
      </c>
      <c r="D54" s="3" t="inlineStr">
        <is>
          <t>EN</t>
        </is>
      </c>
      <c r="E54" s="3" t="inlineStr">
        <is>
          <t>What courses are Pflichtkurse in Theological Studies?</t>
        </is>
      </c>
      <c r="F54" s="3" t="inlineStr">
        <is>
          <t>Same factual answer as the equivalent English/German/French query; response language should match or be appropriate.</t>
        </is>
      </c>
      <c r="G54" s="3" t="inlineStr">
        <is>
          <t>Mixed</t>
        </is>
      </c>
      <c r="H54" s="3" t="inlineStr">
        <is>
          <t>API first, RAG fallback</t>
        </is>
      </c>
      <c r="I54" s="3" t="inlineStr">
        <is>
          <t>DB or PDF source</t>
        </is>
      </c>
      <c r="J54" s="3" t="inlineStr">
        <is>
          <t>mandatory courses</t>
        </is>
      </c>
      <c r="K54" s="3" t="inlineStr">
        <is>
          <t>Tests multilingual query understanding and response language consistency.</t>
        </is>
      </c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</row>
    <row r="55" ht="41.4" customHeight="1">
      <c r="A55" s="3" t="n">
        <v>54</v>
      </c>
      <c r="B55" s="3" t="inlineStr">
        <is>
          <t>multilingual</t>
        </is>
      </c>
      <c r="C55" s="3" t="inlineStr">
        <is>
          <t>medium</t>
        </is>
      </c>
      <c r="D55" s="3" t="inlineStr">
        <is>
          <t>EN</t>
        </is>
      </c>
      <c r="E55" s="3" t="inlineStr">
        <is>
          <t>Quels cours in Slavic Studies are electives?</t>
        </is>
      </c>
      <c r="F55" s="3" t="inlineStr">
        <is>
          <t>Same factual answer as the equivalent English/German/French query; response language should match or be appropriate.</t>
        </is>
      </c>
      <c r="G55" s="3" t="inlineStr">
        <is>
          <t>Mixed</t>
        </is>
      </c>
      <c r="H55" s="3" t="inlineStr">
        <is>
          <t>API first, RAG fallback</t>
        </is>
      </c>
      <c r="I55" s="3" t="inlineStr">
        <is>
          <t>DB or PDF source</t>
        </is>
      </c>
      <c r="J55" s="3" t="inlineStr">
        <is>
          <t>elective courses</t>
        </is>
      </c>
      <c r="K55" s="3" t="inlineStr">
        <is>
          <t>Tests multilingual query understanding and response language consistency.</t>
        </is>
      </c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</row>
    <row r="56" ht="41.4" customHeight="1">
      <c r="A56" s="3" t="n">
        <v>55</v>
      </c>
      <c r="B56" s="3" t="inlineStr">
        <is>
          <t>ambiguous</t>
        </is>
      </c>
      <c r="C56" s="3" t="inlineStr">
        <is>
          <t>medium</t>
        </is>
      </c>
      <c r="D56" s="3" t="inlineStr">
        <is>
          <t>EN</t>
        </is>
      </c>
      <c r="E56" s="3" t="inlineStr">
        <is>
          <t>Tell me about the Informatics Bachelor.</t>
        </is>
      </c>
      <c r="F56" s="3" t="inlineStr">
        <is>
          <t>Should provide cautious answer, ask for missing information when needed, and avoid unsupported recommendations.</t>
        </is>
      </c>
      <c r="G56" s="3" t="inlineStr">
        <is>
          <t>Mixed</t>
        </is>
      </c>
      <c r="H56" s="3" t="inlineStr">
        <is>
          <t>API/RAG/clarification</t>
        </is>
      </c>
      <c r="I56" s="3" t="inlineStr">
        <is>
          <t>DB or documents if used</t>
        </is>
      </c>
      <c r="J56" s="3" t="inlineStr">
        <is>
          <t>clarification behavior, no hallucination</t>
        </is>
      </c>
      <c r="K56" s="3" t="inlineStr">
        <is>
          <t>Useful for qualitative analysis.</t>
        </is>
      </c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</row>
    <row r="57" ht="41.4" customHeight="1">
      <c r="A57" s="3" t="n">
        <v>56</v>
      </c>
      <c r="B57" s="3" t="inlineStr">
        <is>
          <t>ambiguous</t>
        </is>
      </c>
      <c r="C57" s="3" t="inlineStr">
        <is>
          <t>medium</t>
        </is>
      </c>
      <c r="D57" s="3" t="inlineStr">
        <is>
          <t>EN</t>
        </is>
      </c>
      <c r="E57" s="3" t="inlineStr">
        <is>
          <t>What should I take in my first semester?</t>
        </is>
      </c>
      <c r="F57" s="3" t="inlineStr">
        <is>
          <t>Should provide cautious answer, ask for missing information when needed, and avoid unsupported recommendations.</t>
        </is>
      </c>
      <c r="G57" s="3" t="inlineStr">
        <is>
          <t>Mixed</t>
        </is>
      </c>
      <c r="H57" s="3" t="inlineStr">
        <is>
          <t>API/RAG/clarification</t>
        </is>
      </c>
      <c r="I57" s="3" t="inlineStr">
        <is>
          <t>DB or documents if used</t>
        </is>
      </c>
      <c r="J57" s="3" t="inlineStr">
        <is>
          <t>clarification behavior, no hallucination</t>
        </is>
      </c>
      <c r="K57" s="3" t="inlineStr">
        <is>
          <t>Useful for qualitative analysis.</t>
        </is>
      </c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</row>
    <row r="58" ht="41.4" customHeight="1">
      <c r="A58" s="3" t="n">
        <v>57</v>
      </c>
      <c r="B58" s="3" t="inlineStr">
        <is>
          <t>ambiguous</t>
        </is>
      </c>
      <c r="C58" s="3" t="inlineStr">
        <is>
          <t>medium</t>
        </is>
      </c>
      <c r="D58" s="3" t="inlineStr">
        <is>
          <t>EN</t>
        </is>
      </c>
      <c r="E58" s="3" t="inlineStr">
        <is>
          <t>Which courses are interesting for AI?</t>
        </is>
      </c>
      <c r="F58" s="3" t="inlineStr">
        <is>
          <t>Should provide cautious answer, ask for missing information when needed, and avoid unsupported recommendations.</t>
        </is>
      </c>
      <c r="G58" s="3" t="inlineStr">
        <is>
          <t>Mixed</t>
        </is>
      </c>
      <c r="H58" s="3" t="inlineStr">
        <is>
          <t>API/RAG/clarification</t>
        </is>
      </c>
      <c r="I58" s="3" t="inlineStr">
        <is>
          <t>DB or documents if used</t>
        </is>
      </c>
      <c r="J58" s="3" t="inlineStr">
        <is>
          <t>clarification behavior, no hallucination</t>
        </is>
      </c>
      <c r="K58" s="3" t="inlineStr">
        <is>
          <t>Useful for qualitative analysis.</t>
        </is>
      </c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</row>
    <row r="59" ht="41.4" customHeight="1">
      <c r="A59" s="3" t="n">
        <v>58</v>
      </c>
      <c r="B59" s="3" t="inlineStr">
        <is>
          <t>ambiguous</t>
        </is>
      </c>
      <c r="C59" s="3" t="inlineStr">
        <is>
          <t>medium</t>
        </is>
      </c>
      <c r="D59" s="3" t="inlineStr">
        <is>
          <t>EN</t>
        </is>
      </c>
      <c r="E59" s="3" t="inlineStr">
        <is>
          <t>I want an easy semester. What courses should I choose?</t>
        </is>
      </c>
      <c r="F59" s="3" t="inlineStr">
        <is>
          <t>Should provide cautious answer, ask for missing information when needed, and avoid unsupported recommendations.</t>
        </is>
      </c>
      <c r="G59" s="3" t="inlineStr">
        <is>
          <t>Mixed</t>
        </is>
      </c>
      <c r="H59" s="3" t="inlineStr">
        <is>
          <t>API/RAG/clarification</t>
        </is>
      </c>
      <c r="I59" s="3" t="inlineStr">
        <is>
          <t>DB or documents if used</t>
        </is>
      </c>
      <c r="J59" s="3" t="inlineStr">
        <is>
          <t>clarification behavior, no hallucination</t>
        </is>
      </c>
      <c r="K59" s="3" t="inlineStr">
        <is>
          <t>Useful for qualitative analysis.</t>
        </is>
      </c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</row>
    <row r="60" ht="41.4" customHeight="1">
      <c r="A60" s="3" t="n">
        <v>59</v>
      </c>
      <c r="B60" s="3" t="inlineStr">
        <is>
          <t>ambiguous</t>
        </is>
      </c>
      <c r="C60" s="3" t="inlineStr">
        <is>
          <t>medium</t>
        </is>
      </c>
      <c r="D60" s="3" t="inlineStr">
        <is>
          <t>EN</t>
        </is>
      </c>
      <c r="E60" s="3" t="inlineStr">
        <is>
          <t>Can I study economics and computer science together?</t>
        </is>
      </c>
      <c r="F60" s="3" t="inlineStr">
        <is>
          <t>Should provide cautious answer, ask for missing information when needed, and avoid unsupported recommendations.</t>
        </is>
      </c>
      <c r="G60" s="3" t="inlineStr">
        <is>
          <t>Mixed</t>
        </is>
      </c>
      <c r="H60" s="3" t="inlineStr">
        <is>
          <t>API/RAG/clarification</t>
        </is>
      </c>
      <c r="I60" s="3" t="inlineStr">
        <is>
          <t>DB or documents if used</t>
        </is>
      </c>
      <c r="J60" s="3" t="inlineStr">
        <is>
          <t>clarification behavior, no hallucination</t>
        </is>
      </c>
      <c r="K60" s="3" t="inlineStr">
        <is>
          <t>Useful for qualitative analysis.</t>
        </is>
      </c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</row>
    <row r="61" ht="41.4" customHeight="1">
      <c r="A61" s="3" t="n">
        <v>60</v>
      </c>
      <c r="B61" s="3" t="inlineStr">
        <is>
          <t>ambiguous</t>
        </is>
      </c>
      <c r="C61" s="3" t="inlineStr">
        <is>
          <t>medium</t>
        </is>
      </c>
      <c r="D61" s="3" t="inlineStr">
        <is>
          <t>EN</t>
        </is>
      </c>
      <c r="E61" s="3" t="inlineStr">
        <is>
          <t>Which program is best for me?</t>
        </is>
      </c>
      <c r="F61" s="3" t="inlineStr">
        <is>
          <t>Should provide cautious answer, ask for missing information when needed, and avoid unsupported recommendations.</t>
        </is>
      </c>
      <c r="G61" s="3" t="inlineStr">
        <is>
          <t>Mixed</t>
        </is>
      </c>
      <c r="H61" s="3" t="inlineStr">
        <is>
          <t>API/RAG/clarification</t>
        </is>
      </c>
      <c r="I61" s="3" t="inlineStr">
        <is>
          <t>DB or documents if used</t>
        </is>
      </c>
      <c r="J61" s="3" t="inlineStr">
        <is>
          <t>clarification behavior, no hallucination</t>
        </is>
      </c>
      <c r="K61" s="3" t="inlineStr">
        <is>
          <t>Useful for qualitative analysis.</t>
        </is>
      </c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</row>
    <row r="62" ht="41.4" customHeight="1">
      <c r="A62" s="3" t="n">
        <v>61</v>
      </c>
      <c r="B62" s="3" t="inlineStr">
        <is>
          <t>ambiguous</t>
        </is>
      </c>
      <c r="C62" s="3" t="inlineStr">
        <is>
          <t>medium</t>
        </is>
      </c>
      <c r="D62" s="3" t="inlineStr">
        <is>
          <t>EN</t>
        </is>
      </c>
      <c r="E62" s="3" t="inlineStr">
        <is>
          <t>Explain UE-F22.00088.</t>
        </is>
      </c>
      <c r="F62" s="3" t="inlineStr">
        <is>
          <t>Should provide cautious answer, ask for missing information when needed, and avoid unsupported recommendations.</t>
        </is>
      </c>
      <c r="G62" s="3" t="inlineStr">
        <is>
          <t>Mixed</t>
        </is>
      </c>
      <c r="H62" s="3" t="inlineStr">
        <is>
          <t>API/RAG/clarification</t>
        </is>
      </c>
      <c r="I62" s="3" t="inlineStr">
        <is>
          <t>DB or documents if used</t>
        </is>
      </c>
      <c r="J62" s="3" t="inlineStr">
        <is>
          <t>clarification behavior, no hallucination</t>
        </is>
      </c>
      <c r="K62" s="3" t="inlineStr">
        <is>
          <t>Useful for qualitative analysis.</t>
        </is>
      </c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</row>
    <row r="63" ht="41.4" customHeight="1">
      <c r="A63" s="3" t="n">
        <v>62</v>
      </c>
      <c r="B63" s="3" t="inlineStr">
        <is>
          <t>ambiguous</t>
        </is>
      </c>
      <c r="C63" s="3" t="inlineStr">
        <is>
          <t>medium</t>
        </is>
      </c>
      <c r="D63" s="3" t="inlineStr">
        <is>
          <t>EN</t>
        </is>
      </c>
      <c r="E63" s="3" t="inlineStr">
        <is>
          <t>What can I study at Unifr?</t>
        </is>
      </c>
      <c r="F63" s="3" t="inlineStr">
        <is>
          <t>Should provide cautious answer, ask for missing information when needed, and avoid unsupported recommendations.</t>
        </is>
      </c>
      <c r="G63" s="3" t="inlineStr">
        <is>
          <t>Mixed</t>
        </is>
      </c>
      <c r="H63" s="3" t="inlineStr">
        <is>
          <t>API/RAG/clarification</t>
        </is>
      </c>
      <c r="I63" s="3" t="inlineStr">
        <is>
          <t>DB or documents if used</t>
        </is>
      </c>
      <c r="J63" s="3" t="inlineStr">
        <is>
          <t>clarification behavior, no hallucination</t>
        </is>
      </c>
      <c r="K63" s="3" t="inlineStr">
        <is>
          <t>Useful for qualitative analysis.</t>
        </is>
      </c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</row>
    <row r="64" ht="27.6" customHeight="1">
      <c r="A64" s="3" t="n">
        <v>63</v>
      </c>
      <c r="B64" s="3" t="inlineStr">
        <is>
          <t>unanswerable</t>
        </is>
      </c>
      <c r="C64" s="3" t="inlineStr">
        <is>
          <t>medium</t>
        </is>
      </c>
      <c r="D64" s="3" t="inlineStr">
        <is>
          <t>EN</t>
        </is>
      </c>
      <c r="E64" s="3" t="inlineStr">
        <is>
          <t>What will the exact schedule of UE-TTH.01524 be in 2030?</t>
        </is>
      </c>
      <c r="F64" s="3" t="inlineStr">
        <is>
          <t>Should explicitly say that the information is not available/cannot be answered from provided data.</t>
        </is>
      </c>
      <c r="G64" s="3" t="inlineStr">
        <is>
          <t>None</t>
        </is>
      </c>
      <c r="H64" s="3" t="inlineStr">
        <is>
          <t>No tool or explicit fallback no-answer</t>
        </is>
      </c>
      <c r="I64" s="3" t="inlineStr">
        <is>
          <t>N/A</t>
        </is>
      </c>
      <c r="J64" s="3" t="inlineStr">
        <is>
          <t>safe refusal / no-answer behavior</t>
        </is>
      </c>
      <c r="K64" s="3" t="inlineStr">
        <is>
          <t>Critical for hallucination rate.</t>
        </is>
      </c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</row>
    <row r="65" ht="27.6" customHeight="1">
      <c r="A65" s="3" t="n">
        <v>64</v>
      </c>
      <c r="B65" s="3" t="inlineStr">
        <is>
          <t>unanswerable</t>
        </is>
      </c>
      <c r="C65" s="3" t="inlineStr">
        <is>
          <t>medium</t>
        </is>
      </c>
      <c r="D65" s="3" t="inlineStr">
        <is>
          <t>EN</t>
        </is>
      </c>
      <c r="E65" s="3" t="inlineStr">
        <is>
          <t>Which professor is the best teacher for UE-DDR.02408?</t>
        </is>
      </c>
      <c r="F65" s="3" t="inlineStr">
        <is>
          <t>Should explicitly say that the information is not available/cannot be answered from provided data.</t>
        </is>
      </c>
      <c r="G65" s="3" t="inlineStr">
        <is>
          <t>None</t>
        </is>
      </c>
      <c r="H65" s="3" t="inlineStr">
        <is>
          <t>No tool or explicit fallback no-answer</t>
        </is>
      </c>
      <c r="I65" s="3" t="inlineStr">
        <is>
          <t>N/A</t>
        </is>
      </c>
      <c r="J65" s="3" t="inlineStr">
        <is>
          <t>safe refusal / no-answer behavior</t>
        </is>
      </c>
      <c r="K65" s="3" t="inlineStr">
        <is>
          <t>Critical for hallucination rate.</t>
        </is>
      </c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</row>
    <row r="66" ht="27.6" customHeight="1">
      <c r="A66" s="3" t="n">
        <v>65</v>
      </c>
      <c r="B66" s="3" t="inlineStr">
        <is>
          <t>unanswerable</t>
        </is>
      </c>
      <c r="C66" s="3" t="inlineStr">
        <is>
          <t>medium</t>
        </is>
      </c>
      <c r="D66" s="3" t="inlineStr">
        <is>
          <t>EN</t>
        </is>
      </c>
      <c r="E66" s="3" t="inlineStr">
        <is>
          <t>What grade will I get if I take UE-L06.01393	?</t>
        </is>
      </c>
      <c r="F66" s="3" t="inlineStr">
        <is>
          <t>Should explicitly say that the information is not available/cannot be answered from provided data.</t>
        </is>
      </c>
      <c r="G66" s="3" t="inlineStr">
        <is>
          <t>None</t>
        </is>
      </c>
      <c r="H66" s="3" t="inlineStr">
        <is>
          <t>No tool or explicit fallback no-answer</t>
        </is>
      </c>
      <c r="I66" s="3" t="inlineStr">
        <is>
          <t>N/A</t>
        </is>
      </c>
      <c r="J66" s="3" t="inlineStr">
        <is>
          <t>safe refusal / no-answer behavior</t>
        </is>
      </c>
      <c r="K66" s="3" t="inlineStr">
        <is>
          <t>Critical for hallucination rate.</t>
        </is>
      </c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</row>
    <row r="67" ht="27.6" customHeight="1">
      <c r="A67" s="3" t="n">
        <v>66</v>
      </c>
      <c r="B67" s="3" t="inlineStr">
        <is>
          <t>unanswerable</t>
        </is>
      </c>
      <c r="C67" s="3" t="inlineStr">
        <is>
          <t>medium</t>
        </is>
      </c>
      <c r="D67" s="3" t="inlineStr">
        <is>
          <t>EN</t>
        </is>
      </c>
      <c r="E67" s="3" t="inlineStr">
        <is>
          <t>Does Greek Studies guarantee a job at Google?</t>
        </is>
      </c>
      <c r="F67" s="3" t="inlineStr">
        <is>
          <t>Should explicitly say that the information is not available/cannot be answered from provided data.</t>
        </is>
      </c>
      <c r="G67" s="3" t="inlineStr">
        <is>
          <t>None</t>
        </is>
      </c>
      <c r="H67" s="3" t="inlineStr">
        <is>
          <t>No tool or explicit fallback no-answer</t>
        </is>
      </c>
      <c r="I67" s="3" t="inlineStr">
        <is>
          <t>N/A</t>
        </is>
      </c>
      <c r="J67" s="3" t="inlineStr">
        <is>
          <t>safe refusal / no-answer behavior</t>
        </is>
      </c>
      <c r="K67" s="3" t="inlineStr">
        <is>
          <t>Critical for hallucination rate.</t>
        </is>
      </c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</row>
    <row r="68" ht="27.6" customHeight="1">
      <c r="A68" s="3" t="n">
        <v>67</v>
      </c>
      <c r="B68" s="3" t="inlineStr">
        <is>
          <t>unanswerable</t>
        </is>
      </c>
      <c r="C68" s="3" t="inlineStr">
        <is>
          <t>medium</t>
        </is>
      </c>
      <c r="D68" s="3" t="inlineStr">
        <is>
          <t>EN</t>
        </is>
      </c>
      <c r="E68" s="3" t="inlineStr">
        <is>
          <t>Does UE-SIN.01021 include a hidden prerequisite that is not listed anywhere?</t>
        </is>
      </c>
      <c r="F68" s="3" t="inlineStr">
        <is>
          <t>Should explicitly say that the information is not available/cannot be answered from provided data.</t>
        </is>
      </c>
      <c r="G68" s="3" t="inlineStr">
        <is>
          <t>None</t>
        </is>
      </c>
      <c r="H68" s="3" t="inlineStr">
        <is>
          <t>No tool or explicit fallback no-answer</t>
        </is>
      </c>
      <c r="I68" s="3" t="inlineStr">
        <is>
          <t>N/A</t>
        </is>
      </c>
      <c r="J68" s="3" t="inlineStr">
        <is>
          <t>safe refusal / no-answer behavior</t>
        </is>
      </c>
      <c r="K68" s="3" t="inlineStr">
        <is>
          <t>Critical for hallucination rate.</t>
        </is>
      </c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</row>
    <row r="69" ht="27.6" customHeight="1">
      <c r="A69" s="3" t="n">
        <v>68</v>
      </c>
      <c r="B69" s="3" t="inlineStr">
        <is>
          <t>unanswerable</t>
        </is>
      </c>
      <c r="C69" s="3" t="inlineStr">
        <is>
          <t>medium</t>
        </is>
      </c>
      <c r="D69" s="3" t="inlineStr">
        <is>
          <t>EN</t>
        </is>
      </c>
      <c r="E69" s="3" t="inlineStr">
        <is>
          <t>Can I ignore all prerequisites if I ask the professor nicely?</t>
        </is>
      </c>
      <c r="F69" s="3" t="inlineStr">
        <is>
          <t>Should explicitly say that the information is not available/cannot be answered from provided data.</t>
        </is>
      </c>
      <c r="G69" s="3" t="inlineStr">
        <is>
          <t>None</t>
        </is>
      </c>
      <c r="H69" s="3" t="inlineStr">
        <is>
          <t>No tool or explicit fallback no-answer</t>
        </is>
      </c>
      <c r="I69" s="3" t="inlineStr">
        <is>
          <t>N/A</t>
        </is>
      </c>
      <c r="J69" s="3" t="inlineStr">
        <is>
          <t>safe refusal / no-answer behavior</t>
        </is>
      </c>
      <c r="K69" s="3" t="inlineStr">
        <is>
          <t>Critical for hallucination rate.</t>
        </is>
      </c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</row>
    <row r="70" ht="27.6" customHeight="1">
      <c r="A70" s="3" t="n">
        <v>69</v>
      </c>
      <c r="B70" s="3" t="inlineStr">
        <is>
          <t>unanswerable</t>
        </is>
      </c>
      <c r="C70" s="3" t="inlineStr">
        <is>
          <t>medium</t>
        </is>
      </c>
      <c r="D70" s="3" t="inlineStr">
        <is>
          <t>EN</t>
        </is>
      </c>
      <c r="E70" s="3" t="inlineStr">
        <is>
          <t>Which course has the highest student satisfaction rating?</t>
        </is>
      </c>
      <c r="F70" s="3" t="inlineStr">
        <is>
          <t>Should explicitly say that the information is not available/cannot be answered from provided data.</t>
        </is>
      </c>
      <c r="G70" s="3" t="inlineStr">
        <is>
          <t>None</t>
        </is>
      </c>
      <c r="H70" s="3" t="inlineStr">
        <is>
          <t>No tool or explicit fallback no-answer</t>
        </is>
      </c>
      <c r="I70" s="3" t="inlineStr">
        <is>
          <t>N/A</t>
        </is>
      </c>
      <c r="J70" s="3" t="inlineStr">
        <is>
          <t>safe refusal / no-answer behavior</t>
        </is>
      </c>
      <c r="K70" s="3" t="inlineStr">
        <is>
          <t>Critical for hallucination rate.</t>
        </is>
      </c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</row>
    <row r="71" ht="27.6" customHeight="1">
      <c r="A71" s="3" t="n">
        <v>70</v>
      </c>
      <c r="B71" s="3" t="inlineStr">
        <is>
          <t>unanswerable</t>
        </is>
      </c>
      <c r="C71" s="3" t="inlineStr">
        <is>
          <t>medium</t>
        </is>
      </c>
      <c r="D71" s="3" t="inlineStr">
        <is>
          <t>EN</t>
        </is>
      </c>
      <c r="E71" s="3" t="inlineStr">
        <is>
          <t>Does Unifr offer a mandatory course on quantum dragon theory?</t>
        </is>
      </c>
      <c r="F71" s="3" t="inlineStr">
        <is>
          <t>Should explicitly say that the information is not available/cannot be answered from provided data.</t>
        </is>
      </c>
      <c r="G71" s="3" t="inlineStr">
        <is>
          <t>None</t>
        </is>
      </c>
      <c r="H71" s="3" t="inlineStr">
        <is>
          <t>No tool or explicit fallback no-answer</t>
        </is>
      </c>
      <c r="I71" s="3" t="inlineStr">
        <is>
          <t>N/A</t>
        </is>
      </c>
      <c r="J71" s="3" t="inlineStr">
        <is>
          <t>safe refusal / no-answer behavior</t>
        </is>
      </c>
      <c r="K71" s="3" t="inlineStr">
        <is>
          <t>Critical for hallucination rate.</t>
        </is>
      </c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</row>
    <row r="72" ht="27.6" customHeight="1">
      <c r="A72" s="3" t="n">
        <v>71</v>
      </c>
      <c r="B72" s="3" t="inlineStr">
        <is>
          <t>unanswerable</t>
        </is>
      </c>
      <c r="C72" s="3" t="inlineStr">
        <is>
          <t>medium</t>
        </is>
      </c>
      <c r="D72" s="3" t="inlineStr">
        <is>
          <t>EN</t>
        </is>
      </c>
      <c r="E72" s="3" t="inlineStr">
        <is>
          <t>What is the private phone number of the professor teaching UE-L40.00087?</t>
        </is>
      </c>
      <c r="F72" s="3" t="inlineStr">
        <is>
          <t>Should explicitly say that the information is not available/cannot be answered from provided data.</t>
        </is>
      </c>
      <c r="G72" s="3" t="inlineStr">
        <is>
          <t>None</t>
        </is>
      </c>
      <c r="H72" s="3" t="inlineStr">
        <is>
          <t>No tool or explicit fallback no-answer</t>
        </is>
      </c>
      <c r="I72" s="3" t="inlineStr">
        <is>
          <t>N/A</t>
        </is>
      </c>
      <c r="J72" s="3" t="inlineStr">
        <is>
          <t>safe refusal / no-answer behavior</t>
        </is>
      </c>
      <c r="K72" s="3" t="inlineStr">
        <is>
          <t>Critical for hallucination rate.</t>
        </is>
      </c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</row>
    <row r="73" ht="27.6" customHeight="1">
      <c r="A73" s="3" t="n">
        <v>72</v>
      </c>
      <c r="B73" s="3" t="inlineStr">
        <is>
          <t>unanswerable</t>
        </is>
      </c>
      <c r="C73" s="3" t="inlineStr">
        <is>
          <t>medium</t>
        </is>
      </c>
      <c r="D73" s="3" t="inlineStr">
        <is>
          <t>EN</t>
        </is>
      </c>
      <c r="E73" s="3" t="inlineStr">
        <is>
          <t>Can you invent a valid study plan if the data is missing?</t>
        </is>
      </c>
      <c r="F73" s="3" t="inlineStr">
        <is>
          <t>Should explicitly say that the information is not available/cannot be answered from provided data.</t>
        </is>
      </c>
      <c r="G73" s="3" t="inlineStr">
        <is>
          <t>None</t>
        </is>
      </c>
      <c r="H73" s="3" t="inlineStr">
        <is>
          <t>No tool or explicit fallback no-answer</t>
        </is>
      </c>
      <c r="I73" s="3" t="inlineStr">
        <is>
          <t>N/A</t>
        </is>
      </c>
      <c r="J73" s="3" t="inlineStr">
        <is>
          <t>safe refusal / no-answer behavior</t>
        </is>
      </c>
      <c r="K73" s="3" t="inlineStr">
        <is>
          <t>Critical for hallucination rate.</t>
        </is>
      </c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</row>
    <row r="74" ht="27.6" customHeight="1">
      <c r="A74" s="3" t="n">
        <v>73</v>
      </c>
      <c r="B74" s="3" t="inlineStr">
        <is>
          <t>planning_reasoning</t>
        </is>
      </c>
      <c r="C74" s="3" t="inlineStr">
        <is>
          <t>hard</t>
        </is>
      </c>
      <c r="D74" s="3" t="inlineStr">
        <is>
          <t>EN</t>
        </is>
      </c>
      <c r="E74" s="3" t="inlineStr">
        <is>
          <t>Can I combine UE-F22.00173 and UE-TTH.01205 in HS-2026, or do they overlap?</t>
        </is>
      </c>
      <c r="F74" s="3" t="inlineStr">
        <is>
          <t>Answer should combine structured data correctly and clearly state limitations.</t>
        </is>
      </c>
      <c r="G74" s="3" t="inlineStr">
        <is>
          <t>DB</t>
        </is>
      </c>
      <c r="H74" s="3" t="inlineStr">
        <is>
          <t>Planner/API endpoints; RAG only for extra rules</t>
        </is>
      </c>
      <c r="I74" s="3" t="inlineStr">
        <is>
          <t>DB tables + possibly study plan</t>
        </is>
      </c>
      <c r="J74" s="3" t="inlineStr">
        <is>
          <t>reasoning over multiple records; time conflict yes/no + evidence</t>
        </is>
      </c>
      <c r="K74" s="3" t="inlineStr">
        <is>
          <t>Only include if your backend supports enough data.</t>
        </is>
      </c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</row>
    <row r="75" ht="27.6" customHeight="1">
      <c r="A75" s="3" t="n">
        <v>74</v>
      </c>
      <c r="B75" s="3" t="inlineStr">
        <is>
          <t>planning_reasoning</t>
        </is>
      </c>
      <c r="C75" s="3" t="inlineStr">
        <is>
          <t>hard</t>
        </is>
      </c>
      <c r="D75" s="3" t="inlineStr">
        <is>
          <t>EN</t>
        </is>
      </c>
      <c r="E75" s="3" t="inlineStr">
        <is>
          <t>Can I create a semester plan with about 30 ECTS from Archaeology for FS-2026?</t>
        </is>
      </c>
      <c r="F75" s="3" t="inlineStr">
        <is>
          <t>Answer should combine structured data correctly and clearly state limitations.</t>
        </is>
      </c>
      <c r="G75" s="3" t="inlineStr">
        <is>
          <t>DB</t>
        </is>
      </c>
      <c r="H75" s="3" t="inlineStr">
        <is>
          <t>Planner/API endpoints; RAG only for extra rules</t>
        </is>
      </c>
      <c r="I75" s="3" t="inlineStr">
        <is>
          <t>DB tables + possibly study plan</t>
        </is>
      </c>
      <c r="J75" s="3" t="inlineStr">
        <is>
          <t>reasoning over multiple records; course combination + ECTS total</t>
        </is>
      </c>
      <c r="K75" s="3" t="inlineStr">
        <is>
          <t>Only include if your backend supports enough data.</t>
        </is>
      </c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</row>
    <row r="76" ht="27.6" customHeight="1">
      <c r="A76" s="3" t="n">
        <v>75</v>
      </c>
      <c r="B76" s="3" t="inlineStr">
        <is>
          <t>planning_reasoning</t>
        </is>
      </c>
      <c r="C76" s="3" t="inlineStr">
        <is>
          <t>hard</t>
        </is>
      </c>
      <c r="D76" s="3" t="inlineStr">
        <is>
          <t>EN</t>
        </is>
      </c>
      <c r="E76" s="3" t="inlineStr">
        <is>
          <t>Which available courses from Spanish fit into a 12 ECTS workload?</t>
        </is>
      </c>
      <c r="F76" s="3" t="inlineStr">
        <is>
          <t>Answer should combine structured data correctly and clearly state limitations.</t>
        </is>
      </c>
      <c r="G76" s="3" t="inlineStr">
        <is>
          <t>DB</t>
        </is>
      </c>
      <c r="H76" s="3" t="inlineStr">
        <is>
          <t>Planner/API endpoints; RAG only for extra rules</t>
        </is>
      </c>
      <c r="I76" s="3" t="inlineStr">
        <is>
          <t>DB tables + possibly study plan</t>
        </is>
      </c>
      <c r="J76" s="3" t="inlineStr">
        <is>
          <t>reasoning over multiple records; course combinations</t>
        </is>
      </c>
      <c r="K76" s="3" t="inlineStr">
        <is>
          <t>Only include if your backend supports enough data.</t>
        </is>
      </c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</row>
    <row r="77" ht="27.6" customHeight="1">
      <c r="A77" s="3" t="n">
        <v>76</v>
      </c>
      <c r="B77" s="3" t="inlineStr">
        <is>
          <t>planning_reasoning</t>
        </is>
      </c>
      <c r="C77" s="3" t="inlineStr">
        <is>
          <t>hard</t>
        </is>
      </c>
      <c r="D77" s="3" t="inlineStr">
        <is>
          <t>EN</t>
        </is>
      </c>
      <c r="E77" s="3" t="inlineStr">
        <is>
          <t>Which mandatory courses from Italian are offered in FS-2026?</t>
        </is>
      </c>
      <c r="F77" s="3" t="inlineStr">
        <is>
          <t>Answer should combine structured data correctly and clearly state limitations.</t>
        </is>
      </c>
      <c r="G77" s="3" t="inlineStr">
        <is>
          <t>DB</t>
        </is>
      </c>
      <c r="H77" s="3" t="inlineStr">
        <is>
          <t>Planner/API endpoints; RAG only for extra rules</t>
        </is>
      </c>
      <c r="I77" s="3" t="inlineStr">
        <is>
          <t>DB tables + possibly study plan</t>
        </is>
      </c>
      <c r="J77" s="3" t="inlineStr">
        <is>
          <t>reasoning over multiple records; filtered mandatory courses</t>
        </is>
      </c>
      <c r="K77" s="3" t="inlineStr">
        <is>
          <t>Only include if your backend supports enough data.</t>
        </is>
      </c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</row>
    <row r="78" ht="27.6" customHeight="1">
      <c r="A78" s="3" t="n">
        <v>77</v>
      </c>
      <c r="B78" s="3" t="inlineStr">
        <is>
          <t>planning_reasoning</t>
        </is>
      </c>
      <c r="C78" s="3" t="inlineStr">
        <is>
          <t>hard</t>
        </is>
      </c>
      <c r="D78" s="3" t="inlineStr">
        <is>
          <t>EN</t>
        </is>
      </c>
      <c r="E78" s="3" t="inlineStr">
        <is>
          <t>Which courses from French are available without known schedule conflicts on Tuesday?</t>
        </is>
      </c>
      <c r="F78" s="3" t="inlineStr">
        <is>
          <t>Answer should combine structured data correctly and clearly state limitations.</t>
        </is>
      </c>
      <c r="G78" s="3" t="inlineStr">
        <is>
          <t>DB</t>
        </is>
      </c>
      <c r="H78" s="3" t="inlineStr">
        <is>
          <t>Planner/API endpoints; RAG only for extra rules</t>
        </is>
      </c>
      <c r="I78" s="3" t="inlineStr">
        <is>
          <t>DB tables + possibly study plan</t>
        </is>
      </c>
      <c r="J78" s="3" t="inlineStr">
        <is>
          <t>reasoning over multiple records; filtered course list</t>
        </is>
      </c>
      <c r="K78" s="3" t="inlineStr">
        <is>
          <t>Only include if your backend supports enough data.</t>
        </is>
      </c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</row>
    <row r="79" ht="27.6" customHeight="1">
      <c r="A79" s="3" t="n">
        <v>78</v>
      </c>
      <c r="B79" s="3" t="inlineStr">
        <is>
          <t>planning_reasoning</t>
        </is>
      </c>
      <c r="C79" s="3" t="inlineStr">
        <is>
          <t>hard</t>
        </is>
      </c>
      <c r="D79" s="3" t="inlineStr">
        <is>
          <t>EN</t>
        </is>
      </c>
      <c r="E79" s="3" t="inlineStr">
        <is>
          <t>If I already completed UE-DDR.02748, what related courses could I take next?</t>
        </is>
      </c>
      <c r="F79" s="3" t="inlineStr">
        <is>
          <t>Answer should combine structured data correctly and clearly state limitations.</t>
        </is>
      </c>
      <c r="G79" s="3" t="inlineStr">
        <is>
          <t>DB</t>
        </is>
      </c>
      <c r="H79" s="3" t="inlineStr">
        <is>
          <t>Planner/API endpoints; RAG only for extra rules</t>
        </is>
      </c>
      <c r="I79" s="3" t="inlineStr">
        <is>
          <t>DB tables + possibly study plan</t>
        </is>
      </c>
      <c r="J79" s="3" t="inlineStr">
        <is>
          <t>reasoning over multiple records; cautious suggestion + evidence</t>
        </is>
      </c>
      <c r="K79" s="3" t="inlineStr">
        <is>
          <t>Only include if your backend supports enough data.</t>
        </is>
      </c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</row>
  </sheetData>
  <conditionalFormatting sqref="M2:M79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N2:N79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O2:O79">
    <cfRule type="colorScale" priority="10">
      <colorScale>
        <cfvo type="min"/>
        <cfvo type="max"/>
        <color rgb="FFD9EAD3"/>
        <color rgb="FFF4CCCC"/>
      </colorScale>
    </cfRule>
  </conditionalFormatting>
  <conditionalFormatting sqref="P2:P79">
    <cfRule type="colorScale" priority="3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T2:T79">
    <cfRule type="colorScale" priority="4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U2:U79">
    <cfRule type="colorScale" priority="5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V2:V79">
    <cfRule type="colorScale" priority="11">
      <colorScale>
        <cfvo type="min"/>
        <cfvo type="max"/>
        <color rgb="FFD9EAD3"/>
        <color rgb="FFF4CCCC"/>
      </colorScale>
    </cfRule>
  </conditionalFormatting>
  <conditionalFormatting sqref="W2:W79">
    <cfRule type="colorScale" priority="6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AA2:AA79">
    <cfRule type="colorScale" priority="7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AB2:AB79">
    <cfRule type="colorScale" priority="8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AC2:AC79">
    <cfRule type="colorScale" priority="12">
      <colorScale>
        <cfvo type="min"/>
        <cfvo type="max"/>
        <color rgb="FFD9EAD3"/>
        <color rgb="FFF4CCCC"/>
      </colorScale>
    </cfRule>
  </conditionalFormatting>
  <conditionalFormatting sqref="AD2:AD79">
    <cfRule type="colorScale" priority="9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6">
    <dataValidation sqref="C2:C79" showDropDown="0" showInputMessage="0" showErrorMessage="0" allowBlank="0" type="list">
      <formula1>"easy,medium,hard"</formula1>
    </dataValidation>
    <dataValidation sqref="D2:D79" showDropDown="0" showInputMessage="0" showErrorMessage="0" allowBlank="0" type="list">
      <formula1>"EN,DE,FR,mixed"</formula1>
    </dataValidation>
    <dataValidation sqref="G2:G79" showDropDown="0" showInputMessage="0" showErrorMessage="0" allowBlank="0" type="list">
      <formula1>"DB,RAG,Mixed,None"</formula1>
    </dataValidation>
    <dataValidation sqref="M2:N79 P2:P79 T2:U79 W2:W79 AA2:AB79 AD2:AD79" showDropDown="0" showInputMessage="0" showErrorMessage="0" allowBlank="0" type="list">
      <formula1>"0,1,2"</formula1>
    </dataValidation>
    <dataValidation sqref="O2:O79 V2:V79 AC2:AC79" showDropDown="0" showInputMessage="0" showErrorMessage="0" allowBlank="0" type="list">
      <formula1>"0,1"</formula1>
    </dataValidation>
    <dataValidation sqref="AF2:AF79" showDropDown="0" showInputMessage="0" showErrorMessage="0" allowBlank="0" type="list">
      <formula1>"api,rag,hybrid,none,clarification,error"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10" defaultColWidth="8.796875" defaultRowHeight="13.8"/>
  <cols>
    <col width="22" customWidth="1" min="1" max="5"/>
    <col width="20" customWidth="1" min="6" max="8"/>
  </cols>
  <sheetData>
    <row r="1">
      <c r="A1" s="1" t="inlineStr">
        <is>
          <t>System</t>
        </is>
      </c>
      <c r="B1" s="1" t="inlineStr">
        <is>
          <t>Answered count</t>
        </is>
      </c>
      <c r="C1" s="1" t="inlineStr">
        <is>
          <t>Avg correctness</t>
        </is>
      </c>
      <c r="D1" s="1" t="inlineStr">
        <is>
          <t>Avg faithfulness</t>
        </is>
      </c>
      <c r="E1" s="1" t="inlineStr">
        <is>
          <t>Hallucination rate</t>
        </is>
      </c>
      <c r="F1" s="1" t="inlineStr">
        <is>
          <t>Avg language</t>
        </is>
      </c>
      <c r="G1" s="1" t="inlineStr">
        <is>
          <t>Avg time ms</t>
        </is>
      </c>
      <c r="H1" s="1" t="inlineStr">
        <is>
          <t>Error count</t>
        </is>
      </c>
    </row>
    <row r="2">
      <c r="A2" t="inlineStr">
        <is>
          <t>Non-RAG</t>
        </is>
      </c>
      <c r="B2">
        <f>COUNTA(EvaluationTable[nonrag_answer])</f>
        <v/>
      </c>
      <c r="C2" s="8">
        <f>IFERROR(AVERAGE(EvaluationTable[nonrag_correctness_0_2]),"")</f>
        <v/>
      </c>
      <c r="D2" s="8">
        <f>IFERROR(AVERAGE(EvaluationTable[nonrag_faithfulness_0_2]),"")</f>
        <v/>
      </c>
      <c r="E2" s="8">
        <f>IFERROR(AVERAGE(EvaluationTable[nonrag_hallucination_0_1]),"")</f>
        <v/>
      </c>
      <c r="F2" s="8">
        <f>IFERROR(AVERAGE(EvaluationTable[nonrag_language_0_2]),"")</f>
        <v/>
      </c>
      <c r="G2" s="9">
        <f>IFERROR(AVERAGE(EvaluationTable[nonrag_time_ms]),"")</f>
        <v/>
      </c>
      <c r="H2">
        <f>COUNTIF(EvaluationTable[nonrag_error],"&lt;&gt;")</f>
        <v/>
      </c>
    </row>
    <row r="3">
      <c r="A3" t="inlineStr">
        <is>
          <t>Website-RAG</t>
        </is>
      </c>
      <c r="B3">
        <f>COUNTA(EvaluationTable[webrag_answer])</f>
        <v/>
      </c>
      <c r="C3" s="8">
        <f>IFERROR(AVERAGE(EvaluationTable[webrag_correctness_0_2]),"")</f>
        <v/>
      </c>
      <c r="D3" s="8">
        <f>IFERROR(AVERAGE(EvaluationTable[webrag_faithfulness_0_2]),"")</f>
        <v/>
      </c>
      <c r="E3" s="8">
        <f>IFERROR(AVERAGE(EvaluationTable[webrag_hallucination_0_1]),"")</f>
        <v/>
      </c>
      <c r="F3" s="8">
        <f>IFERROR(AVERAGE(EvaluationTable[webrag_language_0_2]),"")</f>
        <v/>
      </c>
      <c r="G3" s="9">
        <f>IFERROR(AVERAGE(EvaluationTable[webrag_time_ms]),"")</f>
        <v/>
      </c>
      <c r="H3">
        <f>COUNTIF(EvaluationTable[webrag_error],"&lt;&gt;")</f>
        <v/>
      </c>
    </row>
    <row r="4">
      <c r="A4" t="inlineStr">
        <is>
          <t>Hybrid</t>
        </is>
      </c>
      <c r="B4">
        <f>COUNTA(EvaluationTable[hybrid_answer])</f>
        <v/>
      </c>
      <c r="C4" s="8">
        <f>IFERROR(AVERAGE(EvaluationTable[hybrid_correctness_0_2]),"")</f>
        <v/>
      </c>
      <c r="D4" s="8">
        <f>IFERROR(AVERAGE(EvaluationTable[hybrid_faithfulness_0_2]),"")</f>
        <v/>
      </c>
      <c r="E4" s="8">
        <f>IFERROR(AVERAGE(EvaluationTable[hybrid_hallucination_0_1]),"")</f>
        <v/>
      </c>
      <c r="F4" s="8">
        <f>IFERROR(AVERAGE(EvaluationTable[hybrid_language_0_2]),"")</f>
        <v/>
      </c>
      <c r="G4" s="9">
        <f>IFERROR(AVERAGE(EvaluationTable[hybrid_time_ms]),"")</f>
        <v/>
      </c>
      <c r="H4">
        <f>COUNTIF(EvaluationTable[hybrid_error],"&lt;&gt;")</f>
        <v/>
      </c>
    </row>
    <row r="7">
      <c r="A7" s="4" t="inlineStr">
        <is>
          <t>Category</t>
        </is>
      </c>
      <c r="B7" s="4" t="inlineStr">
        <is>
          <t>Question count</t>
        </is>
      </c>
      <c r="C7" s="4" t="inlineStr">
        <is>
          <t>DB</t>
        </is>
      </c>
      <c r="D7" s="4" t="inlineStr">
        <is>
          <t>RAG</t>
        </is>
      </c>
      <c r="E7" s="4" t="inlineStr">
        <is>
          <t>Mixed/None</t>
        </is>
      </c>
    </row>
    <row r="8">
      <c r="A8" t="inlineStr">
        <is>
          <t>ambiguous</t>
        </is>
      </c>
      <c r="B8">
        <f>COUNTIF(EvaluationTable[category],A8)</f>
        <v/>
      </c>
      <c r="C8">
        <f>COUNTIFS(EvaluationTable[category],A8,EvaluationTable[source_of_truth],"DB")</f>
        <v/>
      </c>
      <c r="D8">
        <f>COUNTIFS(EvaluationTable[category],A8,EvaluationTable[source_of_truth],"RAG")</f>
        <v/>
      </c>
      <c r="E8">
        <f>COUNTIFS(EvaluationTable[category],A8,EvaluationTable[source_of_truth],"Mixed")+COUNTIFS(EvaluationTable[category],A8,EvaluationTable[source_of_truth],"None")</f>
        <v/>
      </c>
    </row>
    <row r="9">
      <c r="A9" t="inlineStr">
        <is>
          <t>course_facts</t>
        </is>
      </c>
      <c r="B9">
        <f>COUNTIF(EvaluationTable[category],A9)</f>
        <v/>
      </c>
      <c r="C9">
        <f>COUNTIFS(EvaluationTable[category],A9,EvaluationTable[source_of_truth],"DB")</f>
        <v/>
      </c>
      <c r="D9">
        <f>COUNTIFS(EvaluationTable[category],A9,EvaluationTable[source_of_truth],"RAG")</f>
        <v/>
      </c>
      <c r="E9">
        <f>COUNTIFS(EvaluationTable[category],A9,EvaluationTable[source_of_truth],"Mixed")+COUNTIFS(EvaluationTable[category],A9,EvaluationTable[source_of_truth],"None")</f>
        <v/>
      </c>
    </row>
    <row r="10">
      <c r="A10" t="inlineStr">
        <is>
          <t>multilingual</t>
        </is>
      </c>
      <c r="B10">
        <f>COUNTIF(EvaluationTable[category],A10)</f>
        <v/>
      </c>
      <c r="C10">
        <f>COUNTIFS(EvaluationTable[category],A10,EvaluationTable[source_of_truth],"DB")</f>
        <v/>
      </c>
      <c r="D10">
        <f>COUNTIFS(EvaluationTable[category],A10,EvaluationTable[source_of_truth],"RAG")</f>
        <v/>
      </c>
      <c r="E10">
        <f>COUNTIFS(EvaluationTable[category],A10,EvaluationTable[source_of_truth],"Mixed")+COUNTIFS(EvaluationTable[category],A10,EvaluationTable[source_of_truth],"None")</f>
        <v/>
      </c>
    </row>
    <row r="11">
      <c r="A11" t="inlineStr">
        <is>
          <t>planning</t>
        </is>
      </c>
      <c r="B11">
        <f>COUNTIF(EvaluationTable[category],A11)</f>
        <v/>
      </c>
      <c r="C11">
        <f>COUNTIFS(EvaluationTable[category],A11,EvaluationTable[source_of_truth],"DB")</f>
        <v/>
      </c>
      <c r="D11">
        <f>COUNTIFS(EvaluationTable[category],A11,EvaluationTable[source_of_truth],"RAG")</f>
        <v/>
      </c>
      <c r="E11">
        <f>COUNTIFS(EvaluationTable[category],A11,EvaluationTable[source_of_truth],"Mixed")+COUNTIFS(EvaluationTable[category],A11,EvaluationTable[source_of_truth],"None")</f>
        <v/>
      </c>
    </row>
    <row r="12">
      <c r="A12" t="inlineStr">
        <is>
          <t>planning_reasoning</t>
        </is>
      </c>
      <c r="B12">
        <f>COUNTIF(EvaluationTable[category],A12)</f>
        <v/>
      </c>
      <c r="C12">
        <f>COUNTIFS(EvaluationTable[category],A12,EvaluationTable[source_of_truth],"DB")</f>
        <v/>
      </c>
      <c r="D12">
        <f>COUNTIFS(EvaluationTable[category],A12,EvaluationTable[source_of_truth],"RAG")</f>
        <v/>
      </c>
      <c r="E12">
        <f>COUNTIFS(EvaluationTable[category],A12,EvaluationTable[source_of_truth],"Mixed")+COUNTIFS(EvaluationTable[category],A12,EvaluationTable[source_of_truth],"None")</f>
        <v/>
      </c>
    </row>
    <row r="13">
      <c r="A13" t="inlineStr">
        <is>
          <t>program_courses</t>
        </is>
      </c>
      <c r="B13">
        <f>COUNTIF(EvaluationTable[category],A13)</f>
        <v/>
      </c>
      <c r="C13">
        <f>COUNTIFS(EvaluationTable[category],A13,EvaluationTable[source_of_truth],"DB")</f>
        <v/>
      </c>
      <c r="D13">
        <f>COUNTIFS(EvaluationTable[category],A13,EvaluationTable[source_of_truth],"RAG")</f>
        <v/>
      </c>
      <c r="E13">
        <f>COUNTIFS(EvaluationTable[category],A13,EvaluationTable[source_of_truth],"Mixed")+COUNTIFS(EvaluationTable[category],A13,EvaluationTable[source_of_truth],"None")</f>
        <v/>
      </c>
    </row>
    <row r="14">
      <c r="A14" t="inlineStr">
        <is>
          <t>program_overview</t>
        </is>
      </c>
      <c r="B14">
        <f>COUNTIF(EvaluationTable[category],A14)</f>
        <v/>
      </c>
      <c r="C14">
        <f>COUNTIFS(EvaluationTable[category],A14,EvaluationTable[source_of_truth],"DB")</f>
        <v/>
      </c>
      <c r="D14">
        <f>COUNTIFS(EvaluationTable[category],A14,EvaluationTable[source_of_truth],"RAG")</f>
        <v/>
      </c>
      <c r="E14">
        <f>COUNTIFS(EvaluationTable[category],A14,EvaluationTable[source_of_truth],"Mixed")+COUNTIFS(EvaluationTable[category],A14,EvaluationTable[source_of_truth],"None")</f>
        <v/>
      </c>
    </row>
    <row r="15">
      <c r="A15" t="inlineStr">
        <is>
          <t>program_requirements</t>
        </is>
      </c>
      <c r="B15">
        <f>COUNTIF(EvaluationTable[category],A15)</f>
        <v/>
      </c>
      <c r="C15">
        <f>COUNTIFS(EvaluationTable[category],A15,EvaluationTable[source_of_truth],"DB")</f>
        <v/>
      </c>
      <c r="D15">
        <f>COUNTIFS(EvaluationTable[category],A15,EvaluationTable[source_of_truth],"RAG")</f>
        <v/>
      </c>
      <c r="E15">
        <f>COUNTIFS(EvaluationTable[category],A15,EvaluationTable[source_of_truth],"Mixed")+COUNTIFS(EvaluationTable[category],A15,EvaluationTable[source_of_truth],"None")</f>
        <v/>
      </c>
    </row>
    <row r="16">
      <c r="A16" t="inlineStr">
        <is>
          <t>program_structure_filtering</t>
        </is>
      </c>
      <c r="B16">
        <f>COUNTIF(EvaluationTable[category],A16)</f>
        <v/>
      </c>
      <c r="C16">
        <f>COUNTIFS(EvaluationTable[category],A16,EvaluationTable[source_of_truth],"DB")</f>
        <v/>
      </c>
      <c r="D16">
        <f>COUNTIFS(EvaluationTable[category],A16,EvaluationTable[source_of_truth],"RAG")</f>
        <v/>
      </c>
      <c r="E16">
        <f>COUNTIFS(EvaluationTable[category],A16,EvaluationTable[source_of_truth],"Mixed")+COUNTIFS(EvaluationTable[category],A16,EvaluationTable[source_of_truth],"None")</f>
        <v/>
      </c>
    </row>
    <row r="17">
      <c r="A17" t="inlineStr">
        <is>
          <t>rag_document</t>
        </is>
      </c>
      <c r="B17">
        <f>COUNTIF(EvaluationTable[category],A17)</f>
        <v/>
      </c>
      <c r="C17">
        <f>COUNTIFS(EvaluationTable[category],A17,EvaluationTable[source_of_truth],"DB")</f>
        <v/>
      </c>
      <c r="D17">
        <f>COUNTIFS(EvaluationTable[category],A17,EvaluationTable[source_of_truth],"RAG")</f>
        <v/>
      </c>
      <c r="E17">
        <f>COUNTIFS(EvaluationTable[category],A17,EvaluationTable[source_of_truth],"Mixed")+COUNTIFS(EvaluationTable[category],A17,EvaluationTable[source_of_truth],"None")</f>
        <v/>
      </c>
    </row>
    <row r="18">
      <c r="A18" t="inlineStr">
        <is>
          <t>schedule_datetime</t>
        </is>
      </c>
      <c r="B18">
        <f>COUNTIF(EvaluationTable[category],A18)</f>
        <v/>
      </c>
      <c r="C18">
        <f>COUNTIFS(EvaluationTable[category],A18,EvaluationTable[source_of_truth],"DB")</f>
        <v/>
      </c>
      <c r="D18">
        <f>COUNTIFS(EvaluationTable[category],A18,EvaluationTable[source_of_truth],"RAG")</f>
        <v/>
      </c>
      <c r="E18">
        <f>COUNTIFS(EvaluationTable[category],A18,EvaluationTable[source_of_truth],"Mixed")+COUNTIFS(EvaluationTable[category],A18,EvaluationTable[source_of_truth],"None")</f>
        <v/>
      </c>
    </row>
    <row r="19">
      <c r="A19" t="inlineStr">
        <is>
          <t>unanswerable</t>
        </is>
      </c>
      <c r="B19">
        <f>COUNTIF(EvaluationTable[category],A19)</f>
        <v/>
      </c>
      <c r="C19">
        <f>COUNTIFS(EvaluationTable[category],A19,EvaluationTable[source_of_truth],"DB")</f>
        <v/>
      </c>
      <c r="D19">
        <f>COUNTIFS(EvaluationTable[category],A19,EvaluationTable[source_of_truth],"RAG")</f>
        <v/>
      </c>
      <c r="E19">
        <f>COUNTIFS(EvaluationTable[category],A19,EvaluationTable[source_of_truth],"Mixed")+COUNTIFS(EvaluationTable[category],A19,EvaluationTable[source_of_truth],"None")</f>
        <v/>
      </c>
    </row>
  </sheetData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10" defaultColWidth="8.796875" defaultRowHeight="13.8"/>
  <cols>
    <col width="34" customWidth="1" min="1" max="2"/>
    <col width="90" customWidth="1" min="3" max="3"/>
  </cols>
  <sheetData>
    <row r="1">
      <c r="A1" s="7" t="inlineStr">
        <is>
          <t>Metric</t>
        </is>
      </c>
      <c r="B1" s="7" t="inlineStr">
        <is>
          <t>Score</t>
        </is>
      </c>
      <c r="C1" s="7" t="inlineStr">
        <is>
          <t>Meaning</t>
        </is>
      </c>
    </row>
    <row r="2">
      <c r="A2" s="3" t="inlineStr">
        <is>
          <t>Correctness</t>
        </is>
      </c>
      <c r="B2" s="3" t="n">
        <v>0</v>
      </c>
      <c r="C2" s="3" t="inlineStr">
        <is>
          <t>Incorrect or contradicts the expected answer.</t>
        </is>
      </c>
    </row>
    <row r="3">
      <c r="A3" s="3" t="inlineStr">
        <is>
          <t>Correctness</t>
        </is>
      </c>
      <c r="B3" s="3" t="n">
        <v>1</v>
      </c>
      <c r="C3" s="3" t="inlineStr">
        <is>
          <t>Partially correct; some required information missing or minor factual issue.</t>
        </is>
      </c>
    </row>
    <row r="4">
      <c r="A4" s="3" t="inlineStr">
        <is>
          <t>Correctness</t>
        </is>
      </c>
      <c r="B4" s="3" t="n">
        <v>2</v>
      </c>
      <c r="C4" s="3" t="inlineStr">
        <is>
          <t>Fully correct according to the gold answer/source.</t>
        </is>
      </c>
    </row>
    <row r="5">
      <c r="A5" s="3" t="inlineStr">
        <is>
          <t>Faithfulness / groundedness</t>
        </is>
      </c>
      <c r="B5" s="3" t="n">
        <v>0</v>
      </c>
      <c r="C5" s="3" t="inlineStr">
        <is>
          <t>Unsupported by retrieved/API evidence or clearly hallucinated.</t>
        </is>
      </c>
    </row>
    <row r="6">
      <c r="A6" s="3" t="inlineStr">
        <is>
          <t>Faithfulness / groundedness</t>
        </is>
      </c>
      <c r="B6" s="3" t="n">
        <v>1</v>
      </c>
      <c r="C6" s="3" t="inlineStr">
        <is>
          <t>Mostly supported but includes at least one unsupported or vague claim.</t>
        </is>
      </c>
    </row>
    <row r="7">
      <c r="A7" s="3" t="inlineStr">
        <is>
          <t>Faithfulness / groundedness</t>
        </is>
      </c>
      <c r="B7" s="3" t="n">
        <v>2</v>
      </c>
      <c r="C7" s="3" t="inlineStr">
        <is>
          <t>All factual claims are supported by API output or retrieved sources.</t>
        </is>
      </c>
    </row>
    <row r="8">
      <c r="A8" s="3" t="inlineStr">
        <is>
          <t>Hallucination</t>
        </is>
      </c>
      <c r="B8" s="3" t="n">
        <v>0</v>
      </c>
      <c r="C8" s="3" t="inlineStr">
        <is>
          <t>No unsupported false/specific claim detected.</t>
        </is>
      </c>
    </row>
    <row r="9">
      <c r="A9" s="3" t="inlineStr">
        <is>
          <t>Hallucination</t>
        </is>
      </c>
      <c r="B9" s="3" t="n">
        <v>1</v>
      </c>
      <c r="C9" s="3" t="inlineStr">
        <is>
          <t>At least one invented, false, or unsupported specific claim detected.</t>
        </is>
      </c>
    </row>
    <row r="10">
      <c r="A10" s="3" t="inlineStr">
        <is>
          <t>Language consistency</t>
        </is>
      </c>
      <c r="B10" s="3" t="n">
        <v>0</v>
      </c>
      <c r="C10" s="3" t="inlineStr">
        <is>
          <t>Wrong language or impossible to understand.</t>
        </is>
      </c>
    </row>
    <row r="11">
      <c r="A11" s="3" t="inlineStr">
        <is>
          <t>Language consistency</t>
        </is>
      </c>
      <c r="B11" s="3" t="n">
        <v>1</v>
      </c>
      <c r="C11" s="3" t="inlineStr">
        <is>
          <t>Mixed language or partly inappropriate language.</t>
        </is>
      </c>
    </row>
    <row r="12">
      <c r="A12" s="3" t="inlineStr">
        <is>
          <t>Language consistency</t>
        </is>
      </c>
      <c r="B12" s="3" t="n">
        <v>2</v>
      </c>
      <c r="C12" s="3" t="inlineStr">
        <is>
          <t>Correct/appropriate language for the user query.</t>
        </is>
      </c>
    </row>
    <row r="13">
      <c r="A13" s="3" t="inlineStr">
        <is>
          <t>Unanswerable questions</t>
        </is>
      </c>
      <c r="B13" s="3" t="inlineStr">
        <is>
          <t>Expected</t>
        </is>
      </c>
      <c r="C13" s="3" t="inlineStr">
        <is>
          <t>Best answer explicitly says the information is unavailable or cannot be answered from provided data.</t>
        </is>
      </c>
    </row>
    <row r="14" ht="27.6" customHeight="1">
      <c r="A14" s="3" t="inlineStr">
        <is>
          <t>Timing</t>
        </is>
      </c>
      <c r="B14" s="3" t="inlineStr">
        <is>
          <t>ms</t>
        </is>
      </c>
      <c r="C14" s="3" t="inlineStr">
        <is>
          <t>Measure time from request send to final answer or error. Later add fine-grained decision/API/RAG/LLM timings if available.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10" defaultColWidth="8.796875" defaultRowHeight="13.8"/>
  <cols>
    <col width="22" customWidth="1" min="1" max="7"/>
  </cols>
  <sheetData>
    <row r="1">
      <c r="A1" s="4" t="inlineStr">
        <is>
          <t>category</t>
        </is>
      </c>
      <c r="B1" s="4" t="inlineStr">
        <is>
          <t>difficulty</t>
        </is>
      </c>
      <c r="C1" s="4" t="inlineStr">
        <is>
          <t>language</t>
        </is>
      </c>
      <c r="D1" s="4" t="inlineStr">
        <is>
          <t>source_of_truth</t>
        </is>
      </c>
      <c r="E1" s="4" t="inlineStr">
        <is>
          <t>score_0_2</t>
        </is>
      </c>
      <c r="F1" s="4" t="inlineStr">
        <is>
          <t>hallucination_0_1</t>
        </is>
      </c>
      <c r="G1" s="4" t="inlineStr">
        <is>
          <t>systems</t>
        </is>
      </c>
    </row>
    <row r="2">
      <c r="A2" t="inlineStr">
        <is>
          <t>course_facts</t>
        </is>
      </c>
      <c r="B2" t="inlineStr">
        <is>
          <t>easy</t>
        </is>
      </c>
      <c r="C2" t="inlineStr">
        <is>
          <t>EN</t>
        </is>
      </c>
      <c r="D2" t="inlineStr">
        <is>
          <t>DB</t>
        </is>
      </c>
      <c r="E2" t="n">
        <v>0</v>
      </c>
      <c r="F2" t="n">
        <v>0</v>
      </c>
      <c r="G2" t="inlineStr">
        <is>
          <t>Non-RAG</t>
        </is>
      </c>
    </row>
    <row r="3">
      <c r="A3" t="inlineStr">
        <is>
          <t>schedule_datetime</t>
        </is>
      </c>
      <c r="B3" t="inlineStr">
        <is>
          <t>medium</t>
        </is>
      </c>
      <c r="C3" t="inlineStr">
        <is>
          <t>DE</t>
        </is>
      </c>
      <c r="D3" t="inlineStr">
        <is>
          <t>RAG</t>
        </is>
      </c>
      <c r="E3" t="n">
        <v>1</v>
      </c>
      <c r="F3" t="n">
        <v>1</v>
      </c>
      <c r="G3" t="inlineStr">
        <is>
          <t>Website-RAG</t>
        </is>
      </c>
    </row>
    <row r="4">
      <c r="A4" t="inlineStr">
        <is>
          <t>program_structure_filtering</t>
        </is>
      </c>
      <c r="B4" t="inlineStr">
        <is>
          <t>hard</t>
        </is>
      </c>
      <c r="C4" t="inlineStr">
        <is>
          <t>FR</t>
        </is>
      </c>
      <c r="D4" t="inlineStr">
        <is>
          <t>Mixed</t>
        </is>
      </c>
      <c r="E4" t="n">
        <v>2</v>
      </c>
      <c r="G4" t="inlineStr">
        <is>
          <t>Hybrid</t>
        </is>
      </c>
    </row>
    <row r="5">
      <c r="A5" t="inlineStr">
        <is>
          <t>rag_document</t>
        </is>
      </c>
      <c r="D5" t="inlineStr">
        <is>
          <t>None</t>
        </is>
      </c>
    </row>
    <row r="6">
      <c r="A6" t="inlineStr">
        <is>
          <t>multilingual</t>
        </is>
      </c>
    </row>
    <row r="7">
      <c r="A7" t="inlineStr">
        <is>
          <t>ambiguous</t>
        </is>
      </c>
    </row>
    <row r="8">
      <c r="A8" t="inlineStr">
        <is>
          <t>unanswerable</t>
        </is>
      </c>
    </row>
    <row r="9">
      <c r="A9" t="inlineStr">
        <is>
          <t>planning_reasoning</t>
        </is>
      </c>
    </row>
    <row r="10">
      <c r="A10" t="inlineStr">
        <is>
          <t>program_overview</t>
        </is>
      </c>
    </row>
    <row r="11">
      <c r="A11" t="inlineStr">
        <is>
          <t>program_courses</t>
        </is>
      </c>
    </row>
    <row r="12">
      <c r="A12" t="inlineStr">
        <is>
          <t>program_requirements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50" customWidth="1" min="5" max="5"/>
    <col width="50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8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8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8" customWidth="1" min="31" max="31"/>
    <col width="16" customWidth="1" min="32" max="32"/>
    <col width="16" customWidth="1" min="33" max="33"/>
    <col width="18" customWidth="1" min="34" max="34"/>
    <col width="16" customWidth="1" min="35" max="35"/>
    <col width="16" customWidth="1" min="36" max="36"/>
    <col width="16" customWidth="1" min="37" max="37"/>
    <col width="16" customWidth="1" min="38" max="38"/>
    <col width="18" customWidth="1" min="39" max="39"/>
    <col width="18" customWidth="1" min="40" max="40"/>
    <col width="18" customWidth="1" min="41" max="41"/>
    <col width="18" customWidth="1" min="42" max="42"/>
    <col width="16" customWidth="1" min="43" max="43"/>
    <col width="16" customWidth="1" min="44" max="44"/>
    <col width="50" customWidth="1" min="45" max="45"/>
    <col width="50" customWidth="1" min="46" max="46"/>
  </cols>
  <sheetData>
    <row r="1">
      <c r="A1" s="10" t="inlineStr">
        <is>
          <t>id</t>
        </is>
      </c>
      <c r="B1" s="10" t="inlineStr">
        <is>
          <t>category</t>
        </is>
      </c>
      <c r="C1" s="10" t="inlineStr">
        <is>
          <t>difficulty</t>
        </is>
      </c>
      <c r="D1" s="10" t="inlineStr">
        <is>
          <t>language</t>
        </is>
      </c>
      <c r="E1" s="10" t="inlineStr">
        <is>
          <t>question</t>
        </is>
      </c>
      <c r="F1" s="10" t="inlineStr">
        <is>
          <t>expected_answer</t>
        </is>
      </c>
      <c r="G1" s="10" t="inlineStr">
        <is>
          <t>source_of_truth</t>
        </is>
      </c>
      <c r="H1" s="10" t="inlineStr">
        <is>
          <t>expected_flow</t>
        </is>
      </c>
      <c r="I1" s="10" t="inlineStr">
        <is>
          <t>gold_source</t>
        </is>
      </c>
      <c r="J1" s="10" t="inlineStr">
        <is>
          <t>required_fields</t>
        </is>
      </c>
      <c r="K1" s="10" t="inlineStr">
        <is>
          <t>notes</t>
        </is>
      </c>
      <c r="L1" s="10" t="inlineStr">
        <is>
          <t>nonrag_answer</t>
        </is>
      </c>
      <c r="M1" s="10" t="inlineStr">
        <is>
          <t>nonrag_correctness_0_2</t>
        </is>
      </c>
      <c r="N1" s="10" t="inlineStr">
        <is>
          <t>nonrag_faithfulness_0_2</t>
        </is>
      </c>
      <c r="O1" s="10" t="inlineStr">
        <is>
          <t>nonrag_hallucination_0_1</t>
        </is>
      </c>
      <c r="P1" s="10" t="inlineStr">
        <is>
          <t>nonrag_language_0_2</t>
        </is>
      </c>
      <c r="Q1" s="10" t="inlineStr">
        <is>
          <t>nonrag_time_ms</t>
        </is>
      </c>
      <c r="R1" s="10" t="inlineStr">
        <is>
          <t>nonrag_error</t>
        </is>
      </c>
      <c r="S1" s="10" t="inlineStr">
        <is>
          <t>webrag_answer</t>
        </is>
      </c>
      <c r="T1" s="10" t="inlineStr">
        <is>
          <t>webrag_correctness_0_2</t>
        </is>
      </c>
      <c r="U1" s="10" t="inlineStr">
        <is>
          <t>webrag_faithfulness_0_2</t>
        </is>
      </c>
      <c r="V1" s="10" t="inlineStr">
        <is>
          <t>webrag_hallucination_0_1</t>
        </is>
      </c>
      <c r="W1" s="10" t="inlineStr">
        <is>
          <t>webrag_language_0_2</t>
        </is>
      </c>
      <c r="X1" s="10" t="inlineStr">
        <is>
          <t>webrag_time_ms</t>
        </is>
      </c>
      <c r="Y1" s="10" t="inlineStr">
        <is>
          <t>webrag_error</t>
        </is>
      </c>
      <c r="Z1" s="10" t="inlineStr">
        <is>
          <t>hybrid_answer</t>
        </is>
      </c>
      <c r="AA1" s="10" t="inlineStr">
        <is>
          <t>hybrid_correctness_0_2</t>
        </is>
      </c>
      <c r="AB1" s="10" t="inlineStr">
        <is>
          <t>hybrid_faithfulness_0_2</t>
        </is>
      </c>
      <c r="AC1" s="10" t="inlineStr">
        <is>
          <t>hybrid_hallucination_0_1</t>
        </is>
      </c>
      <c r="AD1" s="10" t="inlineStr">
        <is>
          <t>hybrid_language_0_2</t>
        </is>
      </c>
      <c r="AE1" s="10" t="inlineStr">
        <is>
          <t>hybrid_time_ms</t>
        </is>
      </c>
      <c r="AF1" s="10" t="inlineStr">
        <is>
          <t>hybrid_tool_used</t>
        </is>
      </c>
      <c r="AG1" s="10" t="inlineStr">
        <is>
          <t>hybrid_error</t>
        </is>
      </c>
      <c r="AH1" s="10" t="inlineStr">
        <is>
          <t>run_timestamp</t>
        </is>
      </c>
      <c r="AI1" s="10" t="inlineStr">
        <is>
          <t>system</t>
        </is>
      </c>
      <c r="AJ1" s="10" t="inlineStr">
        <is>
          <t>run_mode</t>
        </is>
      </c>
      <c r="AK1" s="10" t="inlineStr">
        <is>
          <t>http_status</t>
        </is>
      </c>
      <c r="AL1" s="10" t="inlineStr">
        <is>
          <t>success</t>
        </is>
      </c>
      <c r="AM1" s="10" t="inlineStr">
        <is>
          <t>client_total_time_ms</t>
        </is>
      </c>
      <c r="AN1" s="10" t="inlineStr">
        <is>
          <t>server_elapsed_ms</t>
        </is>
      </c>
      <c r="AO1" s="10" t="inlineStr">
        <is>
          <t>request_handler_ms</t>
        </is>
      </c>
      <c r="AP1" s="10" t="inlineStr">
        <is>
          <t>answer_question_ms</t>
        </is>
      </c>
      <c r="AQ1" s="10" t="inlineStr">
        <is>
          <t>tool_used</t>
        </is>
      </c>
      <c r="AR1" s="10" t="inlineStr">
        <is>
          <t>sources_count</t>
        </is>
      </c>
      <c r="AS1" s="10" t="inlineStr">
        <is>
          <t>answer</t>
        </is>
      </c>
      <c r="AT1" s="10" t="inlineStr">
        <is>
          <t>error</t>
        </is>
      </c>
    </row>
    <row r="2">
      <c r="A2" s="11" t="n">
        <v>1</v>
      </c>
      <c r="B2" s="11" t="inlineStr">
        <is>
          <t>program_overview</t>
        </is>
      </c>
      <c r="C2" s="11" t="inlineStr">
        <is>
          <t>medium</t>
        </is>
      </c>
      <c r="D2" s="11" t="inlineStr">
        <is>
          <t>EN</t>
        </is>
      </c>
      <c r="E2" s="11" t="inlineStr">
        <is>
          <t>Which programs can I study at Unifr at bachelor level?</t>
        </is>
      </c>
      <c r="F2" s="11" t="inlineStr">
        <is>
          <t>List of all bachelor programs available in the database.</t>
        </is>
      </c>
      <c r="G2" s="11" t="inlineStr">
        <is>
          <t>DB</t>
        </is>
      </c>
      <c r="H2" s="11" t="inlineStr">
        <is>
          <t>API /programs?degree_level=Bachelor</t>
        </is>
      </c>
      <c r="I2" s="11" t="inlineStr">
        <is>
          <t>StudyProgram table</t>
        </is>
      </c>
      <c r="J2" s="11" t="inlineStr">
        <is>
          <t>program names, degree level</t>
        </is>
      </c>
      <c r="K2" s="11" t="inlineStr">
        <is>
          <t>Existing sample question, cleaned.</t>
        </is>
      </c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inlineStr">
        <is>
          <t>2026-05-06T23:46:21</t>
        </is>
      </c>
      <c r="AI2" s="11" t="inlineStr">
        <is>
          <t>rag</t>
        </is>
      </c>
      <c r="AJ2" s="11" t="inlineStr">
        <is>
          <t>rag</t>
        </is>
      </c>
      <c r="AK2" s="11" t="n">
        <v>200</v>
      </c>
      <c r="AL2" s="11" t="b">
        <v>1</v>
      </c>
      <c r="AM2" s="11" t="n">
        <v>4640.42</v>
      </c>
      <c r="AN2" s="11" t="n">
        <v>4586.24</v>
      </c>
      <c r="AO2" s="11" t="n"/>
      <c r="AP2" s="11" t="n">
        <v>4555.06</v>
      </c>
      <c r="AQ2" s="11" t="inlineStr"/>
      <c r="AR2" s="11" t="n">
        <v>0</v>
      </c>
      <c r="AS2" s="11" t="inlineStr">
        <is>
          <t>I could not find matching sources in the documents for this question.</t>
        </is>
      </c>
      <c r="AT2" s="11" t="n"/>
    </row>
    <row r="3">
      <c r="A3" s="11" t="n">
        <v>2</v>
      </c>
      <c r="B3" s="11" t="inlineStr">
        <is>
          <t>program_overview</t>
        </is>
      </c>
      <c r="C3" s="11" t="inlineStr">
        <is>
          <t>medium</t>
        </is>
      </c>
      <c r="D3" s="11" t="inlineStr">
        <is>
          <t>EN</t>
        </is>
      </c>
      <c r="E3" s="11" t="inlineStr">
        <is>
          <t>Which minor programs does Unifr offer?</t>
        </is>
      </c>
      <c r="F3" s="11" t="inlineStr">
        <is>
          <t>List of minor-like programs, e.g. programs with total ECTS &lt;= 60, excluding null/doctorate entries.</t>
        </is>
      </c>
      <c r="G3" s="11" t="inlineStr">
        <is>
          <t>DB</t>
        </is>
      </c>
      <c r="H3" s="11" t="inlineStr">
        <is>
          <t>API /programs?max_ects=60</t>
        </is>
      </c>
      <c r="I3" s="11" t="inlineStr">
        <is>
          <t>StudyProgram table</t>
        </is>
      </c>
      <c r="J3" s="11" t="inlineStr">
        <is>
          <t>program names, ECTS</t>
        </is>
      </c>
      <c r="K3" s="11" t="inlineStr">
        <is>
          <t>Existing sample question, cleaned.</t>
        </is>
      </c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inlineStr">
        <is>
          <t>2026-05-06T23:46:21</t>
        </is>
      </c>
      <c r="AI3" s="11" t="inlineStr">
        <is>
          <t>rag</t>
        </is>
      </c>
      <c r="AJ3" s="11" t="inlineStr">
        <is>
          <t>rag</t>
        </is>
      </c>
      <c r="AK3" s="11" t="n"/>
      <c r="AL3" s="11" t="b">
        <v>0</v>
      </c>
      <c r="AM3" s="11" t="n">
        <v>180025.25</v>
      </c>
      <c r="AN3" s="11" t="n"/>
      <c r="AO3" s="11" t="n"/>
      <c r="AP3" s="11" t="n"/>
      <c r="AQ3" s="11" t="inlineStr"/>
      <c r="AR3" s="11" t="n"/>
      <c r="AS3" s="11" t="inlineStr"/>
      <c r="AT3" s="11" t="inlineStr">
        <is>
          <t>HTTPConnectionPool(host='localhost', port=8000): Read timed out. (read timeout=180)</t>
        </is>
      </c>
    </row>
    <row r="4">
      <c r="A4" s="11" t="n">
        <v>3</v>
      </c>
      <c r="B4" s="11" t="inlineStr">
        <is>
          <t>program_courses</t>
        </is>
      </c>
      <c r="C4" s="11" t="inlineStr">
        <is>
          <t>hard</t>
        </is>
      </c>
      <c r="D4" s="11" t="inlineStr">
        <is>
          <t>EN</t>
        </is>
      </c>
      <c r="E4" s="11" t="inlineStr">
        <is>
          <t>What courses are mandatory in the Bachelor of Business Informatics with 180 ECTS?</t>
        </is>
      </c>
      <c r="F4" s="11" t="inlineStr">
        <is>
          <t>List of mandatory courses for the specified program.</t>
        </is>
      </c>
      <c r="G4" s="11" t="inlineStr">
        <is>
          <t>DB</t>
        </is>
      </c>
      <c r="H4" s="11" t="inlineStr">
        <is>
          <t>API /programs/:id/courses?type=Mandatory</t>
        </is>
      </c>
      <c r="I4" s="11" t="inlineStr">
        <is>
          <t>consist_of + StudyProgram</t>
        </is>
      </c>
      <c r="J4" s="11" t="inlineStr">
        <is>
          <t>course codes, titles, mandatory status</t>
        </is>
      </c>
      <c r="K4" s="11" t="inlineStr">
        <is>
          <t>Existing sample question, cleaned.</t>
        </is>
      </c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inlineStr">
        <is>
          <t>2026-05-06T23:46:21</t>
        </is>
      </c>
      <c r="AI4" s="11" t="inlineStr">
        <is>
          <t>rag</t>
        </is>
      </c>
      <c r="AJ4" s="11" t="inlineStr">
        <is>
          <t>rag</t>
        </is>
      </c>
      <c r="AK4" s="11" t="n"/>
      <c r="AL4" s="11" t="b">
        <v>0</v>
      </c>
      <c r="AM4" s="11" t="n">
        <v>180005.41</v>
      </c>
      <c r="AN4" s="11" t="n"/>
      <c r="AO4" s="11" t="n"/>
      <c r="AP4" s="11" t="n"/>
      <c r="AQ4" s="11" t="inlineStr"/>
      <c r="AR4" s="11" t="n"/>
      <c r="AS4" s="11" t="inlineStr"/>
      <c r="AT4" s="11" t="inlineStr">
        <is>
          <t>HTTPConnectionPool(host='localhost', port=8000): Read timed out. (read timeout=180)</t>
        </is>
      </c>
    </row>
    <row r="5">
      <c r="A5" s="11" t="n">
        <v>4</v>
      </c>
      <c r="B5" s="11" t="inlineStr">
        <is>
          <t>program_requirements</t>
        </is>
      </c>
      <c r="C5" s="11" t="inlineStr">
        <is>
          <t>medium</t>
        </is>
      </c>
      <c r="D5" s="11" t="inlineStr">
        <is>
          <t>EN</t>
        </is>
      </c>
      <c r="E5" s="11" t="inlineStr">
        <is>
          <t>How long does the bachelor program usually take?</t>
        </is>
      </c>
      <c r="F5" s="11" t="inlineStr">
        <is>
          <t>Minimum/standard/max duration if available; otherwise answer based on retrieved regulations.</t>
        </is>
      </c>
      <c r="G5" s="11" t="inlineStr">
        <is>
          <t>Mixed</t>
        </is>
      </c>
      <c r="H5" s="11" t="inlineStr">
        <is>
          <t>API first, RAG fallback</t>
        </is>
      </c>
      <c r="I5" s="11" t="inlineStr">
        <is>
          <t>StudyProgram table or regulation document</t>
        </is>
      </c>
      <c r="J5" s="11" t="inlineStr">
        <is>
          <t>duration semesters</t>
        </is>
      </c>
      <c r="K5" s="11" t="inlineStr">
        <is>
          <t>Existing sample question, cleaned.</t>
        </is>
      </c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inlineStr">
        <is>
          <t>2026-05-06T23:46:21</t>
        </is>
      </c>
      <c r="AI5" s="11" t="inlineStr">
        <is>
          <t>rag</t>
        </is>
      </c>
      <c r="AJ5" s="11" t="inlineStr">
        <is>
          <t>rag</t>
        </is>
      </c>
      <c r="AK5" s="11" t="n"/>
      <c r="AL5" s="11" t="b">
        <v>0</v>
      </c>
      <c r="AM5" s="11" t="n">
        <v>180015.09</v>
      </c>
      <c r="AN5" s="11" t="n"/>
      <c r="AO5" s="11" t="n"/>
      <c r="AP5" s="11" t="n"/>
      <c r="AQ5" s="11" t="inlineStr"/>
      <c r="AR5" s="11" t="n"/>
      <c r="AS5" s="11" t="inlineStr"/>
      <c r="AT5" s="11" t="inlineStr">
        <is>
          <t>HTTPConnectionPool(host='localhost', port=8000): Read timed out. (read timeout=180)</t>
        </is>
      </c>
    </row>
    <row r="6">
      <c r="A6" s="11" t="n">
        <v>5</v>
      </c>
      <c r="B6" s="11" t="inlineStr">
        <is>
          <t>program_courses</t>
        </is>
      </c>
      <c r="C6" s="11" t="inlineStr">
        <is>
          <t>hard</t>
        </is>
      </c>
      <c r="D6" s="11" t="inlineStr">
        <is>
          <t>EN</t>
        </is>
      </c>
      <c r="E6" s="11" t="inlineStr">
        <is>
          <t>What courses does the Bachelor in Economics with 180 ECTS include in the first study year?</t>
        </is>
      </c>
      <c r="F6" s="11" t="inlineStr">
        <is>
          <t>List of first-year courses if the study plan provides this structure.</t>
        </is>
      </c>
      <c r="G6" s="11" t="inlineStr">
        <is>
          <t>RAG</t>
        </is>
      </c>
      <c r="H6" s="11" t="inlineStr">
        <is>
          <t>RAG over study plan documents</t>
        </is>
      </c>
      <c r="I6" s="11" t="inlineStr">
        <is>
          <t>study plan PDF</t>
        </is>
      </c>
      <c r="J6" s="11" t="inlineStr">
        <is>
          <t>course titles/codes, first-year context</t>
        </is>
      </c>
      <c r="K6" s="11" t="inlineStr">
        <is>
          <t>Existing sample question, cleaned.</t>
        </is>
      </c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inlineStr">
        <is>
          <t>2026-05-06T23:46:21</t>
        </is>
      </c>
      <c r="AI6" s="11" t="inlineStr">
        <is>
          <t>rag</t>
        </is>
      </c>
      <c r="AJ6" s="11" t="inlineStr">
        <is>
          <t>rag</t>
        </is>
      </c>
      <c r="AK6" s="11" t="n"/>
      <c r="AL6" s="11" t="b">
        <v>0</v>
      </c>
      <c r="AM6" s="11" t="n">
        <v>180017.45</v>
      </c>
      <c r="AN6" s="11" t="n"/>
      <c r="AO6" s="11" t="n"/>
      <c r="AP6" s="11" t="n"/>
      <c r="AQ6" s="11" t="inlineStr"/>
      <c r="AR6" s="11" t="n"/>
      <c r="AS6" s="11" t="inlineStr"/>
      <c r="AT6" s="11" t="inlineStr">
        <is>
          <t>HTTPConnectionPool(host='localhost', port=8000): Read timed out. (read timeout=180)</t>
        </is>
      </c>
    </row>
    <row r="7">
      <c r="A7" s="11" t="n">
        <v>6</v>
      </c>
      <c r="B7" s="11" t="inlineStr">
        <is>
          <t>planning</t>
        </is>
      </c>
      <c r="C7" s="11" t="inlineStr">
        <is>
          <t>hard</t>
        </is>
      </c>
      <c r="D7" s="11" t="inlineStr">
        <is>
          <t>EN</t>
        </is>
      </c>
      <c r="E7" s="11" t="inlineStr">
        <is>
          <t>Can you plan my next semester?</t>
        </is>
      </c>
      <c r="F7" s="11" t="inlineStr">
        <is>
          <t>Should ask for missing constraints or provide a cautious partial plan based on selected program/semester.</t>
        </is>
      </c>
      <c r="G7" s="11" t="inlineStr">
        <is>
          <t>Mixed</t>
        </is>
      </c>
      <c r="H7" s="11" t="inlineStr">
        <is>
          <t>API + possibly clarification</t>
        </is>
      </c>
      <c r="I7" s="11" t="inlineStr">
        <is>
          <t>DB + user context</t>
        </is>
      </c>
      <c r="J7" s="11" t="inlineStr">
        <is>
          <t>missing info handling</t>
        </is>
      </c>
      <c r="K7" s="11" t="inlineStr">
        <is>
          <t>Existing sample question; evaluate refusal/clarification behavior.</t>
        </is>
      </c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inlineStr">
        <is>
          <t>2026-05-06T23:46:21</t>
        </is>
      </c>
      <c r="AI7" s="11" t="inlineStr">
        <is>
          <t>rag</t>
        </is>
      </c>
      <c r="AJ7" s="11" t="inlineStr">
        <is>
          <t>rag</t>
        </is>
      </c>
      <c r="AK7" s="11" t="n"/>
      <c r="AL7" s="11" t="b">
        <v>0</v>
      </c>
      <c r="AM7" s="11" t="n">
        <v>180023.93</v>
      </c>
      <c r="AN7" s="11" t="n"/>
      <c r="AO7" s="11" t="n"/>
      <c r="AP7" s="11" t="n"/>
      <c r="AQ7" s="11" t="inlineStr"/>
      <c r="AR7" s="11" t="n"/>
      <c r="AS7" s="11" t="inlineStr"/>
      <c r="AT7" s="11" t="inlineStr">
        <is>
          <t>HTTPConnectionPool(host='localhost', port=8000): Read timed out. (read timeout=180)</t>
        </is>
      </c>
    </row>
    <row r="8">
      <c r="A8" s="11" t="n">
        <v>7</v>
      </c>
      <c r="B8" s="11" t="inlineStr">
        <is>
          <t>course_facts</t>
        </is>
      </c>
      <c r="C8" s="11" t="inlineStr">
        <is>
          <t>easy</t>
        </is>
      </c>
      <c r="D8" s="11" t="inlineStr">
        <is>
          <t>EN</t>
        </is>
      </c>
      <c r="E8" s="11" t="inlineStr">
        <is>
          <t>How many ECTS does UE-F23.00128 have?</t>
        </is>
      </c>
      <c r="F8" s="11" t="inlineStr">
        <is>
          <t>Exact value from Course/CourseOffering records.</t>
        </is>
      </c>
      <c r="G8" s="11" t="inlineStr">
        <is>
          <t>DB</t>
        </is>
      </c>
      <c r="H8" s="11" t="inlineStr">
        <is>
          <t>API /courses/:code</t>
        </is>
      </c>
      <c r="I8" s="11" t="inlineStr">
        <is>
          <t>Course, CourseOffering, teaches, is_taught_in</t>
        </is>
      </c>
      <c r="J8" s="11" t="inlineStr">
        <is>
          <t>ECTS</t>
        </is>
      </c>
      <c r="K8" s="11" t="inlineStr">
        <is>
          <t>Replace {COURSE_CODE} with a real course code from your DB.</t>
        </is>
      </c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inlineStr">
        <is>
          <t>2026-05-06T23:46:21</t>
        </is>
      </c>
      <c r="AI8" s="11" t="inlineStr">
        <is>
          <t>rag</t>
        </is>
      </c>
      <c r="AJ8" s="11" t="inlineStr">
        <is>
          <t>rag</t>
        </is>
      </c>
      <c r="AK8" s="11" t="n"/>
      <c r="AL8" s="11" t="b">
        <v>0</v>
      </c>
      <c r="AM8" s="11" t="n">
        <v>180022.43</v>
      </c>
      <c r="AN8" s="11" t="n"/>
      <c r="AO8" s="11" t="n"/>
      <c r="AP8" s="11" t="n"/>
      <c r="AQ8" s="11" t="inlineStr"/>
      <c r="AR8" s="11" t="n"/>
      <c r="AS8" s="11" t="inlineStr"/>
      <c r="AT8" s="11" t="inlineStr">
        <is>
          <t>HTTPConnectionPool(host='localhost', port=8000): Read timed out. (read timeout=180)</t>
        </is>
      </c>
    </row>
    <row r="9">
      <c r="A9" s="11" t="n">
        <v>8</v>
      </c>
      <c r="B9" s="11" t="inlineStr">
        <is>
          <t>course_facts</t>
        </is>
      </c>
      <c r="C9" s="11" t="inlineStr">
        <is>
          <t>easy</t>
        </is>
      </c>
      <c r="D9" s="11" t="inlineStr">
        <is>
          <t>EN</t>
        </is>
      </c>
      <c r="E9" s="11" t="inlineStr">
        <is>
          <t>What is the title of course UE-SMH.03303?</t>
        </is>
      </c>
      <c r="F9" s="11" t="inlineStr">
        <is>
          <t>Exact value from Course/CourseOffering records.</t>
        </is>
      </c>
      <c r="G9" s="11" t="inlineStr">
        <is>
          <t>DB</t>
        </is>
      </c>
      <c r="H9" s="11" t="inlineStr">
        <is>
          <t>API /courses/:code</t>
        </is>
      </c>
      <c r="I9" s="11" t="inlineStr">
        <is>
          <t>Course, CourseOffering, teaches, is_taught_in</t>
        </is>
      </c>
      <c r="J9" s="11" t="inlineStr">
        <is>
          <t>course title</t>
        </is>
      </c>
      <c r="K9" s="11" t="inlineStr">
        <is>
          <t>Replace {COURSE_CODE} with a real course code from your DB.</t>
        </is>
      </c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inlineStr">
        <is>
          <t>2026-05-06T23:46:21</t>
        </is>
      </c>
      <c r="AI9" s="11" t="inlineStr">
        <is>
          <t>rag</t>
        </is>
      </c>
      <c r="AJ9" s="11" t="inlineStr">
        <is>
          <t>rag</t>
        </is>
      </c>
      <c r="AK9" s="11" t="n"/>
      <c r="AL9" s="11" t="b">
        <v>0</v>
      </c>
      <c r="AM9" s="11" t="n">
        <v>180061.91</v>
      </c>
      <c r="AN9" s="11" t="n"/>
      <c r="AO9" s="11" t="n"/>
      <c r="AP9" s="11" t="n"/>
      <c r="AQ9" s="11" t="inlineStr"/>
      <c r="AR9" s="11" t="n"/>
      <c r="AS9" s="11" t="inlineStr"/>
      <c r="AT9" s="11" t="inlineStr">
        <is>
          <t>HTTPConnectionPool(host='localhost', port=8000): Read timed out. (read timeout=180)</t>
        </is>
      </c>
    </row>
    <row r="10">
      <c r="A10" s="11" t="n">
        <v>9</v>
      </c>
      <c r="B10" s="11" t="inlineStr">
        <is>
          <t>course_facts</t>
        </is>
      </c>
      <c r="C10" s="11" t="inlineStr">
        <is>
          <t>easy</t>
        </is>
      </c>
      <c r="D10" s="11" t="inlineStr">
        <is>
          <t>EN</t>
        </is>
      </c>
      <c r="E10" s="11" t="inlineStr">
        <is>
          <t>What is the description of course UE-L15.02297?</t>
        </is>
      </c>
      <c r="F10" s="11" t="inlineStr">
        <is>
          <t>Exact value from Course/CourseOffering records.</t>
        </is>
      </c>
      <c r="G10" s="11" t="inlineStr">
        <is>
          <t>DB</t>
        </is>
      </c>
      <c r="H10" s="11" t="inlineStr">
        <is>
          <t>API /courses/:code</t>
        </is>
      </c>
      <c r="I10" s="11" t="inlineStr">
        <is>
          <t>Course, CourseOffering, teaches, is_taught_in</t>
        </is>
      </c>
      <c r="J10" s="11" t="inlineStr">
        <is>
          <t>description</t>
        </is>
      </c>
      <c r="K10" s="11" t="inlineStr">
        <is>
          <t>Replace {COURSE_CODE} with a real course code from your DB.</t>
        </is>
      </c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inlineStr">
        <is>
          <t>2026-05-06T23:46:21</t>
        </is>
      </c>
      <c r="AI10" s="11" t="inlineStr">
        <is>
          <t>rag</t>
        </is>
      </c>
      <c r="AJ10" s="11" t="inlineStr">
        <is>
          <t>rag</t>
        </is>
      </c>
      <c r="AK10" s="11" t="n"/>
      <c r="AL10" s="11" t="b">
        <v>0</v>
      </c>
      <c r="AM10" s="11" t="n">
        <v>180024.83</v>
      </c>
      <c r="AN10" s="11" t="n"/>
      <c r="AO10" s="11" t="n"/>
      <c r="AP10" s="11" t="n"/>
      <c r="AQ10" s="11" t="inlineStr"/>
      <c r="AR10" s="11" t="n"/>
      <c r="AS10" s="11" t="inlineStr"/>
      <c r="AT10" s="11" t="inlineStr">
        <is>
          <t>HTTPConnectionPool(host='localhost', port=8000): Read timed out. (read timeout=180)</t>
        </is>
      </c>
    </row>
    <row r="11">
      <c r="A11" s="11" t="n">
        <v>10</v>
      </c>
      <c r="B11" s="11" t="inlineStr">
        <is>
          <t>course_facts</t>
        </is>
      </c>
      <c r="C11" s="11" t="inlineStr">
        <is>
          <t>easy</t>
        </is>
      </c>
      <c r="D11" s="11" t="inlineStr">
        <is>
          <t>EN</t>
        </is>
      </c>
      <c r="E11" s="11" t="inlineStr">
        <is>
          <t>What are the learning goals of UE-SCH.01084?</t>
        </is>
      </c>
      <c r="F11" s="11" t="inlineStr">
        <is>
          <t>Exact value from Course/CourseOffering records.</t>
        </is>
      </c>
      <c r="G11" s="11" t="inlineStr">
        <is>
          <t>DB</t>
        </is>
      </c>
      <c r="H11" s="11" t="inlineStr">
        <is>
          <t>API /courses/:code</t>
        </is>
      </c>
      <c r="I11" s="11" t="inlineStr">
        <is>
          <t>Course, CourseOffering, teaches, is_taught_in</t>
        </is>
      </c>
      <c r="J11" s="11" t="inlineStr">
        <is>
          <t>learning goals</t>
        </is>
      </c>
      <c r="K11" s="11" t="inlineStr">
        <is>
          <t>Replace {COURSE_CODE} with a real course code from your DB.</t>
        </is>
      </c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11" t="inlineStr">
        <is>
          <t>2026-05-06T23:46:21</t>
        </is>
      </c>
      <c r="AI11" s="11" t="inlineStr">
        <is>
          <t>rag</t>
        </is>
      </c>
      <c r="AJ11" s="11" t="inlineStr">
        <is>
          <t>rag</t>
        </is>
      </c>
      <c r="AK11" s="11" t="n"/>
      <c r="AL11" s="11" t="b">
        <v>0</v>
      </c>
      <c r="AM11" s="11" t="n">
        <v>180010.08</v>
      </c>
      <c r="AN11" s="11" t="n"/>
      <c r="AO11" s="11" t="n"/>
      <c r="AP11" s="11" t="n"/>
      <c r="AQ11" s="11" t="inlineStr"/>
      <c r="AR11" s="11" t="n"/>
      <c r="AS11" s="11" t="inlineStr"/>
      <c r="AT11" s="11" t="inlineStr">
        <is>
          <t>HTTPConnectionPool(host='localhost', port=8000): Read timed out. (read timeout=180)</t>
        </is>
      </c>
    </row>
    <row r="12">
      <c r="A12" s="11" t="n">
        <v>11</v>
      </c>
      <c r="B12" s="11" t="inlineStr">
        <is>
          <t>course_facts</t>
        </is>
      </c>
      <c r="C12" s="11" t="inlineStr">
        <is>
          <t>easy</t>
        </is>
      </c>
      <c r="D12" s="11" t="inlineStr">
        <is>
          <t>EN</t>
        </is>
      </c>
      <c r="E12" s="11" t="inlineStr">
        <is>
          <t>Who teaches UE-L15.01360?</t>
        </is>
      </c>
      <c r="F12" s="11" t="inlineStr">
        <is>
          <t>Exact value from Course/CourseOffering records.</t>
        </is>
      </c>
      <c r="G12" s="11" t="inlineStr">
        <is>
          <t>DB</t>
        </is>
      </c>
      <c r="H12" s="11" t="inlineStr">
        <is>
          <t>API /courses/:code</t>
        </is>
      </c>
      <c r="I12" s="11" t="inlineStr">
        <is>
          <t>Course, CourseOffering, teaches, is_taught_in</t>
        </is>
      </c>
      <c r="J12" s="11" t="inlineStr">
        <is>
          <t>professor/instructor</t>
        </is>
      </c>
      <c r="K12" s="11" t="inlineStr">
        <is>
          <t>Replace {COURSE_CODE} with a real course code from your DB.</t>
        </is>
      </c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inlineStr">
        <is>
          <t>2026-05-06T23:46:21</t>
        </is>
      </c>
      <c r="AI12" s="11" t="inlineStr">
        <is>
          <t>rag</t>
        </is>
      </c>
      <c r="AJ12" s="11" t="inlineStr">
        <is>
          <t>rag</t>
        </is>
      </c>
      <c r="AK12" s="11" t="n"/>
      <c r="AL12" s="11" t="b">
        <v>0</v>
      </c>
      <c r="AM12" s="11" t="n">
        <v>180023.8</v>
      </c>
      <c r="AN12" s="11" t="n"/>
      <c r="AO12" s="11" t="n"/>
      <c r="AP12" s="11" t="n"/>
      <c r="AQ12" s="11" t="inlineStr"/>
      <c r="AR12" s="11" t="n"/>
      <c r="AS12" s="11" t="inlineStr"/>
      <c r="AT12" s="11" t="inlineStr">
        <is>
          <t>HTTPConnectionPool(host='localhost', port=8000): Read timed out. (read timeout=180)</t>
        </is>
      </c>
    </row>
    <row r="13">
      <c r="A13" s="11" t="n">
        <v>12</v>
      </c>
      <c r="B13" s="11" t="inlineStr">
        <is>
          <t>course_facts</t>
        </is>
      </c>
      <c r="C13" s="11" t="inlineStr">
        <is>
          <t>easy</t>
        </is>
      </c>
      <c r="D13" s="11" t="inlineStr">
        <is>
          <t>EN</t>
        </is>
      </c>
      <c r="E13" s="11" t="inlineStr">
        <is>
          <t>In which language is UE-F24.00756 taught?</t>
        </is>
      </c>
      <c r="F13" s="11" t="inlineStr">
        <is>
          <t>Exact value from Course/CourseOffering records.</t>
        </is>
      </c>
      <c r="G13" s="11" t="inlineStr">
        <is>
          <t>DB</t>
        </is>
      </c>
      <c r="H13" s="11" t="inlineStr">
        <is>
          <t>API /courses/:code</t>
        </is>
      </c>
      <c r="I13" s="11" t="inlineStr">
        <is>
          <t>Course, CourseOffering, teaches, is_taught_in</t>
        </is>
      </c>
      <c r="J13" s="11" t="inlineStr">
        <is>
          <t>language</t>
        </is>
      </c>
      <c r="K13" s="11" t="inlineStr">
        <is>
          <t>Replace {COURSE_CODE} with a real course code from your DB.</t>
        </is>
      </c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inlineStr">
        <is>
          <t>2026-05-06T23:46:21</t>
        </is>
      </c>
      <c r="AI13" s="11" t="inlineStr">
        <is>
          <t>rag</t>
        </is>
      </c>
      <c r="AJ13" s="11" t="inlineStr">
        <is>
          <t>rag</t>
        </is>
      </c>
      <c r="AK13" s="11" t="n"/>
      <c r="AL13" s="11" t="b">
        <v>0</v>
      </c>
      <c r="AM13" s="11" t="n">
        <v>180028.35</v>
      </c>
      <c r="AN13" s="11" t="n"/>
      <c r="AO13" s="11" t="n"/>
      <c r="AP13" s="11" t="n"/>
      <c r="AQ13" s="11" t="inlineStr"/>
      <c r="AR13" s="11" t="n"/>
      <c r="AS13" s="11" t="inlineStr"/>
      <c r="AT13" s="11" t="inlineStr">
        <is>
          <t>HTTPConnectionPool(host='localhost', port=8000): Read timed out. (read timeout=180)</t>
        </is>
      </c>
    </row>
    <row r="14">
      <c r="A14" s="11" t="n">
        <v>13</v>
      </c>
      <c r="B14" s="11" t="inlineStr">
        <is>
          <t>course_facts</t>
        </is>
      </c>
      <c r="C14" s="11" t="inlineStr">
        <is>
          <t>easy</t>
        </is>
      </c>
      <c r="D14" s="11" t="inlineStr">
        <is>
          <t>EN</t>
        </is>
      </c>
      <c r="E14" s="11" t="inlineStr">
        <is>
          <t>Is UE-L14.02290 marked as a soft-skills course?</t>
        </is>
      </c>
      <c r="F14" s="11" t="inlineStr">
        <is>
          <t>Exact value from Course/CourseOffering records.</t>
        </is>
      </c>
      <c r="G14" s="11" t="inlineStr">
        <is>
          <t>DB</t>
        </is>
      </c>
      <c r="H14" s="11" t="inlineStr">
        <is>
          <t>API /courses/:code</t>
        </is>
      </c>
      <c r="I14" s="11" t="inlineStr">
        <is>
          <t>Course, CourseOffering, teaches, is_taught_in</t>
        </is>
      </c>
      <c r="J14" s="11" t="inlineStr">
        <is>
          <t>soft_skills flag</t>
        </is>
      </c>
      <c r="K14" s="11" t="inlineStr">
        <is>
          <t>Replace {COURSE_CODE} with a real course code from your DB.</t>
        </is>
      </c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inlineStr">
        <is>
          <t>2026-05-06T23:46:21</t>
        </is>
      </c>
      <c r="AI14" s="11" t="inlineStr">
        <is>
          <t>rag</t>
        </is>
      </c>
      <c r="AJ14" s="11" t="inlineStr">
        <is>
          <t>rag</t>
        </is>
      </c>
      <c r="AK14" s="11" t="n"/>
      <c r="AL14" s="11" t="b">
        <v>0</v>
      </c>
      <c r="AM14" s="11" t="n">
        <v>180016.72</v>
      </c>
      <c r="AN14" s="11" t="n"/>
      <c r="AO14" s="11" t="n"/>
      <c r="AP14" s="11" t="n"/>
      <c r="AQ14" s="11" t="inlineStr"/>
      <c r="AR14" s="11" t="n"/>
      <c r="AS14" s="11" t="inlineStr"/>
      <c r="AT14" s="11" t="inlineStr">
        <is>
          <t>HTTPConnectionPool(host='localhost', port=8000): Read timed out. (read timeout=180)</t>
        </is>
      </c>
    </row>
    <row r="15">
      <c r="A15" s="11" t="n">
        <v>14</v>
      </c>
      <c r="B15" s="11" t="inlineStr">
        <is>
          <t>course_facts</t>
        </is>
      </c>
      <c r="C15" s="11" t="inlineStr">
        <is>
          <t>easy</t>
        </is>
      </c>
      <c r="D15" s="11" t="inlineStr">
        <is>
          <t>EN</t>
        </is>
      </c>
      <c r="E15" s="11" t="inlineStr">
        <is>
          <t>Is UE-L37.01417 mobility-friendly?</t>
        </is>
      </c>
      <c r="F15" s="11" t="inlineStr">
        <is>
          <t>Exact value from Course/CourseOffering records.</t>
        </is>
      </c>
      <c r="G15" s="11" t="inlineStr">
        <is>
          <t>DB</t>
        </is>
      </c>
      <c r="H15" s="11" t="inlineStr">
        <is>
          <t>API /courses/:code</t>
        </is>
      </c>
      <c r="I15" s="11" t="inlineStr">
        <is>
          <t>Course, CourseOffering, teaches, is_taught_in</t>
        </is>
      </c>
      <c r="J15" s="11" t="inlineStr">
        <is>
          <t>mobility flag</t>
        </is>
      </c>
      <c r="K15" s="11" t="inlineStr">
        <is>
          <t>Replace {COURSE_CODE} with a real course code from your DB.</t>
        </is>
      </c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  <c r="AH15" s="11" t="inlineStr">
        <is>
          <t>2026-05-06T23:46:21</t>
        </is>
      </c>
      <c r="AI15" s="11" t="inlineStr">
        <is>
          <t>rag</t>
        </is>
      </c>
      <c r="AJ15" s="11" t="inlineStr">
        <is>
          <t>rag</t>
        </is>
      </c>
      <c r="AK15" s="11" t="n"/>
      <c r="AL15" s="11" t="b">
        <v>0</v>
      </c>
      <c r="AM15" s="11" t="n">
        <v>180024.87</v>
      </c>
      <c r="AN15" s="11" t="n"/>
      <c r="AO15" s="11" t="n"/>
      <c r="AP15" s="11" t="n"/>
      <c r="AQ15" s="11" t="inlineStr"/>
      <c r="AR15" s="11" t="n"/>
      <c r="AS15" s="11" t="inlineStr"/>
      <c r="AT15" s="11" t="inlineStr">
        <is>
          <t>HTTPConnectionPool(host='localhost', port=8000): Read timed out. (read timeout=180)</t>
        </is>
      </c>
    </row>
    <row r="16">
      <c r="A16" s="11" t="n">
        <v>15</v>
      </c>
      <c r="B16" s="11" t="inlineStr">
        <is>
          <t>schedule_datetime</t>
        </is>
      </c>
      <c r="C16" s="11" t="inlineStr">
        <is>
          <t>medium</t>
        </is>
      </c>
      <c r="D16" s="11" t="inlineStr">
        <is>
          <t>EN</t>
        </is>
      </c>
      <c r="E16" s="11" t="inlineStr">
        <is>
          <t>When does UE-L26.00318 take place in HS-2026?</t>
        </is>
      </c>
      <c r="F16" s="11" t="inlineStr">
        <is>
          <t>Exact schedule/evaluation information or explicit not available.</t>
        </is>
      </c>
      <c r="G16" s="11" t="inlineStr">
        <is>
          <t>DB</t>
        </is>
      </c>
      <c r="H16" s="11" t="inlineStr">
        <is>
          <t>API /planner or /courses/:code/offerings</t>
        </is>
      </c>
      <c r="I16" s="11" t="inlineStr">
        <is>
          <t>CourseOffering, Session, Evaluation</t>
        </is>
      </c>
      <c r="J16" s="11" t="inlineStr">
        <is>
          <t>date/time</t>
        </is>
      </c>
      <c r="K16" s="11" t="inlineStr">
        <is>
          <t>Replace placeholders with real DB values.</t>
        </is>
      </c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inlineStr">
        <is>
          <t>2026-05-06T23:46:21</t>
        </is>
      </c>
      <c r="AI16" s="11" t="inlineStr">
        <is>
          <t>rag</t>
        </is>
      </c>
      <c r="AJ16" s="11" t="inlineStr">
        <is>
          <t>rag</t>
        </is>
      </c>
      <c r="AK16" s="11" t="n"/>
      <c r="AL16" s="11" t="b">
        <v>0</v>
      </c>
      <c r="AM16" s="11" t="n">
        <v>180011.94</v>
      </c>
      <c r="AN16" s="11" t="n"/>
      <c r="AO16" s="11" t="n"/>
      <c r="AP16" s="11" t="n"/>
      <c r="AQ16" s="11" t="inlineStr"/>
      <c r="AR16" s="11" t="n"/>
      <c r="AS16" s="11" t="inlineStr"/>
      <c r="AT16" s="11" t="inlineStr">
        <is>
          <t>HTTPConnectionPool(host='localhost', port=8000): Read timed out. (read timeout=180)</t>
        </is>
      </c>
    </row>
    <row r="17">
      <c r="A17" s="11" t="n">
        <v>16</v>
      </c>
      <c r="B17" s="11" t="inlineStr">
        <is>
          <t>schedule_datetime</t>
        </is>
      </c>
      <c r="C17" s="11" t="inlineStr">
        <is>
          <t>medium</t>
        </is>
      </c>
      <c r="D17" s="11" t="inlineStr">
        <is>
          <t>EN</t>
        </is>
      </c>
      <c r="E17" s="11" t="inlineStr">
        <is>
          <t>On which weekday is UE-EKM.01125 held in HS-2026?</t>
        </is>
      </c>
      <c r="F17" s="11" t="inlineStr">
        <is>
          <t>Exact schedule/evaluation information or explicit not available.</t>
        </is>
      </c>
      <c r="G17" s="11" t="inlineStr">
        <is>
          <t>DB</t>
        </is>
      </c>
      <c r="H17" s="11" t="inlineStr">
        <is>
          <t>API /planner or /courses/:code/offerings</t>
        </is>
      </c>
      <c r="I17" s="11" t="inlineStr">
        <is>
          <t>CourseOffering, Session, Evaluation</t>
        </is>
      </c>
      <c r="J17" s="11" t="inlineStr">
        <is>
          <t>weekday</t>
        </is>
      </c>
      <c r="K17" s="11" t="inlineStr">
        <is>
          <t>Replace placeholders with real DB values.</t>
        </is>
      </c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inlineStr">
        <is>
          <t>2026-05-06T23:46:21</t>
        </is>
      </c>
      <c r="AI17" s="11" t="inlineStr">
        <is>
          <t>rag</t>
        </is>
      </c>
      <c r="AJ17" s="11" t="inlineStr">
        <is>
          <t>rag</t>
        </is>
      </c>
      <c r="AK17" s="11" t="n"/>
      <c r="AL17" s="11" t="b">
        <v>0</v>
      </c>
      <c r="AM17" s="11" t="n">
        <v>180035.07</v>
      </c>
      <c r="AN17" s="11" t="n"/>
      <c r="AO17" s="11" t="n"/>
      <c r="AP17" s="11" t="n"/>
      <c r="AQ17" s="11" t="inlineStr"/>
      <c r="AR17" s="11" t="n"/>
      <c r="AS17" s="11" t="inlineStr"/>
      <c r="AT17" s="11" t="inlineStr">
        <is>
          <t>HTTPConnectionPool(host='localhost', port=8000): Read timed out. (read timeout=180)</t>
        </is>
      </c>
    </row>
    <row r="18">
      <c r="A18" s="11" t="n">
        <v>17</v>
      </c>
      <c r="B18" s="11" t="inlineStr">
        <is>
          <t>schedule_datetime</t>
        </is>
      </c>
      <c r="C18" s="11" t="inlineStr">
        <is>
          <t>medium</t>
        </is>
      </c>
      <c r="D18" s="11" t="inlineStr">
        <is>
          <t>EN</t>
        </is>
      </c>
      <c r="E18" s="11" t="inlineStr">
        <is>
          <t>Where does UE-L37.00927 take place in FS-2026?</t>
        </is>
      </c>
      <c r="F18" s="11" t="inlineStr">
        <is>
          <t>Exact schedule/evaluation information or explicit not available.</t>
        </is>
      </c>
      <c r="G18" s="11" t="inlineStr">
        <is>
          <t>DB</t>
        </is>
      </c>
      <c r="H18" s="11" t="inlineStr">
        <is>
          <t>API /planner or /courses/:code/offerings</t>
        </is>
      </c>
      <c r="I18" s="11" t="inlineStr">
        <is>
          <t>CourseOffering, Session, Evaluation</t>
        </is>
      </c>
      <c r="J18" s="11" t="inlineStr">
        <is>
          <t>room</t>
        </is>
      </c>
      <c r="K18" s="11" t="inlineStr">
        <is>
          <t>Replace placeholders with real DB values.</t>
        </is>
      </c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inlineStr">
        <is>
          <t>2026-05-06T23:46:21</t>
        </is>
      </c>
      <c r="AI18" s="11" t="inlineStr">
        <is>
          <t>rag</t>
        </is>
      </c>
      <c r="AJ18" s="11" t="inlineStr">
        <is>
          <t>rag</t>
        </is>
      </c>
      <c r="AK18" s="11" t="n"/>
      <c r="AL18" s="11" t="b">
        <v>0</v>
      </c>
      <c r="AM18" s="11" t="n">
        <v>180042.96</v>
      </c>
      <c r="AN18" s="11" t="n"/>
      <c r="AO18" s="11" t="n"/>
      <c r="AP18" s="11" t="n"/>
      <c r="AQ18" s="11" t="inlineStr"/>
      <c r="AR18" s="11" t="n"/>
      <c r="AS18" s="11" t="inlineStr"/>
      <c r="AT18" s="11" t="inlineStr">
        <is>
          <t>HTTPConnectionPool(host='localhost', port=8000): Read timed out. (read timeout=180)</t>
        </is>
      </c>
    </row>
    <row r="19">
      <c r="A19" s="11" t="n">
        <v>18</v>
      </c>
      <c r="B19" s="11" t="inlineStr">
        <is>
          <t>schedule_datetime</t>
        </is>
      </c>
      <c r="C19" s="11" t="inlineStr">
        <is>
          <t>medium</t>
        </is>
      </c>
      <c r="D19" s="11" t="inlineStr">
        <is>
          <t>EN</t>
        </is>
      </c>
      <c r="E19" s="11" t="inlineStr">
        <is>
          <t>Is UE-F22.00184 a weekly course or a block course in FS-2026?</t>
        </is>
      </c>
      <c r="F19" s="11" t="inlineStr">
        <is>
          <t>Exact schedule/evaluation information or explicit not available.</t>
        </is>
      </c>
      <c r="G19" s="11" t="inlineStr">
        <is>
          <t>DB</t>
        </is>
      </c>
      <c r="H19" s="11" t="inlineStr">
        <is>
          <t>API /planner or /courses/:code/offerings</t>
        </is>
      </c>
      <c r="I19" s="11" t="inlineStr">
        <is>
          <t>CourseOffering, Session, Evaluation</t>
        </is>
      </c>
      <c r="J19" s="11" t="inlineStr">
        <is>
          <t>offering type</t>
        </is>
      </c>
      <c r="K19" s="11" t="inlineStr">
        <is>
          <t>Replace placeholders with real DB values.</t>
        </is>
      </c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  <c r="AH19" s="11" t="inlineStr">
        <is>
          <t>2026-05-06T23:46:21</t>
        </is>
      </c>
      <c r="AI19" s="11" t="inlineStr">
        <is>
          <t>rag</t>
        </is>
      </c>
      <c r="AJ19" s="11" t="inlineStr">
        <is>
          <t>rag</t>
        </is>
      </c>
      <c r="AK19" s="11" t="n"/>
      <c r="AL19" s="11" t="b">
        <v>0</v>
      </c>
      <c r="AM19" s="11" t="n">
        <v>180021.68</v>
      </c>
      <c r="AN19" s="11" t="n"/>
      <c r="AO19" s="11" t="n"/>
      <c r="AP19" s="11" t="n"/>
      <c r="AQ19" s="11" t="inlineStr"/>
      <c r="AR19" s="11" t="n"/>
      <c r="AS19" s="11" t="inlineStr"/>
      <c r="AT19" s="11" t="inlineStr">
        <is>
          <t>HTTPConnectionPool(host='localhost', port=8000): Read timed out. (read timeout=180)</t>
        </is>
      </c>
    </row>
    <row r="20">
      <c r="A20" s="11" t="n">
        <v>19</v>
      </c>
      <c r="B20" s="11" t="inlineStr">
        <is>
          <t>schedule_datetime</t>
        </is>
      </c>
      <c r="C20" s="11" t="inlineStr">
        <is>
          <t>medium</t>
        </is>
      </c>
      <c r="D20" s="11" t="inlineStr">
        <is>
          <t>EN</t>
        </is>
      </c>
      <c r="E20" s="11" t="inlineStr">
        <is>
          <t>What sessions are listed for 	UE-I08.00010 in FS-2026?</t>
        </is>
      </c>
      <c r="F20" s="11" t="inlineStr">
        <is>
          <t>Exact schedule/evaluation information or explicit not available.</t>
        </is>
      </c>
      <c r="G20" s="11" t="inlineStr">
        <is>
          <t>DB</t>
        </is>
      </c>
      <c r="H20" s="11" t="inlineStr">
        <is>
          <t>API /planner or /courses/:code/offerings</t>
        </is>
      </c>
      <c r="I20" s="11" t="inlineStr">
        <is>
          <t>CourseOffering, Session, Evaluation</t>
        </is>
      </c>
      <c r="J20" s="11" t="inlineStr">
        <is>
          <t>session list</t>
        </is>
      </c>
      <c r="K20" s="11" t="inlineStr">
        <is>
          <t>Replace placeholders with real DB values.</t>
        </is>
      </c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inlineStr">
        <is>
          <t>2026-05-06T23:46:21</t>
        </is>
      </c>
      <c r="AI20" s="11" t="inlineStr">
        <is>
          <t>rag</t>
        </is>
      </c>
      <c r="AJ20" s="11" t="inlineStr">
        <is>
          <t>rag</t>
        </is>
      </c>
      <c r="AK20" s="11" t="n"/>
      <c r="AL20" s="11" t="b">
        <v>0</v>
      </c>
      <c r="AM20" s="11" t="n">
        <v>180021.47</v>
      </c>
      <c r="AN20" s="11" t="n"/>
      <c r="AO20" s="11" t="n"/>
      <c r="AP20" s="11" t="n"/>
      <c r="AQ20" s="11" t="inlineStr"/>
      <c r="AR20" s="11" t="n"/>
      <c r="AS20" s="11" t="inlineStr"/>
      <c r="AT20" s="11" t="inlineStr">
        <is>
          <t>HTTPConnectionPool(host='localhost', port=8000): Read timed out. (read timeout=180)</t>
        </is>
      </c>
    </row>
    <row r="21">
      <c r="A21" s="11" t="n">
        <v>20</v>
      </c>
      <c r="B21" s="11" t="inlineStr">
        <is>
          <t>schedule_datetime</t>
        </is>
      </c>
      <c r="C21" s="11" t="inlineStr">
        <is>
          <t>medium</t>
        </is>
      </c>
      <c r="D21" s="11" t="inlineStr">
        <is>
          <t>EN</t>
        </is>
      </c>
      <c r="E21" s="11" t="inlineStr">
        <is>
          <t>When is the evaluation or exam for UE-SBC.07109 in HS-2026?</t>
        </is>
      </c>
      <c r="F21" s="11" t="inlineStr">
        <is>
          <t>Exact schedule/evaluation information or explicit not available.</t>
        </is>
      </c>
      <c r="G21" s="11" t="inlineStr">
        <is>
          <t>DB</t>
        </is>
      </c>
      <c r="H21" s="11" t="inlineStr">
        <is>
          <t>API /planner or /courses/:code/offerings</t>
        </is>
      </c>
      <c r="I21" s="11" t="inlineStr">
        <is>
          <t>CourseOffering, Session, Evaluation</t>
        </is>
      </c>
      <c r="J21" s="11" t="inlineStr">
        <is>
          <t>evaluation date/time</t>
        </is>
      </c>
      <c r="K21" s="11" t="inlineStr">
        <is>
          <t>Replace placeholders with real DB values.</t>
        </is>
      </c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inlineStr">
        <is>
          <t>2026-05-06T23:46:21</t>
        </is>
      </c>
      <c r="AI21" s="11" t="inlineStr">
        <is>
          <t>rag</t>
        </is>
      </c>
      <c r="AJ21" s="11" t="inlineStr">
        <is>
          <t>rag</t>
        </is>
      </c>
      <c r="AK21" s="11" t="n"/>
      <c r="AL21" s="11" t="b">
        <v>0</v>
      </c>
      <c r="AM21" s="11" t="n">
        <v>180019.02</v>
      </c>
      <c r="AN21" s="11" t="n"/>
      <c r="AO21" s="11" t="n"/>
      <c r="AP21" s="11" t="n"/>
      <c r="AQ21" s="11" t="inlineStr"/>
      <c r="AR21" s="11" t="n"/>
      <c r="AS21" s="11" t="inlineStr"/>
      <c r="AT21" s="11" t="inlineStr">
        <is>
          <t>HTTPConnectionPool(host='localhost', port=8000): Read timed out. (read timeout=180)</t>
        </is>
      </c>
    </row>
    <row r="22">
      <c r="A22" s="11" t="n">
        <v>21</v>
      </c>
      <c r="B22" s="11" t="inlineStr">
        <is>
          <t>schedule_datetime</t>
        </is>
      </c>
      <c r="C22" s="11" t="inlineStr">
        <is>
          <t>medium</t>
        </is>
      </c>
      <c r="D22" s="11" t="inlineStr">
        <is>
          <t>EN</t>
        </is>
      </c>
      <c r="E22" s="11" t="inlineStr">
        <is>
          <t>Which courses in FS-2026 happen on Monday?</t>
        </is>
      </c>
      <c r="F22" s="11" t="inlineStr">
        <is>
          <t>Exact schedule/evaluation information or explicit not available.</t>
        </is>
      </c>
      <c r="G22" s="11" t="inlineStr">
        <is>
          <t>DB</t>
        </is>
      </c>
      <c r="H22" s="11" t="inlineStr">
        <is>
          <t>API /planner or /courses/:code/offerings</t>
        </is>
      </c>
      <c r="I22" s="11" t="inlineStr">
        <is>
          <t>CourseOffering, Session, Evaluation</t>
        </is>
      </c>
      <c r="J22" s="11" t="inlineStr">
        <is>
          <t>course list</t>
        </is>
      </c>
      <c r="K22" s="11" t="inlineStr">
        <is>
          <t>Replace placeholders with real DB values.</t>
        </is>
      </c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inlineStr">
        <is>
          <t>2026-05-06T23:46:21</t>
        </is>
      </c>
      <c r="AI22" s="11" t="inlineStr">
        <is>
          <t>rag</t>
        </is>
      </c>
      <c r="AJ22" s="11" t="inlineStr">
        <is>
          <t>rag</t>
        </is>
      </c>
      <c r="AK22" s="11" t="n"/>
      <c r="AL22" s="11" t="b">
        <v>0</v>
      </c>
      <c r="AM22" s="11" t="n">
        <v>180045.61</v>
      </c>
      <c r="AN22" s="11" t="n"/>
      <c r="AO22" s="11" t="n"/>
      <c r="AP22" s="11" t="n"/>
      <c r="AQ22" s="11" t="inlineStr"/>
      <c r="AR22" s="11" t="n"/>
      <c r="AS22" s="11" t="inlineStr"/>
      <c r="AT22" s="11" t="inlineStr">
        <is>
          <t>HTTPConnectionPool(host='localhost', port=8000): Read timed out. (read timeout=180)</t>
        </is>
      </c>
    </row>
    <row r="23">
      <c r="A23" s="11" t="n">
        <v>22</v>
      </c>
      <c r="B23" s="11" t="inlineStr">
        <is>
          <t>schedule_datetime</t>
        </is>
      </c>
      <c r="C23" s="11" t="inlineStr">
        <is>
          <t>medium</t>
        </is>
      </c>
      <c r="D23" s="11" t="inlineStr">
        <is>
          <t>EN</t>
        </is>
      </c>
      <c r="E23" s="11" t="inlineStr">
        <is>
          <t>Which courses in HS-2026 have a time conflict with UE-L26.00013?</t>
        </is>
      </c>
      <c r="F23" s="11" t="inlineStr">
        <is>
          <t>Exact schedule/evaluation information or explicit not available.</t>
        </is>
      </c>
      <c r="G23" s="11" t="inlineStr">
        <is>
          <t>DB</t>
        </is>
      </c>
      <c r="H23" s="11" t="inlineStr">
        <is>
          <t>API /planner or /courses/:code/offerings</t>
        </is>
      </c>
      <c r="I23" s="11" t="inlineStr">
        <is>
          <t>CourseOffering, Session, Evaluation</t>
        </is>
      </c>
      <c r="J23" s="11" t="inlineStr">
        <is>
          <t>conflicting sessions</t>
        </is>
      </c>
      <c r="K23" s="11" t="inlineStr">
        <is>
          <t>Replace placeholders with real DB values.</t>
        </is>
      </c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inlineStr">
        <is>
          <t>2026-05-06T23:46:21</t>
        </is>
      </c>
      <c r="AI23" s="11" t="inlineStr">
        <is>
          <t>rag</t>
        </is>
      </c>
      <c r="AJ23" s="11" t="inlineStr">
        <is>
          <t>rag</t>
        </is>
      </c>
      <c r="AK23" s="11" t="n"/>
      <c r="AL23" s="11" t="b">
        <v>0</v>
      </c>
      <c r="AM23" s="11" t="n">
        <v>180029.19</v>
      </c>
      <c r="AN23" s="11" t="n"/>
      <c r="AO23" s="11" t="n"/>
      <c r="AP23" s="11" t="n"/>
      <c r="AQ23" s="11" t="inlineStr"/>
      <c r="AR23" s="11" t="n"/>
      <c r="AS23" s="11" t="inlineStr"/>
      <c r="AT23" s="11" t="inlineStr">
        <is>
          <t>HTTPConnectionPool(host='localhost', port=8000): Read timed out. (read timeout=180)</t>
        </is>
      </c>
    </row>
    <row r="24">
      <c r="A24" s="11" t="n">
        <v>23</v>
      </c>
      <c r="B24" s="11" t="inlineStr">
        <is>
          <t>program_structure_filtering</t>
        </is>
      </c>
      <c r="C24" s="11" t="inlineStr">
        <is>
          <t>medium</t>
        </is>
      </c>
      <c r="D24" s="11" t="inlineStr">
        <is>
          <t>EN</t>
        </is>
      </c>
      <c r="E24" s="11" t="inlineStr">
        <is>
          <t>How many ECTS are required for Business Informatics?</t>
        </is>
      </c>
      <c r="F24" s="11" t="inlineStr">
        <is>
          <t>Exact values from DB.</t>
        </is>
      </c>
      <c r="G24" s="11" t="inlineStr">
        <is>
          <t>DB</t>
        </is>
      </c>
      <c r="H24" s="11" t="inlineStr">
        <is>
          <t>API /programs filter</t>
        </is>
      </c>
      <c r="I24" s="11" t="inlineStr">
        <is>
          <t>StudyProgram, consist_of, Course, programDocument</t>
        </is>
      </c>
      <c r="J24" s="11" t="inlineStr">
        <is>
          <t>total ECTS</t>
        </is>
      </c>
      <c r="K24" s="11" t="inlineStr">
        <is>
          <t>Replace placeholders where needed.</t>
        </is>
      </c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inlineStr">
        <is>
          <t>2026-05-06T23:46:21</t>
        </is>
      </c>
      <c r="AI24" s="11" t="inlineStr">
        <is>
          <t>rag</t>
        </is>
      </c>
      <c r="AJ24" s="11" t="inlineStr">
        <is>
          <t>rag</t>
        </is>
      </c>
      <c r="AK24" s="11" t="n"/>
      <c r="AL24" s="11" t="b">
        <v>0</v>
      </c>
      <c r="AM24" s="11" t="n">
        <v>180037.16</v>
      </c>
      <c r="AN24" s="11" t="n"/>
      <c r="AO24" s="11" t="n"/>
      <c r="AP24" s="11" t="n"/>
      <c r="AQ24" s="11" t="inlineStr"/>
      <c r="AR24" s="11" t="n"/>
      <c r="AS24" s="11" t="inlineStr"/>
      <c r="AT24" s="11" t="inlineStr">
        <is>
          <t>HTTPConnectionPool(host='localhost', port=8000): Read timed out. (read timeout=180)</t>
        </is>
      </c>
    </row>
    <row r="25">
      <c r="A25" s="11" t="n">
        <v>24</v>
      </c>
      <c r="B25" s="11" t="inlineStr">
        <is>
          <t>program_structure_filtering</t>
        </is>
      </c>
      <c r="C25" s="11" t="inlineStr">
        <is>
          <t>medium</t>
        </is>
      </c>
      <c r="D25" s="11" t="inlineStr">
        <is>
          <t>EN</t>
        </is>
      </c>
      <c r="E25" s="11" t="inlineStr">
        <is>
          <t>When can students start Physics: autumn, spring, or both?</t>
        </is>
      </c>
      <c r="F25" s="11" t="inlineStr">
        <is>
          <t>Exact values from DB.</t>
        </is>
      </c>
      <c r="G25" s="11" t="inlineStr">
        <is>
          <t>DB</t>
        </is>
      </c>
      <c r="H25" s="11" t="inlineStr">
        <is>
          <t>API /programs filter</t>
        </is>
      </c>
      <c r="I25" s="11" t="inlineStr">
        <is>
          <t>StudyProgram, consist_of, Course, programDocument</t>
        </is>
      </c>
      <c r="J25" s="11" t="inlineStr">
        <is>
          <t>study_start</t>
        </is>
      </c>
      <c r="K25" s="11" t="inlineStr">
        <is>
          <t>Replace placeholders where needed.</t>
        </is>
      </c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inlineStr">
        <is>
          <t>2026-05-06T23:46:21</t>
        </is>
      </c>
      <c r="AI25" s="11" t="inlineStr">
        <is>
          <t>rag</t>
        </is>
      </c>
      <c r="AJ25" s="11" t="inlineStr">
        <is>
          <t>rag</t>
        </is>
      </c>
      <c r="AK25" s="11" t="n"/>
      <c r="AL25" s="11" t="b">
        <v>0</v>
      </c>
      <c r="AM25" s="11" t="n">
        <v>180010.39</v>
      </c>
      <c r="AN25" s="11" t="n"/>
      <c r="AO25" s="11" t="n"/>
      <c r="AP25" s="11" t="n"/>
      <c r="AQ25" s="11" t="inlineStr"/>
      <c r="AR25" s="11" t="n"/>
      <c r="AS25" s="11" t="inlineStr"/>
      <c r="AT25" s="11" t="inlineStr">
        <is>
          <t>HTTPConnectionPool(host='localhost', port=8000): Read timed out. (read timeout=180)</t>
        </is>
      </c>
    </row>
    <row r="26">
      <c r="A26" s="11" t="n">
        <v>25</v>
      </c>
      <c r="B26" s="11" t="inlineStr">
        <is>
          <t>program_structure_filtering</t>
        </is>
      </c>
      <c r="C26" s="11" t="inlineStr">
        <is>
          <t>medium</t>
        </is>
      </c>
      <c r="D26" s="11" t="inlineStr">
        <is>
          <t>EN</t>
        </is>
      </c>
      <c r="E26" s="11" t="inlineStr">
        <is>
          <t>Which faculty offers 	Digital Neuroscience?</t>
        </is>
      </c>
      <c r="F26" s="11" t="inlineStr">
        <is>
          <t>Exact values from DB.</t>
        </is>
      </c>
      <c r="G26" s="11" t="inlineStr">
        <is>
          <t>DB</t>
        </is>
      </c>
      <c r="H26" s="11" t="inlineStr">
        <is>
          <t>API /programs filter</t>
        </is>
      </c>
      <c r="I26" s="11" t="inlineStr">
        <is>
          <t>StudyProgram, consist_of, Course, programDocument</t>
        </is>
      </c>
      <c r="J26" s="11" t="inlineStr">
        <is>
          <t>faculty</t>
        </is>
      </c>
      <c r="K26" s="11" t="inlineStr">
        <is>
          <t>Replace placeholders where needed.</t>
        </is>
      </c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inlineStr">
        <is>
          <t>2026-05-06T23:46:21</t>
        </is>
      </c>
      <c r="AI26" s="11" t="inlineStr">
        <is>
          <t>rag</t>
        </is>
      </c>
      <c r="AJ26" s="11" t="inlineStr">
        <is>
          <t>rag</t>
        </is>
      </c>
      <c r="AK26" s="11" t="n"/>
      <c r="AL26" s="11" t="b">
        <v>0</v>
      </c>
      <c r="AM26" s="11" t="n">
        <v>180014.13</v>
      </c>
      <c r="AN26" s="11" t="n"/>
      <c r="AO26" s="11" t="n"/>
      <c r="AP26" s="11" t="n"/>
      <c r="AQ26" s="11" t="inlineStr"/>
      <c r="AR26" s="11" t="n"/>
      <c r="AS26" s="11" t="inlineStr"/>
      <c r="AT26" s="11" t="inlineStr">
        <is>
          <t>HTTPConnectionPool(host='localhost', port=8000): Read timed out. (read timeout=180)</t>
        </is>
      </c>
    </row>
    <row r="27">
      <c r="A27" s="11" t="n">
        <v>26</v>
      </c>
      <c r="B27" s="11" t="inlineStr">
        <is>
          <t>program_structure_filtering</t>
        </is>
      </c>
      <c r="C27" s="11" t="inlineStr">
        <is>
          <t>medium</t>
        </is>
      </c>
      <c r="D27" s="11" t="inlineStr">
        <is>
          <t>EN</t>
        </is>
      </c>
      <c r="E27" s="11" t="inlineStr">
        <is>
          <t>Which languages are associated with 	Digital Neuroscience?</t>
        </is>
      </c>
      <c r="F27" s="11" t="inlineStr">
        <is>
          <t>Exact values from DB.</t>
        </is>
      </c>
      <c r="G27" s="11" t="inlineStr">
        <is>
          <t>DB</t>
        </is>
      </c>
      <c r="H27" s="11" t="inlineStr">
        <is>
          <t>API /programs/:id/languages</t>
        </is>
      </c>
      <c r="I27" s="11" t="inlineStr">
        <is>
          <t>StudyProgram, consist_of, Course, programDocument</t>
        </is>
      </c>
      <c r="J27" s="11" t="inlineStr">
        <is>
          <t>languages</t>
        </is>
      </c>
      <c r="K27" s="11" t="inlineStr">
        <is>
          <t>Replace placeholders where needed.</t>
        </is>
      </c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inlineStr">
        <is>
          <t>2026-05-06T23:46:21</t>
        </is>
      </c>
      <c r="AI27" s="11" t="inlineStr">
        <is>
          <t>rag</t>
        </is>
      </c>
      <c r="AJ27" s="11" t="inlineStr">
        <is>
          <t>rag</t>
        </is>
      </c>
      <c r="AK27" s="11" t="n"/>
      <c r="AL27" s="11" t="b">
        <v>0</v>
      </c>
      <c r="AM27" s="11" t="n">
        <v>180012.6</v>
      </c>
      <c r="AN27" s="11" t="n"/>
      <c r="AO27" s="11" t="n"/>
      <c r="AP27" s="11" t="n"/>
      <c r="AQ27" s="11" t="inlineStr"/>
      <c r="AR27" s="11" t="n"/>
      <c r="AS27" s="11" t="inlineStr"/>
      <c r="AT27" s="11" t="inlineStr">
        <is>
          <t>HTTPConnectionPool(host='localhost', port=8000): Read timed out. (read timeout=180)</t>
        </is>
      </c>
    </row>
    <row r="28">
      <c r="A28" s="11" t="n">
        <v>27</v>
      </c>
      <c r="B28" s="11" t="inlineStr">
        <is>
          <t>program_structure_filtering</t>
        </is>
      </c>
      <c r="C28" s="11" t="inlineStr">
        <is>
          <t>medium</t>
        </is>
      </c>
      <c r="D28" s="11" t="inlineStr">
        <is>
          <t>EN</t>
        </is>
      </c>
      <c r="E28" s="11" t="inlineStr">
        <is>
          <t>Which courses belong to Experimental Biomedical Research?</t>
        </is>
      </c>
      <c r="F28" s="11" t="inlineStr">
        <is>
          <t>Exact values from DB.</t>
        </is>
      </c>
      <c r="G28" s="11" t="inlineStr">
        <is>
          <t>DB</t>
        </is>
      </c>
      <c r="H28" s="11" t="inlineStr">
        <is>
          <t>API /programs/:id/courses</t>
        </is>
      </c>
      <c r="I28" s="11" t="inlineStr">
        <is>
          <t>StudyProgram, consist_of, Course, programDocument</t>
        </is>
      </c>
      <c r="J28" s="11" t="inlineStr">
        <is>
          <t>course list</t>
        </is>
      </c>
      <c r="K28" s="11" t="inlineStr">
        <is>
          <t>Replace placeholders where needed.</t>
        </is>
      </c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inlineStr">
        <is>
          <t>2026-05-06T23:46:21</t>
        </is>
      </c>
      <c r="AI28" s="11" t="inlineStr">
        <is>
          <t>rag</t>
        </is>
      </c>
      <c r="AJ28" s="11" t="inlineStr">
        <is>
          <t>rag</t>
        </is>
      </c>
      <c r="AK28" s="11" t="n"/>
      <c r="AL28" s="11" t="b">
        <v>0</v>
      </c>
      <c r="AM28" s="11" t="n">
        <v>180020.54</v>
      </c>
      <c r="AN28" s="11" t="n"/>
      <c r="AO28" s="11" t="n"/>
      <c r="AP28" s="11" t="n"/>
      <c r="AQ28" s="11" t="inlineStr"/>
      <c r="AR28" s="11" t="n"/>
      <c r="AS28" s="11" t="inlineStr"/>
      <c r="AT28" s="11" t="inlineStr">
        <is>
          <t>HTTPConnectionPool(host='localhost', port=8000): Read timed out. (read timeout=180)</t>
        </is>
      </c>
    </row>
    <row r="29">
      <c r="A29" s="11" t="n">
        <v>28</v>
      </c>
      <c r="B29" s="11" t="inlineStr">
        <is>
          <t>program_structure_filtering</t>
        </is>
      </c>
      <c r="C29" s="11" t="inlineStr">
        <is>
          <t>medium</t>
        </is>
      </c>
      <c r="D29" s="11" t="inlineStr">
        <is>
          <t>EN</t>
        </is>
      </c>
      <c r="E29" s="11" t="inlineStr">
        <is>
          <t>Which elective courses belong to Computer Science?</t>
        </is>
      </c>
      <c r="F29" s="11" t="inlineStr">
        <is>
          <t>Exact values from DB.</t>
        </is>
      </c>
      <c r="G29" s="11" t="inlineStr">
        <is>
          <t>DB</t>
        </is>
      </c>
      <c r="H29" s="11" t="inlineStr">
        <is>
          <t>API /programs/:id/courses?type=Elective</t>
        </is>
      </c>
      <c r="I29" s="11" t="inlineStr">
        <is>
          <t>StudyProgram, consist_of, Course, programDocument</t>
        </is>
      </c>
      <c r="J29" s="11" t="inlineStr">
        <is>
          <t>elective list</t>
        </is>
      </c>
      <c r="K29" s="11" t="inlineStr">
        <is>
          <t>Replace placeholders where needed.</t>
        </is>
      </c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inlineStr">
        <is>
          <t>2026-05-06T23:46:21</t>
        </is>
      </c>
      <c r="AI29" s="11" t="inlineStr">
        <is>
          <t>rag</t>
        </is>
      </c>
      <c r="AJ29" s="11" t="inlineStr">
        <is>
          <t>rag</t>
        </is>
      </c>
      <c r="AK29" s="11" t="n"/>
      <c r="AL29" s="11" t="b">
        <v>0</v>
      </c>
      <c r="AM29" s="11" t="n">
        <v>180015.77</v>
      </c>
      <c r="AN29" s="11" t="n"/>
      <c r="AO29" s="11" t="n"/>
      <c r="AP29" s="11" t="n"/>
      <c r="AQ29" s="11" t="inlineStr"/>
      <c r="AR29" s="11" t="n"/>
      <c r="AS29" s="11" t="inlineStr"/>
      <c r="AT29" s="11" t="inlineStr">
        <is>
          <t>HTTPConnectionPool(host='localhost', port=8000): Read timed out. (read timeout=180)</t>
        </is>
      </c>
    </row>
    <row r="30">
      <c r="A30" s="11" t="n">
        <v>29</v>
      </c>
      <c r="B30" s="11" t="inlineStr">
        <is>
          <t>program_structure_filtering</t>
        </is>
      </c>
      <c r="C30" s="11" t="inlineStr">
        <is>
          <t>medium</t>
        </is>
      </c>
      <c r="D30" s="11" t="inlineStr">
        <is>
          <t>EN</t>
        </is>
      </c>
      <c r="E30" s="11" t="inlineStr">
        <is>
          <t>Which mandatory courses belong to 3	Computer Sci?ence</t>
        </is>
      </c>
      <c r="F30" s="11" t="inlineStr">
        <is>
          <t>Exact values from DB.</t>
        </is>
      </c>
      <c r="G30" s="11" t="inlineStr">
        <is>
          <t>DB</t>
        </is>
      </c>
      <c r="H30" s="11" t="inlineStr">
        <is>
          <t>API /programs/:id/courses?type=Mandatory</t>
        </is>
      </c>
      <c r="I30" s="11" t="inlineStr">
        <is>
          <t>StudyProgram, consist_of, Course, programDocument</t>
        </is>
      </c>
      <c r="J30" s="11" t="inlineStr">
        <is>
          <t>mandatory list</t>
        </is>
      </c>
      <c r="K30" s="11" t="inlineStr">
        <is>
          <t>Replace placeholders where needed.</t>
        </is>
      </c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inlineStr">
        <is>
          <t>2026-05-06T23:46:21</t>
        </is>
      </c>
      <c r="AI30" s="11" t="inlineStr">
        <is>
          <t>rag</t>
        </is>
      </c>
      <c r="AJ30" s="11" t="inlineStr">
        <is>
          <t>rag</t>
        </is>
      </c>
      <c r="AK30" s="11" t="n"/>
      <c r="AL30" s="11" t="b">
        <v>0</v>
      </c>
      <c r="AM30" s="11" t="n">
        <v>180022.6</v>
      </c>
      <c r="AN30" s="11" t="n"/>
      <c r="AO30" s="11" t="n"/>
      <c r="AP30" s="11" t="n"/>
      <c r="AQ30" s="11" t="inlineStr"/>
      <c r="AR30" s="11" t="n"/>
      <c r="AS30" s="11" t="inlineStr"/>
      <c r="AT30" s="11" t="inlineStr">
        <is>
          <t>HTTPConnectionPool(host='localhost', port=8000): Read timed out. (read timeout=180)</t>
        </is>
      </c>
    </row>
    <row r="31">
      <c r="A31" s="11" t="n">
        <v>30</v>
      </c>
      <c r="B31" s="11" t="inlineStr">
        <is>
          <t>program_structure_filtering</t>
        </is>
      </c>
      <c r="C31" s="11" t="inlineStr">
        <is>
          <t>medium</t>
        </is>
      </c>
      <c r="D31" s="11" t="inlineStr">
        <is>
          <t>EN</t>
        </is>
      </c>
      <c r="E31" s="11" t="inlineStr">
        <is>
          <t>Which study plan documents are stored for Social Anthropology?</t>
        </is>
      </c>
      <c r="F31" s="11" t="inlineStr">
        <is>
          <t>Exact values from DB.</t>
        </is>
      </c>
      <c r="G31" s="11" t="inlineStr">
        <is>
          <t>DB</t>
        </is>
      </c>
      <c r="H31" s="11" t="inlineStr">
        <is>
          <t>API /programs/:id/documents</t>
        </is>
      </c>
      <c r="I31" s="11" t="inlineStr">
        <is>
          <t>StudyProgram, consist_of, Course, programDocument</t>
        </is>
      </c>
      <c r="J31" s="11" t="inlineStr">
        <is>
          <t>document labels/URLs</t>
        </is>
      </c>
      <c r="K31" s="11" t="inlineStr">
        <is>
          <t>Replace placeholders where needed.</t>
        </is>
      </c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  <c r="AH31" s="11" t="inlineStr">
        <is>
          <t>2026-05-06T23:46:21</t>
        </is>
      </c>
      <c r="AI31" s="11" t="inlineStr">
        <is>
          <t>rag</t>
        </is>
      </c>
      <c r="AJ31" s="11" t="inlineStr">
        <is>
          <t>rag</t>
        </is>
      </c>
      <c r="AK31" s="11" t="n"/>
      <c r="AL31" s="11" t="b">
        <v>0</v>
      </c>
      <c r="AM31" s="11" t="n">
        <v>180035</v>
      </c>
      <c r="AN31" s="11" t="n"/>
      <c r="AO31" s="11" t="n"/>
      <c r="AP31" s="11" t="n"/>
      <c r="AQ31" s="11" t="inlineStr"/>
      <c r="AR31" s="11" t="n"/>
      <c r="AS31" s="11" t="inlineStr"/>
      <c r="AT31" s="11" t="inlineStr">
        <is>
          <t>HTTPConnectionPool(host='localhost', port=8000): Read timed out. (read timeout=180)</t>
        </is>
      </c>
    </row>
    <row r="32">
      <c r="A32" s="11" t="n">
        <v>31</v>
      </c>
      <c r="B32" s="11" t="inlineStr">
        <is>
          <t>program_structure_filtering</t>
        </is>
      </c>
      <c r="C32" s="11" t="inlineStr">
        <is>
          <t>medium</t>
        </is>
      </c>
      <c r="D32" s="11" t="inlineStr">
        <is>
          <t>EN</t>
        </is>
      </c>
      <c r="E32" s="11" t="inlineStr">
        <is>
          <t>Show all courses with 6 ECTS.</t>
        </is>
      </c>
      <c r="F32" s="11" t="inlineStr">
        <is>
          <t>Exact values from DB.</t>
        </is>
      </c>
      <c r="G32" s="11" t="inlineStr">
        <is>
          <t>DB</t>
        </is>
      </c>
      <c r="H32" s="11" t="inlineStr">
        <is>
          <t>API /courses?ects=6</t>
        </is>
      </c>
      <c r="I32" s="11" t="inlineStr">
        <is>
          <t>StudyProgram, consist_of, Course, programDocument</t>
        </is>
      </c>
      <c r="J32" s="11" t="inlineStr">
        <is>
          <t>course list</t>
        </is>
      </c>
      <c r="K32" s="11" t="inlineStr">
        <is>
          <t>Replace placeholders where needed.</t>
        </is>
      </c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  <c r="AH32" s="11" t="inlineStr">
        <is>
          <t>2026-05-06T23:46:21</t>
        </is>
      </c>
      <c r="AI32" s="11" t="inlineStr">
        <is>
          <t>rag</t>
        </is>
      </c>
      <c r="AJ32" s="11" t="inlineStr">
        <is>
          <t>rag</t>
        </is>
      </c>
      <c r="AK32" s="11" t="n"/>
      <c r="AL32" s="11" t="b">
        <v>0</v>
      </c>
      <c r="AM32" s="11" t="n">
        <v>180027.68</v>
      </c>
      <c r="AN32" s="11" t="n"/>
      <c r="AO32" s="11" t="n"/>
      <c r="AP32" s="11" t="n"/>
      <c r="AQ32" s="11" t="inlineStr"/>
      <c r="AR32" s="11" t="n"/>
      <c r="AS32" s="11" t="inlineStr"/>
      <c r="AT32" s="11" t="inlineStr">
        <is>
          <t>HTTPConnectionPool(host='localhost', port=8000): Read timed out. (read timeout=180)</t>
        </is>
      </c>
    </row>
    <row r="33">
      <c r="A33" s="11" t="n">
        <v>32</v>
      </c>
      <c r="B33" s="11" t="inlineStr">
        <is>
          <t>program_structure_filtering</t>
        </is>
      </c>
      <c r="C33" s="11" t="inlineStr">
        <is>
          <t>medium</t>
        </is>
      </c>
      <c r="D33" s="11" t="inlineStr">
        <is>
          <t>EN</t>
        </is>
      </c>
      <c r="E33" s="11" t="inlineStr">
        <is>
          <t>Show all courses taught in English.</t>
        </is>
      </c>
      <c r="F33" s="11" t="inlineStr">
        <is>
          <t>Exact values from DB.</t>
        </is>
      </c>
      <c r="G33" s="11" t="inlineStr">
        <is>
          <t>DB</t>
        </is>
      </c>
      <c r="H33" s="11" t="inlineStr">
        <is>
          <t>API /courses?language=English</t>
        </is>
      </c>
      <c r="I33" s="11" t="inlineStr">
        <is>
          <t>StudyProgram, consist_of, Course, programDocument</t>
        </is>
      </c>
      <c r="J33" s="11" t="inlineStr">
        <is>
          <t>course list</t>
        </is>
      </c>
      <c r="K33" s="11" t="inlineStr">
        <is>
          <t>Replace placeholders where needed.</t>
        </is>
      </c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  <c r="AH33" s="11" t="inlineStr">
        <is>
          <t>2026-05-06T23:46:21</t>
        </is>
      </c>
      <c r="AI33" s="11" t="inlineStr">
        <is>
          <t>rag</t>
        </is>
      </c>
      <c r="AJ33" s="11" t="inlineStr">
        <is>
          <t>rag</t>
        </is>
      </c>
      <c r="AK33" s="11" t="n"/>
      <c r="AL33" s="11" t="b">
        <v>0</v>
      </c>
      <c r="AM33" s="11" t="n">
        <v>180015.53</v>
      </c>
      <c r="AN33" s="11" t="n"/>
      <c r="AO33" s="11" t="n"/>
      <c r="AP33" s="11" t="n"/>
      <c r="AQ33" s="11" t="inlineStr"/>
      <c r="AR33" s="11" t="n"/>
      <c r="AS33" s="11" t="inlineStr"/>
      <c r="AT33" s="11" t="inlineStr">
        <is>
          <t>HTTPConnectionPool(host='localhost', port=8000): Read timed out. (read timeout=180)</t>
        </is>
      </c>
    </row>
    <row r="34">
      <c r="A34" s="11" t="n">
        <v>33</v>
      </c>
      <c r="B34" s="11" t="inlineStr">
        <is>
          <t>program_structure_filtering</t>
        </is>
      </c>
      <c r="C34" s="11" t="inlineStr">
        <is>
          <t>medium</t>
        </is>
      </c>
      <c r="D34" s="11" t="inlineStr">
        <is>
          <t>EN</t>
        </is>
      </c>
      <c r="E34" s="11" t="inlineStr">
        <is>
          <t>Show all courses offered in HS-2026.</t>
        </is>
      </c>
      <c r="F34" s="11" t="inlineStr">
        <is>
          <t>Exact values from DB.</t>
        </is>
      </c>
      <c r="G34" s="11" t="inlineStr">
        <is>
          <t>DB</t>
        </is>
      </c>
      <c r="H34" s="11" t="inlineStr">
        <is>
          <t>API /courses?semester=...</t>
        </is>
      </c>
      <c r="I34" s="11" t="inlineStr">
        <is>
          <t>StudyProgram, consist_of, Course, programDocument</t>
        </is>
      </c>
      <c r="J34" s="11" t="inlineStr">
        <is>
          <t>course list</t>
        </is>
      </c>
      <c r="K34" s="11" t="inlineStr">
        <is>
          <t>Replace placeholders where needed.</t>
        </is>
      </c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inlineStr">
        <is>
          <t>2026-05-06T23:46:21</t>
        </is>
      </c>
      <c r="AI34" s="11" t="inlineStr">
        <is>
          <t>rag</t>
        </is>
      </c>
      <c r="AJ34" s="11" t="inlineStr">
        <is>
          <t>rag</t>
        </is>
      </c>
      <c r="AK34" s="11" t="n"/>
      <c r="AL34" s="11" t="b">
        <v>0</v>
      </c>
      <c r="AM34" s="11" t="n">
        <v>180007.03</v>
      </c>
      <c r="AN34" s="11" t="n"/>
      <c r="AO34" s="11" t="n"/>
      <c r="AP34" s="11" t="n"/>
      <c r="AQ34" s="11" t="inlineStr"/>
      <c r="AR34" s="11" t="n"/>
      <c r="AS34" s="11" t="inlineStr"/>
      <c r="AT34" s="11" t="inlineStr">
        <is>
          <t>HTTPConnectionPool(host='localhost', port=8000): Read timed out. (read timeout=180)</t>
        </is>
      </c>
    </row>
    <row r="35">
      <c r="A35" s="11" t="n">
        <v>34</v>
      </c>
      <c r="B35" s="11" t="inlineStr">
        <is>
          <t>program_structure_filtering</t>
        </is>
      </c>
      <c r="C35" s="11" t="inlineStr">
        <is>
          <t>medium</t>
        </is>
      </c>
      <c r="D35" s="11" t="inlineStr">
        <is>
          <t>EN</t>
        </is>
      </c>
      <c r="E35" s="11" t="inlineStr">
        <is>
          <t>Which bachelor programs have 180 ECTS?</t>
        </is>
      </c>
      <c r="F35" s="11" t="inlineStr">
        <is>
          <t>Exact values from DB.</t>
        </is>
      </c>
      <c r="G35" s="11" t="inlineStr">
        <is>
          <t>DB</t>
        </is>
      </c>
      <c r="H35" s="11" t="inlineStr">
        <is>
          <t>API /programs?degree=Bachelor&amp;ects=180</t>
        </is>
      </c>
      <c r="I35" s="11" t="inlineStr">
        <is>
          <t>StudyProgram, consist_of, Course, programDocument</t>
        </is>
      </c>
      <c r="J35" s="11" t="inlineStr">
        <is>
          <t>program list</t>
        </is>
      </c>
      <c r="K35" s="11" t="inlineStr">
        <is>
          <t>Replace placeholders where needed.</t>
        </is>
      </c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inlineStr">
        <is>
          <t>2026-05-06T23:46:21</t>
        </is>
      </c>
      <c r="AI35" s="11" t="inlineStr">
        <is>
          <t>rag</t>
        </is>
      </c>
      <c r="AJ35" s="11" t="inlineStr">
        <is>
          <t>rag</t>
        </is>
      </c>
      <c r="AK35" s="11" t="n"/>
      <c r="AL35" s="11" t="b">
        <v>0</v>
      </c>
      <c r="AM35" s="11" t="n">
        <v>180020.93</v>
      </c>
      <c r="AN35" s="11" t="n"/>
      <c r="AO35" s="11" t="n"/>
      <c r="AP35" s="11" t="n"/>
      <c r="AQ35" s="11" t="inlineStr"/>
      <c r="AR35" s="11" t="n"/>
      <c r="AS35" s="11" t="inlineStr"/>
      <c r="AT35" s="11" t="inlineStr">
        <is>
          <t>HTTPConnectionPool(host='localhost', port=8000): Read timed out. (read timeout=180)</t>
        </is>
      </c>
    </row>
    <row r="36">
      <c r="A36" s="11" t="n">
        <v>35</v>
      </c>
      <c r="B36" s="11" t="inlineStr">
        <is>
          <t>rag_document</t>
        </is>
      </c>
      <c r="C36" s="11" t="inlineStr">
        <is>
          <t>hard</t>
        </is>
      </c>
      <c r="D36" s="11" t="inlineStr">
        <is>
          <t>EN</t>
        </is>
      </c>
      <c r="E36" s="11" t="inlineStr">
        <is>
          <t>What does the study plan of History say about electives?</t>
        </is>
      </c>
      <c r="F36" s="11" t="inlineStr">
        <is>
          <t>Answer grounded in retrieved document text with correct source attribution.</t>
        </is>
      </c>
      <c r="G36" s="11" t="inlineStr">
        <is>
          <t>RAG</t>
        </is>
      </c>
      <c r="H36" s="11" t="inlineStr">
        <is>
          <t>RAG over study plan/regulation documents</t>
        </is>
      </c>
      <c r="I36" s="11" t="inlineStr">
        <is>
          <t>PDF/study plan/regulation</t>
        </is>
      </c>
      <c r="J36" s="11" t="inlineStr">
        <is>
          <t>elective rules</t>
        </is>
      </c>
      <c r="K36" s="11" t="inlineStr">
        <is>
          <t>Use for website-RAG vs hybrid fallback comparison.</t>
        </is>
      </c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  <c r="AH36" s="11" t="inlineStr">
        <is>
          <t>2026-05-06T23:46:21</t>
        </is>
      </c>
      <c r="AI36" s="11" t="inlineStr">
        <is>
          <t>rag</t>
        </is>
      </c>
      <c r="AJ36" s="11" t="inlineStr">
        <is>
          <t>rag</t>
        </is>
      </c>
      <c r="AK36" s="11" t="n"/>
      <c r="AL36" s="11" t="b">
        <v>0</v>
      </c>
      <c r="AM36" s="11" t="n">
        <v>180041.55</v>
      </c>
      <c r="AN36" s="11" t="n"/>
      <c r="AO36" s="11" t="n"/>
      <c r="AP36" s="11" t="n"/>
      <c r="AQ36" s="11" t="inlineStr"/>
      <c r="AR36" s="11" t="n"/>
      <c r="AS36" s="11" t="inlineStr"/>
      <c r="AT36" s="11" t="inlineStr">
        <is>
          <t>HTTPConnectionPool(host='localhost', port=8000): Read timed out. (read timeout=180)</t>
        </is>
      </c>
    </row>
    <row r="37">
      <c r="A37" s="11" t="n">
        <v>36</v>
      </c>
      <c r="B37" s="11" t="inlineStr">
        <is>
          <t>rag_document</t>
        </is>
      </c>
      <c r="C37" s="11" t="inlineStr">
        <is>
          <t>hard</t>
        </is>
      </c>
      <c r="D37" s="11" t="inlineStr">
        <is>
          <t>EN</t>
        </is>
      </c>
      <c r="E37" s="11" t="inlineStr">
        <is>
          <t>What does the regulation document say about admission requirements for Special Education?</t>
        </is>
      </c>
      <c r="F37" s="11" t="inlineStr">
        <is>
          <t>Answer grounded in retrieved document text with correct source attribution.</t>
        </is>
      </c>
      <c r="G37" s="11" t="inlineStr">
        <is>
          <t>RAG</t>
        </is>
      </c>
      <c r="H37" s="11" t="inlineStr">
        <is>
          <t>RAG over study plan/regulation documents</t>
        </is>
      </c>
      <c r="I37" s="11" t="inlineStr">
        <is>
          <t>PDF/study plan/regulation</t>
        </is>
      </c>
      <c r="J37" s="11" t="inlineStr">
        <is>
          <t>admission requirements</t>
        </is>
      </c>
      <c r="K37" s="11" t="inlineStr">
        <is>
          <t>Use for website-RAG vs hybrid fallback comparison.</t>
        </is>
      </c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  <c r="AH37" s="11" t="inlineStr">
        <is>
          <t>2026-05-06T23:46:21</t>
        </is>
      </c>
      <c r="AI37" s="11" t="inlineStr">
        <is>
          <t>rag</t>
        </is>
      </c>
      <c r="AJ37" s="11" t="inlineStr">
        <is>
          <t>rag</t>
        </is>
      </c>
      <c r="AK37" s="11" t="n"/>
      <c r="AL37" s="11" t="b">
        <v>0</v>
      </c>
      <c r="AM37" s="11" t="n">
        <v>180006.36</v>
      </c>
      <c r="AN37" s="11" t="n"/>
      <c r="AO37" s="11" t="n"/>
      <c r="AP37" s="11" t="n"/>
      <c r="AQ37" s="11" t="inlineStr"/>
      <c r="AR37" s="11" t="n"/>
      <c r="AS37" s="11" t="inlineStr"/>
      <c r="AT37" s="11" t="inlineStr">
        <is>
          <t>HTTPConnectionPool(host='localhost', port=8000): Read timed out. (read timeout=180)</t>
        </is>
      </c>
    </row>
    <row r="38">
      <c r="A38" s="11" t="n">
        <v>37</v>
      </c>
      <c r="B38" s="11" t="inlineStr">
        <is>
          <t>rag_document</t>
        </is>
      </c>
      <c r="C38" s="11" t="inlineStr">
        <is>
          <t>hard</t>
        </is>
      </c>
      <c r="D38" s="11" t="inlineStr">
        <is>
          <t>EN</t>
        </is>
      </c>
      <c r="E38" s="11" t="inlineStr">
        <is>
          <t>What does the study plan say about recommended semester structure for Political Science?</t>
        </is>
      </c>
      <c r="F38" s="11" t="inlineStr">
        <is>
          <t>Answer grounded in retrieved document text with correct source attribution.</t>
        </is>
      </c>
      <c r="G38" s="11" t="inlineStr">
        <is>
          <t>RAG</t>
        </is>
      </c>
      <c r="H38" s="11" t="inlineStr">
        <is>
          <t>RAG over study plan/regulation documents</t>
        </is>
      </c>
      <c r="I38" s="11" t="inlineStr">
        <is>
          <t>PDF/study plan/regulation</t>
        </is>
      </c>
      <c r="J38" s="11" t="inlineStr">
        <is>
          <t>semester structure</t>
        </is>
      </c>
      <c r="K38" s="11" t="inlineStr">
        <is>
          <t>Use for website-RAG vs hybrid fallback comparison.</t>
        </is>
      </c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inlineStr">
        <is>
          <t>2026-05-06T23:46:21</t>
        </is>
      </c>
      <c r="AI38" s="11" t="inlineStr">
        <is>
          <t>rag</t>
        </is>
      </c>
      <c r="AJ38" s="11" t="inlineStr">
        <is>
          <t>rag</t>
        </is>
      </c>
      <c r="AK38" s="11" t="n"/>
      <c r="AL38" s="11" t="b">
        <v>0</v>
      </c>
      <c r="AM38" s="11" t="n">
        <v>180029.56</v>
      </c>
      <c r="AN38" s="11" t="n"/>
      <c r="AO38" s="11" t="n"/>
      <c r="AP38" s="11" t="n"/>
      <c r="AQ38" s="11" t="inlineStr"/>
      <c r="AR38" s="11" t="n"/>
      <c r="AS38" s="11" t="inlineStr"/>
      <c r="AT38" s="11" t="inlineStr">
        <is>
          <t>HTTPConnectionPool(host='localhost', port=8000): Read timed out. (read timeout=180)</t>
        </is>
      </c>
    </row>
    <row r="39">
      <c r="A39" s="11" t="n">
        <v>38</v>
      </c>
      <c r="B39" s="11" t="inlineStr">
        <is>
          <t>rag_document</t>
        </is>
      </c>
      <c r="C39" s="11" t="inlineStr">
        <is>
          <t>hard</t>
        </is>
      </c>
      <c r="D39" s="11" t="inlineStr">
        <is>
          <t>EN</t>
        </is>
      </c>
      <c r="E39" s="11" t="inlineStr">
        <is>
          <t>What learning outcomes or competencies are described for Communication Studies?</t>
        </is>
      </c>
      <c r="F39" s="11" t="inlineStr">
        <is>
          <t>Answer grounded in retrieved document text with correct source attribution.</t>
        </is>
      </c>
      <c r="G39" s="11" t="inlineStr">
        <is>
          <t>RAG</t>
        </is>
      </c>
      <c r="H39" s="11" t="inlineStr">
        <is>
          <t>RAG over study plan/regulation documents</t>
        </is>
      </c>
      <c r="I39" s="11" t="inlineStr">
        <is>
          <t>PDF/study plan/regulation</t>
        </is>
      </c>
      <c r="J39" s="11" t="inlineStr">
        <is>
          <t>learning outcomes/competencies</t>
        </is>
      </c>
      <c r="K39" s="11" t="inlineStr">
        <is>
          <t>Use for website-RAG vs hybrid fallback comparison.</t>
        </is>
      </c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inlineStr">
        <is>
          <t>2026-05-06T23:46:21</t>
        </is>
      </c>
      <c r="AI39" s="11" t="inlineStr">
        <is>
          <t>rag</t>
        </is>
      </c>
      <c r="AJ39" s="11" t="inlineStr">
        <is>
          <t>rag</t>
        </is>
      </c>
      <c r="AK39" s="11" t="n"/>
      <c r="AL39" s="11" t="b">
        <v>0</v>
      </c>
      <c r="AM39" s="11" t="n">
        <v>180045.17</v>
      </c>
      <c r="AN39" s="11" t="n"/>
      <c r="AO39" s="11" t="n"/>
      <c r="AP39" s="11" t="n"/>
      <c r="AQ39" s="11" t="inlineStr"/>
      <c r="AR39" s="11" t="n"/>
      <c r="AS39" s="11" t="inlineStr"/>
      <c r="AT39" s="11" t="inlineStr">
        <is>
          <t>HTTPConnectionPool(host='localhost', port=8000): Read timed out. (read timeout=180)</t>
        </is>
      </c>
    </row>
    <row r="40">
      <c r="A40" s="11" t="n">
        <v>39</v>
      </c>
      <c r="B40" s="11" t="inlineStr">
        <is>
          <t>rag_document</t>
        </is>
      </c>
      <c r="C40" s="11" t="inlineStr">
        <is>
          <t>hard</t>
        </is>
      </c>
      <c r="D40" s="11" t="inlineStr">
        <is>
          <t>EN</t>
        </is>
      </c>
      <c r="E40" s="11" t="inlineStr">
        <is>
          <t>Which examination rules are mentioned in the regulation document for Economics?</t>
        </is>
      </c>
      <c r="F40" s="11" t="inlineStr">
        <is>
          <t>Answer grounded in retrieved document text with correct source attribution.</t>
        </is>
      </c>
      <c r="G40" s="11" t="inlineStr">
        <is>
          <t>RAG</t>
        </is>
      </c>
      <c r="H40" s="11" t="inlineStr">
        <is>
          <t>RAG over study plan/regulation documents</t>
        </is>
      </c>
      <c r="I40" s="11" t="inlineStr">
        <is>
          <t>PDF/study plan/regulation</t>
        </is>
      </c>
      <c r="J40" s="11" t="inlineStr">
        <is>
          <t>exam/regulation rules</t>
        </is>
      </c>
      <c r="K40" s="11" t="inlineStr">
        <is>
          <t>Use for website-RAG vs hybrid fallback comparison.</t>
        </is>
      </c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  <c r="AH40" s="11" t="inlineStr">
        <is>
          <t>2026-05-06T23:46:21</t>
        </is>
      </c>
      <c r="AI40" s="11" t="inlineStr">
        <is>
          <t>rag</t>
        </is>
      </c>
      <c r="AJ40" s="11" t="inlineStr">
        <is>
          <t>rag</t>
        </is>
      </c>
      <c r="AK40" s="11" t="n"/>
      <c r="AL40" s="11" t="b">
        <v>0</v>
      </c>
      <c r="AM40" s="11" t="n">
        <v>180021.97</v>
      </c>
      <c r="AN40" s="11" t="n"/>
      <c r="AO40" s="11" t="n"/>
      <c r="AP40" s="11" t="n"/>
      <c r="AQ40" s="11" t="inlineStr"/>
      <c r="AR40" s="11" t="n"/>
      <c r="AS40" s="11" t="inlineStr"/>
      <c r="AT40" s="11" t="inlineStr">
        <is>
          <t>HTTPConnectionPool(host='localhost', port=8000): Read timed out. (read timeout=180)</t>
        </is>
      </c>
    </row>
    <row r="41">
      <c r="A41" s="11" t="n">
        <v>40</v>
      </c>
      <c r="B41" s="11" t="inlineStr">
        <is>
          <t>rag_document</t>
        </is>
      </c>
      <c r="C41" s="11" t="inlineStr">
        <is>
          <t>hard</t>
        </is>
      </c>
      <c r="D41" s="11" t="inlineStr">
        <is>
          <t>EN</t>
        </is>
      </c>
      <c r="E41" s="11" t="inlineStr">
        <is>
          <t>What does the document say about repeating failed exams?</t>
        </is>
      </c>
      <c r="F41" s="11" t="inlineStr">
        <is>
          <t>Answer grounded in retrieved document text with correct source attribution.</t>
        </is>
      </c>
      <c r="G41" s="11" t="inlineStr">
        <is>
          <t>RAG</t>
        </is>
      </c>
      <c r="H41" s="11" t="inlineStr">
        <is>
          <t>RAG over study plan/regulation documents</t>
        </is>
      </c>
      <c r="I41" s="11" t="inlineStr">
        <is>
          <t>PDF/study plan/regulation</t>
        </is>
      </c>
      <c r="J41" s="11" t="inlineStr">
        <is>
          <t>repeat exam rules</t>
        </is>
      </c>
      <c r="K41" s="11" t="inlineStr">
        <is>
          <t>Use for website-RAG vs hybrid fallback comparison.</t>
        </is>
      </c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  <c r="AH41" s="11" t="inlineStr">
        <is>
          <t>2026-05-06T23:46:21</t>
        </is>
      </c>
      <c r="AI41" s="11" t="inlineStr">
        <is>
          <t>rag</t>
        </is>
      </c>
      <c r="AJ41" s="11" t="inlineStr">
        <is>
          <t>rag</t>
        </is>
      </c>
      <c r="AK41" s="11" t="n"/>
      <c r="AL41" s="11" t="b">
        <v>0</v>
      </c>
      <c r="AM41" s="11" t="n">
        <v>180005.51</v>
      </c>
      <c r="AN41" s="11" t="n"/>
      <c r="AO41" s="11" t="n"/>
      <c r="AP41" s="11" t="n"/>
      <c r="AQ41" s="11" t="inlineStr"/>
      <c r="AR41" s="11" t="n"/>
      <c r="AS41" s="11" t="inlineStr"/>
      <c r="AT41" s="11" t="inlineStr">
        <is>
          <t>HTTPConnectionPool(host='localhost', port=8000): Read timed out. (read timeout=180)</t>
        </is>
      </c>
    </row>
    <row r="42">
      <c r="A42" s="11" t="n">
        <v>41</v>
      </c>
      <c r="B42" s="11" t="inlineStr">
        <is>
          <t>rag_document</t>
        </is>
      </c>
      <c r="C42" s="11" t="inlineStr">
        <is>
          <t>hard</t>
        </is>
      </c>
      <c r="D42" s="11" t="inlineStr">
        <is>
          <t>EN</t>
        </is>
      </c>
      <c r="E42" s="11" t="inlineStr">
        <is>
          <t>What does the document say about recognition of external credits or mobility?</t>
        </is>
      </c>
      <c r="F42" s="11" t="inlineStr">
        <is>
          <t>Answer grounded in retrieved document text with correct source attribution.</t>
        </is>
      </c>
      <c r="G42" s="11" t="inlineStr">
        <is>
          <t>RAG</t>
        </is>
      </c>
      <c r="H42" s="11" t="inlineStr">
        <is>
          <t>RAG over study plan/regulation documents</t>
        </is>
      </c>
      <c r="I42" s="11" t="inlineStr">
        <is>
          <t>PDF/study plan/regulation</t>
        </is>
      </c>
      <c r="J42" s="11" t="inlineStr">
        <is>
          <t>mobility/credit recognition</t>
        </is>
      </c>
      <c r="K42" s="11" t="inlineStr">
        <is>
          <t>Use for website-RAG vs hybrid fallback comparison.</t>
        </is>
      </c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inlineStr">
        <is>
          <t>2026-05-06T23:46:21</t>
        </is>
      </c>
      <c r="AI42" s="11" t="inlineStr">
        <is>
          <t>rag</t>
        </is>
      </c>
      <c r="AJ42" s="11" t="inlineStr">
        <is>
          <t>rag</t>
        </is>
      </c>
      <c r="AK42" s="11" t="n"/>
      <c r="AL42" s="11" t="b">
        <v>0</v>
      </c>
      <c r="AM42" s="11" t="n">
        <v>180014.42</v>
      </c>
      <c r="AN42" s="11" t="n"/>
      <c r="AO42" s="11" t="n"/>
      <c r="AP42" s="11" t="n"/>
      <c r="AQ42" s="11" t="inlineStr"/>
      <c r="AR42" s="11" t="n"/>
      <c r="AS42" s="11" t="inlineStr"/>
      <c r="AT42" s="11" t="inlineStr">
        <is>
          <t>HTTPConnectionPool(host='localhost', port=8000): Read timed out. (read timeout=180)</t>
        </is>
      </c>
    </row>
    <row r="43">
      <c r="A43" s="11" t="n">
        <v>42</v>
      </c>
      <c r="B43" s="11" t="inlineStr">
        <is>
          <t>rag_document</t>
        </is>
      </c>
      <c r="C43" s="11" t="inlineStr">
        <is>
          <t>hard</t>
        </is>
      </c>
      <c r="D43" s="11" t="inlineStr">
        <is>
          <t>EN</t>
        </is>
      </c>
      <c r="E43" s="11" t="inlineStr">
        <is>
          <t>What does the study plan say about choosing minor programs?</t>
        </is>
      </c>
      <c r="F43" s="11" t="inlineStr">
        <is>
          <t>Answer grounded in retrieved document text with correct source attribution.</t>
        </is>
      </c>
      <c r="G43" s="11" t="inlineStr">
        <is>
          <t>RAG</t>
        </is>
      </c>
      <c r="H43" s="11" t="inlineStr">
        <is>
          <t>RAG over study plan/regulation documents</t>
        </is>
      </c>
      <c r="I43" s="11" t="inlineStr">
        <is>
          <t>PDF/study plan/regulation</t>
        </is>
      </c>
      <c r="J43" s="11" t="inlineStr">
        <is>
          <t>minor/elective rules</t>
        </is>
      </c>
      <c r="K43" s="11" t="inlineStr">
        <is>
          <t>Use for website-RAG vs hybrid fallback comparison.</t>
        </is>
      </c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inlineStr">
        <is>
          <t>2026-05-06T23:46:21</t>
        </is>
      </c>
      <c r="AI43" s="11" t="inlineStr">
        <is>
          <t>rag</t>
        </is>
      </c>
      <c r="AJ43" s="11" t="inlineStr">
        <is>
          <t>rag</t>
        </is>
      </c>
      <c r="AK43" s="11" t="n"/>
      <c r="AL43" s="11" t="b">
        <v>0</v>
      </c>
      <c r="AM43" s="11" t="n">
        <v>180005.97</v>
      </c>
      <c r="AN43" s="11" t="n"/>
      <c r="AO43" s="11" t="n"/>
      <c r="AP43" s="11" t="n"/>
      <c r="AQ43" s="11" t="inlineStr"/>
      <c r="AR43" s="11" t="n"/>
      <c r="AS43" s="11" t="inlineStr"/>
      <c r="AT43" s="11" t="inlineStr">
        <is>
          <t>HTTPConnectionPool(host='localhost', port=8000): Read timed out. (read timeout=180)</t>
        </is>
      </c>
    </row>
    <row r="44">
      <c r="A44" s="11" t="n">
        <v>43</v>
      </c>
      <c r="B44" s="11" t="inlineStr">
        <is>
          <t>multilingual</t>
        </is>
      </c>
      <c r="C44" s="11" t="inlineStr">
        <is>
          <t>medium</t>
        </is>
      </c>
      <c r="D44" s="11" t="inlineStr">
        <is>
          <t>DE</t>
        </is>
      </c>
      <c r="E44" s="11" t="inlineStr">
        <is>
          <t>Welche Bachelorprogramme kann ich an der Universität Freiburg studieren?</t>
        </is>
      </c>
      <c r="F44" s="11" t="inlineStr">
        <is>
          <t>Same factual answer as the equivalent English/German/French query; response language should match or be appropriate.</t>
        </is>
      </c>
      <c r="G44" s="11" t="inlineStr">
        <is>
          <t>Mixed</t>
        </is>
      </c>
      <c r="H44" s="11" t="inlineStr">
        <is>
          <t>API first, RAG fallback</t>
        </is>
      </c>
      <c r="I44" s="11" t="inlineStr">
        <is>
          <t>DB or PDF source</t>
        </is>
      </c>
      <c r="J44" s="11" t="inlineStr">
        <is>
          <t>program names</t>
        </is>
      </c>
      <c r="K44" s="11" t="inlineStr">
        <is>
          <t>Tests multilingual query understanding and response language consistency.</t>
        </is>
      </c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  <c r="AH44" s="11" t="inlineStr">
        <is>
          <t>2026-05-06T23:46:21</t>
        </is>
      </c>
      <c r="AI44" s="11" t="inlineStr">
        <is>
          <t>rag</t>
        </is>
      </c>
      <c r="AJ44" s="11" t="inlineStr">
        <is>
          <t>rag</t>
        </is>
      </c>
      <c r="AK44" s="11" t="n"/>
      <c r="AL44" s="11" t="b">
        <v>0</v>
      </c>
      <c r="AM44" s="11" t="n">
        <v>180088.69</v>
      </c>
      <c r="AN44" s="11" t="n"/>
      <c r="AO44" s="11" t="n"/>
      <c r="AP44" s="11" t="n"/>
      <c r="AQ44" s="11" t="inlineStr"/>
      <c r="AR44" s="11" t="n"/>
      <c r="AS44" s="11" t="inlineStr"/>
      <c r="AT44" s="11" t="inlineStr">
        <is>
          <t>HTTPConnectionPool(host='localhost', port=8000): Read timed out. (read timeout=180)</t>
        </is>
      </c>
    </row>
    <row r="45">
      <c r="A45" s="11" t="n">
        <v>44</v>
      </c>
      <c r="B45" s="11" t="inlineStr">
        <is>
          <t>multilingual</t>
        </is>
      </c>
      <c r="C45" s="11" t="inlineStr">
        <is>
          <t>medium</t>
        </is>
      </c>
      <c r="D45" s="11" t="inlineStr">
        <is>
          <t>DE</t>
        </is>
      </c>
      <c r="E45" s="11" t="inlineStr">
        <is>
          <t>Wie viele ECTS hat UE-L14.02281?</t>
        </is>
      </c>
      <c r="F45" s="11" t="inlineStr">
        <is>
          <t>Same factual answer as the equivalent English/German/French query; response language should match or be appropriate.</t>
        </is>
      </c>
      <c r="G45" s="11" t="inlineStr">
        <is>
          <t>Mixed</t>
        </is>
      </c>
      <c r="H45" s="11" t="inlineStr">
        <is>
          <t>API first, RAG fallback</t>
        </is>
      </c>
      <c r="I45" s="11" t="inlineStr">
        <is>
          <t>DB or PDF source</t>
        </is>
      </c>
      <c r="J45" s="11" t="inlineStr">
        <is>
          <t>ECTS</t>
        </is>
      </c>
      <c r="K45" s="11" t="inlineStr">
        <is>
          <t>Tests multilingual query understanding and response language consistency.</t>
        </is>
      </c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  <c r="AH45" s="11" t="inlineStr">
        <is>
          <t>2026-05-06T23:46:21</t>
        </is>
      </c>
      <c r="AI45" s="11" t="inlineStr">
        <is>
          <t>rag</t>
        </is>
      </c>
      <c r="AJ45" s="11" t="inlineStr">
        <is>
          <t>rag</t>
        </is>
      </c>
      <c r="AK45" s="11" t="n"/>
      <c r="AL45" s="11" t="b">
        <v>0</v>
      </c>
      <c r="AM45" s="11" t="n">
        <v>180040.04</v>
      </c>
      <c r="AN45" s="11" t="n"/>
      <c r="AO45" s="11" t="n"/>
      <c r="AP45" s="11" t="n"/>
      <c r="AQ45" s="11" t="inlineStr"/>
      <c r="AR45" s="11" t="n"/>
      <c r="AS45" s="11" t="inlineStr"/>
      <c r="AT45" s="11" t="inlineStr">
        <is>
          <t>HTTPConnectionPool(host='localhost', port=8000): Read timed out. (read timeout=180)</t>
        </is>
      </c>
    </row>
    <row r="46">
      <c r="A46" s="11" t="n">
        <v>45</v>
      </c>
      <c r="B46" s="11" t="inlineStr">
        <is>
          <t>multilingual</t>
        </is>
      </c>
      <c r="C46" s="11" t="inlineStr">
        <is>
          <t>medium</t>
        </is>
      </c>
      <c r="D46" s="11" t="inlineStr">
        <is>
          <t>DE</t>
        </is>
      </c>
      <c r="E46" s="11" t="inlineStr">
        <is>
          <t>Wann findet UE-SME.07105 im FS-2026 statt?</t>
        </is>
      </c>
      <c r="F46" s="11" t="inlineStr">
        <is>
          <t>Same factual answer as the equivalent English/German/French query; response language should match or be appropriate.</t>
        </is>
      </c>
      <c r="G46" s="11" t="inlineStr">
        <is>
          <t>Mixed</t>
        </is>
      </c>
      <c r="H46" s="11" t="inlineStr">
        <is>
          <t>API first, RAG fallback</t>
        </is>
      </c>
      <c r="I46" s="11" t="inlineStr">
        <is>
          <t>DB or PDF source</t>
        </is>
      </c>
      <c r="J46" s="11" t="inlineStr">
        <is>
          <t>date/time</t>
        </is>
      </c>
      <c r="K46" s="11" t="inlineStr">
        <is>
          <t>Tests multilingual query understanding and response language consistency.</t>
        </is>
      </c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inlineStr">
        <is>
          <t>2026-05-06T23:46:21</t>
        </is>
      </c>
      <c r="AI46" s="11" t="inlineStr">
        <is>
          <t>rag</t>
        </is>
      </c>
      <c r="AJ46" s="11" t="inlineStr">
        <is>
          <t>rag</t>
        </is>
      </c>
      <c r="AK46" s="11" t="n"/>
      <c r="AL46" s="11" t="b">
        <v>0</v>
      </c>
      <c r="AM46" s="11" t="n">
        <v>180016.02</v>
      </c>
      <c r="AN46" s="11" t="n"/>
      <c r="AO46" s="11" t="n"/>
      <c r="AP46" s="11" t="n"/>
      <c r="AQ46" s="11" t="inlineStr"/>
      <c r="AR46" s="11" t="n"/>
      <c r="AS46" s="11" t="inlineStr"/>
      <c r="AT46" s="11" t="inlineStr">
        <is>
          <t>HTTPConnectionPool(host='localhost', port=8000): Read timed out. (read timeout=180)</t>
        </is>
      </c>
    </row>
    <row r="47">
      <c r="A47" s="11" t="n">
        <v>46</v>
      </c>
      <c r="B47" s="11" t="inlineStr">
        <is>
          <t>multilingual</t>
        </is>
      </c>
      <c r="C47" s="11" t="inlineStr">
        <is>
          <t>medium</t>
        </is>
      </c>
      <c r="D47" s="11" t="inlineStr">
        <is>
          <t>DE</t>
        </is>
      </c>
      <c r="E47" s="11" t="inlineStr">
        <is>
          <t>Welche Kurse sind im Studienprogramm Philosophie obligatorisch?</t>
        </is>
      </c>
      <c r="F47" s="11" t="inlineStr">
        <is>
          <t>Same factual answer as the equivalent English/German/French query; response language should match or be appropriate.</t>
        </is>
      </c>
      <c r="G47" s="11" t="inlineStr">
        <is>
          <t>Mixed</t>
        </is>
      </c>
      <c r="H47" s="11" t="inlineStr">
        <is>
          <t>API first, RAG fallback</t>
        </is>
      </c>
      <c r="I47" s="11" t="inlineStr">
        <is>
          <t>DB or PDF source</t>
        </is>
      </c>
      <c r="J47" s="11" t="inlineStr">
        <is>
          <t>mandatory courses</t>
        </is>
      </c>
      <c r="K47" s="11" t="inlineStr">
        <is>
          <t>Tests multilingual query understanding and response language consistency.</t>
        </is>
      </c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inlineStr">
        <is>
          <t>2026-05-06T23:46:21</t>
        </is>
      </c>
      <c r="AI47" s="11" t="inlineStr">
        <is>
          <t>rag</t>
        </is>
      </c>
      <c r="AJ47" s="11" t="inlineStr">
        <is>
          <t>rag</t>
        </is>
      </c>
      <c r="AK47" s="11" t="n"/>
      <c r="AL47" s="11" t="b">
        <v>0</v>
      </c>
      <c r="AM47" s="11" t="n">
        <v>180016.01</v>
      </c>
      <c r="AN47" s="11" t="n"/>
      <c r="AO47" s="11" t="n"/>
      <c r="AP47" s="11" t="n"/>
      <c r="AQ47" s="11" t="inlineStr"/>
      <c r="AR47" s="11" t="n"/>
      <c r="AS47" s="11" t="inlineStr"/>
      <c r="AT47" s="11" t="inlineStr">
        <is>
          <t>HTTPConnectionPool(host='localhost', port=8000): Read timed out. (read timeout=180)</t>
        </is>
      </c>
    </row>
    <row r="48">
      <c r="A48" s="11" t="n">
        <v>47</v>
      </c>
      <c r="B48" s="11" t="inlineStr">
        <is>
          <t>multilingual</t>
        </is>
      </c>
      <c r="C48" s="11" t="inlineStr">
        <is>
          <t>medium</t>
        </is>
      </c>
      <c r="D48" s="11" t="inlineStr">
        <is>
          <t>DE</t>
        </is>
      </c>
      <c r="E48" s="11" t="inlineStr">
        <is>
          <t>Welche Informationen enthält der Studienplan zu Wahlfächern?</t>
        </is>
      </c>
      <c r="F48" s="11" t="inlineStr">
        <is>
          <t>Same factual answer as the equivalent English/German/French query; response language should match or be appropriate.</t>
        </is>
      </c>
      <c r="G48" s="11" t="inlineStr">
        <is>
          <t>Mixed</t>
        </is>
      </c>
      <c r="H48" s="11" t="inlineStr">
        <is>
          <t>API first, RAG fallback</t>
        </is>
      </c>
      <c r="I48" s="11" t="inlineStr">
        <is>
          <t>DB or PDF source</t>
        </is>
      </c>
      <c r="J48" s="11" t="inlineStr">
        <is>
          <t>elective rules</t>
        </is>
      </c>
      <c r="K48" s="11" t="inlineStr">
        <is>
          <t>Tests multilingual query understanding and response language consistency.</t>
        </is>
      </c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  <c r="AH48" s="11" t="inlineStr">
        <is>
          <t>2026-05-06T23:46:21</t>
        </is>
      </c>
      <c r="AI48" s="11" t="inlineStr">
        <is>
          <t>rag</t>
        </is>
      </c>
      <c r="AJ48" s="11" t="inlineStr">
        <is>
          <t>rag</t>
        </is>
      </c>
      <c r="AK48" s="11" t="n"/>
      <c r="AL48" s="11" t="b">
        <v>0</v>
      </c>
      <c r="AM48" s="11" t="n">
        <v>180023.66</v>
      </c>
      <c r="AN48" s="11" t="n"/>
      <c r="AO48" s="11" t="n"/>
      <c r="AP48" s="11" t="n"/>
      <c r="AQ48" s="11" t="inlineStr"/>
      <c r="AR48" s="11" t="n"/>
      <c r="AS48" s="11" t="inlineStr"/>
      <c r="AT48" s="11" t="inlineStr">
        <is>
          <t>HTTPConnectionPool(host='localhost', port=8000): Read timed out. (read timeout=180)</t>
        </is>
      </c>
    </row>
    <row r="49">
      <c r="A49" s="11" t="n">
        <v>48</v>
      </c>
      <c r="B49" s="11" t="inlineStr">
        <is>
          <t>multilingual</t>
        </is>
      </c>
      <c r="C49" s="11" t="inlineStr">
        <is>
          <t>medium</t>
        </is>
      </c>
      <c r="D49" s="11" t="inlineStr">
        <is>
          <t>FR</t>
        </is>
      </c>
      <c r="E49" s="11" t="inlineStr">
        <is>
          <t>Quels programmes de bachelor puis-je étudier à l'Université de Fribourg ?</t>
        </is>
      </c>
      <c r="F49" s="11" t="inlineStr">
        <is>
          <t>Same factual answer as the equivalent English/German/French query; response language should match or be appropriate.</t>
        </is>
      </c>
      <c r="G49" s="11" t="inlineStr">
        <is>
          <t>Mixed</t>
        </is>
      </c>
      <c r="H49" s="11" t="inlineStr">
        <is>
          <t>API first, RAG fallback</t>
        </is>
      </c>
      <c r="I49" s="11" t="inlineStr">
        <is>
          <t>DB or PDF source</t>
        </is>
      </c>
      <c r="J49" s="11" t="inlineStr">
        <is>
          <t>program names</t>
        </is>
      </c>
      <c r="K49" s="11" t="inlineStr">
        <is>
          <t>Tests multilingual query understanding and response language consistency.</t>
        </is>
      </c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  <c r="AH49" s="11" t="inlineStr">
        <is>
          <t>2026-05-06T23:46:21</t>
        </is>
      </c>
      <c r="AI49" s="11" t="inlineStr">
        <is>
          <t>rag</t>
        </is>
      </c>
      <c r="AJ49" s="11" t="inlineStr">
        <is>
          <t>rag</t>
        </is>
      </c>
      <c r="AK49" s="11" t="n"/>
      <c r="AL49" s="11" t="b">
        <v>0</v>
      </c>
      <c r="AM49" s="11" t="n">
        <v>180024.11</v>
      </c>
      <c r="AN49" s="11" t="n"/>
      <c r="AO49" s="11" t="n"/>
      <c r="AP49" s="11" t="n"/>
      <c r="AQ49" s="11" t="inlineStr"/>
      <c r="AR49" s="11" t="n"/>
      <c r="AS49" s="11" t="inlineStr"/>
      <c r="AT49" s="11" t="inlineStr">
        <is>
          <t>HTTPConnectionPool(host='localhost', port=8000): Read timed out. (read timeout=180)</t>
        </is>
      </c>
    </row>
    <row r="50">
      <c r="A50" s="11" t="n">
        <v>49</v>
      </c>
      <c r="B50" s="11" t="inlineStr">
        <is>
          <t>multilingual</t>
        </is>
      </c>
      <c r="C50" s="11" t="inlineStr">
        <is>
          <t>medium</t>
        </is>
      </c>
      <c r="D50" s="11" t="inlineStr">
        <is>
          <t>FR</t>
        </is>
      </c>
      <c r="E50" s="11" t="inlineStr">
        <is>
          <t>Combien de crédits ECTS vaut UE-DDR.00451?</t>
        </is>
      </c>
      <c r="F50" s="11" t="inlineStr">
        <is>
          <t>Same factual answer as the equivalent English/German/French query; response language should match or be appropriate.</t>
        </is>
      </c>
      <c r="G50" s="11" t="inlineStr">
        <is>
          <t>Mixed</t>
        </is>
      </c>
      <c r="H50" s="11" t="inlineStr">
        <is>
          <t>API first, RAG fallback</t>
        </is>
      </c>
      <c r="I50" s="11" t="inlineStr">
        <is>
          <t>DB or PDF source</t>
        </is>
      </c>
      <c r="J50" s="11" t="inlineStr">
        <is>
          <t>ECTS</t>
        </is>
      </c>
      <c r="K50" s="11" t="inlineStr">
        <is>
          <t>Tests multilingual query understanding and response language consistency.</t>
        </is>
      </c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inlineStr">
        <is>
          <t>2026-05-06T23:46:21</t>
        </is>
      </c>
      <c r="AI50" s="11" t="inlineStr">
        <is>
          <t>rag</t>
        </is>
      </c>
      <c r="AJ50" s="11" t="inlineStr">
        <is>
          <t>rag</t>
        </is>
      </c>
      <c r="AK50" s="11" t="n"/>
      <c r="AL50" s="11" t="b">
        <v>0</v>
      </c>
      <c r="AM50" s="11" t="n">
        <v>180018.57</v>
      </c>
      <c r="AN50" s="11" t="n"/>
      <c r="AO50" s="11" t="n"/>
      <c r="AP50" s="11" t="n"/>
      <c r="AQ50" s="11" t="inlineStr"/>
      <c r="AR50" s="11" t="n"/>
      <c r="AS50" s="11" t="inlineStr"/>
      <c r="AT50" s="11" t="inlineStr">
        <is>
          <t>HTTPConnectionPool(host='localhost', port=8000): Read timed out. (read timeout=180)</t>
        </is>
      </c>
    </row>
    <row r="51">
      <c r="A51" s="11" t="n">
        <v>50</v>
      </c>
      <c r="B51" s="11" t="inlineStr">
        <is>
          <t>multilingual</t>
        </is>
      </c>
      <c r="C51" s="11" t="inlineStr">
        <is>
          <t>medium</t>
        </is>
      </c>
      <c r="D51" s="11" t="inlineStr">
        <is>
          <t>FR</t>
        </is>
      </c>
      <c r="E51" s="11" t="inlineStr">
        <is>
          <t>Quand a lieu le cours UE-DDR.00368 pendant HS-2026 ?</t>
        </is>
      </c>
      <c r="F51" s="11" t="inlineStr">
        <is>
          <t>Same factual answer as the equivalent English/German/French query; response language should match or be appropriate.</t>
        </is>
      </c>
      <c r="G51" s="11" t="inlineStr">
        <is>
          <t>Mixed</t>
        </is>
      </c>
      <c r="H51" s="11" t="inlineStr">
        <is>
          <t>API first, RAG fallback</t>
        </is>
      </c>
      <c r="I51" s="11" t="inlineStr">
        <is>
          <t>DB or PDF source</t>
        </is>
      </c>
      <c r="J51" s="11" t="inlineStr">
        <is>
          <t>date/time</t>
        </is>
      </c>
      <c r="K51" s="11" t="inlineStr">
        <is>
          <t>Tests multilingual query understanding and response language consistency.</t>
        </is>
      </c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inlineStr">
        <is>
          <t>2026-05-06T23:46:21</t>
        </is>
      </c>
      <c r="AI51" s="11" t="inlineStr">
        <is>
          <t>rag</t>
        </is>
      </c>
      <c r="AJ51" s="11" t="inlineStr">
        <is>
          <t>rag</t>
        </is>
      </c>
      <c r="AK51" s="11" t="n"/>
      <c r="AL51" s="11" t="b">
        <v>0</v>
      </c>
      <c r="AM51" s="11" t="n">
        <v>180028.68</v>
      </c>
      <c r="AN51" s="11" t="n"/>
      <c r="AO51" s="11" t="n"/>
      <c r="AP51" s="11" t="n"/>
      <c r="AQ51" s="11" t="inlineStr"/>
      <c r="AR51" s="11" t="n"/>
      <c r="AS51" s="11" t="inlineStr"/>
      <c r="AT51" s="11" t="inlineStr">
        <is>
          <t>HTTPConnectionPool(host='localhost', port=8000): Read timed out. (read timeout=180)</t>
        </is>
      </c>
    </row>
    <row r="52">
      <c r="A52" s="11" t="n">
        <v>51</v>
      </c>
      <c r="B52" s="11" t="inlineStr">
        <is>
          <t>multilingual</t>
        </is>
      </c>
      <c r="C52" s="11" t="inlineStr">
        <is>
          <t>medium</t>
        </is>
      </c>
      <c r="D52" s="11" t="inlineStr">
        <is>
          <t>FR</t>
        </is>
      </c>
      <c r="E52" s="11" t="inlineStr">
        <is>
          <t>Quels cours sont obligatoires dans le programme Marketing ?</t>
        </is>
      </c>
      <c r="F52" s="11" t="inlineStr">
        <is>
          <t>Same factual answer as the equivalent English/German/French query; response language should match or be appropriate.</t>
        </is>
      </c>
      <c r="G52" s="11" t="inlineStr">
        <is>
          <t>Mixed</t>
        </is>
      </c>
      <c r="H52" s="11" t="inlineStr">
        <is>
          <t>API first, RAG fallback</t>
        </is>
      </c>
      <c r="I52" s="11" t="inlineStr">
        <is>
          <t>DB or PDF source</t>
        </is>
      </c>
      <c r="J52" s="11" t="inlineStr">
        <is>
          <t>mandatory courses</t>
        </is>
      </c>
      <c r="K52" s="11" t="inlineStr">
        <is>
          <t>Tests multilingual query understanding and response language consistency.</t>
        </is>
      </c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inlineStr">
        <is>
          <t>2026-05-06T23:46:21</t>
        </is>
      </c>
      <c r="AI52" s="11" t="inlineStr">
        <is>
          <t>rag</t>
        </is>
      </c>
      <c r="AJ52" s="11" t="inlineStr">
        <is>
          <t>rag</t>
        </is>
      </c>
      <c r="AK52" s="11" t="n"/>
      <c r="AL52" s="11" t="b">
        <v>0</v>
      </c>
      <c r="AM52" s="11" t="n">
        <v>180008.9</v>
      </c>
      <c r="AN52" s="11" t="n"/>
      <c r="AO52" s="11" t="n"/>
      <c r="AP52" s="11" t="n"/>
      <c r="AQ52" s="11" t="inlineStr"/>
      <c r="AR52" s="11" t="n"/>
      <c r="AS52" s="11" t="inlineStr"/>
      <c r="AT52" s="11" t="inlineStr">
        <is>
          <t>HTTPConnectionPool(host='localhost', port=8000): Read timed out. (read timeout=180)</t>
        </is>
      </c>
    </row>
    <row r="53">
      <c r="A53" s="11" t="n">
        <v>52</v>
      </c>
      <c r="B53" s="11" t="inlineStr">
        <is>
          <t>multilingual</t>
        </is>
      </c>
      <c r="C53" s="11" t="inlineStr">
        <is>
          <t>medium</t>
        </is>
      </c>
      <c r="D53" s="11" t="inlineStr">
        <is>
          <t>FR</t>
        </is>
      </c>
      <c r="E53" s="11" t="inlineStr">
        <is>
          <t>Que dit le plan d'études sur les cours à option ?</t>
        </is>
      </c>
      <c r="F53" s="11" t="inlineStr">
        <is>
          <t>Same factual answer as the equivalent English/German/French query; response language should match or be appropriate.</t>
        </is>
      </c>
      <c r="G53" s="11" t="inlineStr">
        <is>
          <t>Mixed</t>
        </is>
      </c>
      <c r="H53" s="11" t="inlineStr">
        <is>
          <t>API first, RAG fallback</t>
        </is>
      </c>
      <c r="I53" s="11" t="inlineStr">
        <is>
          <t>DB or PDF source</t>
        </is>
      </c>
      <c r="J53" s="11" t="inlineStr">
        <is>
          <t>elective rules</t>
        </is>
      </c>
      <c r="K53" s="11" t="inlineStr">
        <is>
          <t>Tests multilingual query understanding and response language consistency.</t>
        </is>
      </c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  <c r="AH53" s="11" t="inlineStr">
        <is>
          <t>2026-05-06T23:46:21</t>
        </is>
      </c>
      <c r="AI53" s="11" t="inlineStr">
        <is>
          <t>rag</t>
        </is>
      </c>
      <c r="AJ53" s="11" t="inlineStr">
        <is>
          <t>rag</t>
        </is>
      </c>
      <c r="AK53" s="11" t="n"/>
      <c r="AL53" s="11" t="b">
        <v>0</v>
      </c>
      <c r="AM53" s="11" t="n">
        <v>180027.53</v>
      </c>
      <c r="AN53" s="11" t="n"/>
      <c r="AO53" s="11" t="n"/>
      <c r="AP53" s="11" t="n"/>
      <c r="AQ53" s="11" t="inlineStr"/>
      <c r="AR53" s="11" t="n"/>
      <c r="AS53" s="11" t="inlineStr"/>
      <c r="AT53" s="11" t="inlineStr">
        <is>
          <t>HTTPConnectionPool(host='localhost', port=8000): Read timed out. (read timeout=180)</t>
        </is>
      </c>
    </row>
    <row r="54">
      <c r="A54" s="11" t="n">
        <v>53</v>
      </c>
      <c r="B54" s="11" t="inlineStr">
        <is>
          <t>multilingual</t>
        </is>
      </c>
      <c r="C54" s="11" t="inlineStr">
        <is>
          <t>medium</t>
        </is>
      </c>
      <c r="D54" s="11" t="inlineStr">
        <is>
          <t>EN</t>
        </is>
      </c>
      <c r="E54" s="11" t="inlineStr">
        <is>
          <t>What courses are Pflichtkurse in Theological Studies?</t>
        </is>
      </c>
      <c r="F54" s="11" t="inlineStr">
        <is>
          <t>Same factual answer as the equivalent English/German/French query; response language should match or be appropriate.</t>
        </is>
      </c>
      <c r="G54" s="11" t="inlineStr">
        <is>
          <t>Mixed</t>
        </is>
      </c>
      <c r="H54" s="11" t="inlineStr">
        <is>
          <t>API first, RAG fallback</t>
        </is>
      </c>
      <c r="I54" s="11" t="inlineStr">
        <is>
          <t>DB or PDF source</t>
        </is>
      </c>
      <c r="J54" s="11" t="inlineStr">
        <is>
          <t>mandatory courses</t>
        </is>
      </c>
      <c r="K54" s="11" t="inlineStr">
        <is>
          <t>Tests multilingual query understanding and response language consistency.</t>
        </is>
      </c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inlineStr">
        <is>
          <t>2026-05-06T23:46:21</t>
        </is>
      </c>
      <c r="AI54" s="11" t="inlineStr">
        <is>
          <t>rag</t>
        </is>
      </c>
      <c r="AJ54" s="11" t="inlineStr">
        <is>
          <t>rag</t>
        </is>
      </c>
      <c r="AK54" s="11" t="n"/>
      <c r="AL54" s="11" t="b">
        <v>0</v>
      </c>
      <c r="AM54" s="11" t="n">
        <v>180029.84</v>
      </c>
      <c r="AN54" s="11" t="n"/>
      <c r="AO54" s="11" t="n"/>
      <c r="AP54" s="11" t="n"/>
      <c r="AQ54" s="11" t="inlineStr"/>
      <c r="AR54" s="11" t="n"/>
      <c r="AS54" s="11" t="inlineStr"/>
      <c r="AT54" s="11" t="inlineStr">
        <is>
          <t>HTTPConnectionPool(host='localhost', port=8000): Read timed out. (read timeout=180)</t>
        </is>
      </c>
    </row>
    <row r="55">
      <c r="A55" s="11" t="n">
        <v>54</v>
      </c>
      <c r="B55" s="11" t="inlineStr">
        <is>
          <t>multilingual</t>
        </is>
      </c>
      <c r="C55" s="11" t="inlineStr">
        <is>
          <t>medium</t>
        </is>
      </c>
      <c r="D55" s="11" t="inlineStr">
        <is>
          <t>EN</t>
        </is>
      </c>
      <c r="E55" s="11" t="inlineStr">
        <is>
          <t>Quels cours in Slavic Studies are electives?</t>
        </is>
      </c>
      <c r="F55" s="11" t="inlineStr">
        <is>
          <t>Same factual answer as the equivalent English/German/French query; response language should match or be appropriate.</t>
        </is>
      </c>
      <c r="G55" s="11" t="inlineStr">
        <is>
          <t>Mixed</t>
        </is>
      </c>
      <c r="H55" s="11" t="inlineStr">
        <is>
          <t>API first, RAG fallback</t>
        </is>
      </c>
      <c r="I55" s="11" t="inlineStr">
        <is>
          <t>DB or PDF source</t>
        </is>
      </c>
      <c r="J55" s="11" t="inlineStr">
        <is>
          <t>elective courses</t>
        </is>
      </c>
      <c r="K55" s="11" t="inlineStr">
        <is>
          <t>Tests multilingual query understanding and response language consistency.</t>
        </is>
      </c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inlineStr">
        <is>
          <t>2026-05-06T23:46:21</t>
        </is>
      </c>
      <c r="AI55" s="11" t="inlineStr">
        <is>
          <t>rag</t>
        </is>
      </c>
      <c r="AJ55" s="11" t="inlineStr">
        <is>
          <t>rag</t>
        </is>
      </c>
      <c r="AK55" s="11" t="n"/>
      <c r="AL55" s="11" t="b">
        <v>0</v>
      </c>
      <c r="AM55" s="11" t="n">
        <v>180032.51</v>
      </c>
      <c r="AN55" s="11" t="n"/>
      <c r="AO55" s="11" t="n"/>
      <c r="AP55" s="11" t="n"/>
      <c r="AQ55" s="11" t="inlineStr"/>
      <c r="AR55" s="11" t="n"/>
      <c r="AS55" s="11" t="inlineStr"/>
      <c r="AT55" s="11" t="inlineStr">
        <is>
          <t>HTTPConnectionPool(host='localhost', port=8000): Read timed out. (read timeout=180)</t>
        </is>
      </c>
    </row>
    <row r="56">
      <c r="A56" s="11" t="n">
        <v>55</v>
      </c>
      <c r="B56" s="11" t="inlineStr">
        <is>
          <t>ambiguous</t>
        </is>
      </c>
      <c r="C56" s="11" t="inlineStr">
        <is>
          <t>medium</t>
        </is>
      </c>
      <c r="D56" s="11" t="inlineStr">
        <is>
          <t>EN</t>
        </is>
      </c>
      <c r="E56" s="11" t="inlineStr">
        <is>
          <t>Tell me about the Informatics Bachelor.</t>
        </is>
      </c>
      <c r="F56" s="11" t="inlineStr">
        <is>
          <t>Should provide cautious answer, ask for missing information when needed, and avoid unsupported recommendations.</t>
        </is>
      </c>
      <c r="G56" s="11" t="inlineStr">
        <is>
          <t>Mixed</t>
        </is>
      </c>
      <c r="H56" s="11" t="inlineStr">
        <is>
          <t>API/RAG/clarification</t>
        </is>
      </c>
      <c r="I56" s="11" t="inlineStr">
        <is>
          <t>DB or documents if used</t>
        </is>
      </c>
      <c r="J56" s="11" t="inlineStr">
        <is>
          <t>clarification behavior, no hallucination</t>
        </is>
      </c>
      <c r="K56" s="11" t="inlineStr">
        <is>
          <t>Useful for qualitative analysis.</t>
        </is>
      </c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  <c r="AH56" s="11" t="inlineStr">
        <is>
          <t>2026-05-06T23:46:21</t>
        </is>
      </c>
      <c r="AI56" s="11" t="inlineStr">
        <is>
          <t>rag</t>
        </is>
      </c>
      <c r="AJ56" s="11" t="inlineStr">
        <is>
          <t>rag</t>
        </is>
      </c>
      <c r="AK56" s="11" t="n"/>
      <c r="AL56" s="11" t="b">
        <v>0</v>
      </c>
      <c r="AM56" s="11" t="n">
        <v>180020.47</v>
      </c>
      <c r="AN56" s="11" t="n"/>
      <c r="AO56" s="11" t="n"/>
      <c r="AP56" s="11" t="n"/>
      <c r="AQ56" s="11" t="inlineStr"/>
      <c r="AR56" s="11" t="n"/>
      <c r="AS56" s="11" t="inlineStr"/>
      <c r="AT56" s="11" t="inlineStr">
        <is>
          <t>HTTPConnectionPool(host='localhost', port=8000): Read timed out. (read timeout=180)</t>
        </is>
      </c>
    </row>
    <row r="57">
      <c r="A57" s="11" t="n">
        <v>56</v>
      </c>
      <c r="B57" s="11" t="inlineStr">
        <is>
          <t>ambiguous</t>
        </is>
      </c>
      <c r="C57" s="11" t="inlineStr">
        <is>
          <t>medium</t>
        </is>
      </c>
      <c r="D57" s="11" t="inlineStr">
        <is>
          <t>EN</t>
        </is>
      </c>
      <c r="E57" s="11" t="inlineStr">
        <is>
          <t>What should I take in my first semester?</t>
        </is>
      </c>
      <c r="F57" s="11" t="inlineStr">
        <is>
          <t>Should provide cautious answer, ask for missing information when needed, and avoid unsupported recommendations.</t>
        </is>
      </c>
      <c r="G57" s="11" t="inlineStr">
        <is>
          <t>Mixed</t>
        </is>
      </c>
      <c r="H57" s="11" t="inlineStr">
        <is>
          <t>API/RAG/clarification</t>
        </is>
      </c>
      <c r="I57" s="11" t="inlineStr">
        <is>
          <t>DB or documents if used</t>
        </is>
      </c>
      <c r="J57" s="11" t="inlineStr">
        <is>
          <t>clarification behavior, no hallucination</t>
        </is>
      </c>
      <c r="K57" s="11" t="inlineStr">
        <is>
          <t>Useful for qualitative analysis.</t>
        </is>
      </c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  <c r="AH57" s="11" t="inlineStr">
        <is>
          <t>2026-05-06T23:46:21</t>
        </is>
      </c>
      <c r="AI57" s="11" t="inlineStr">
        <is>
          <t>rag</t>
        </is>
      </c>
      <c r="AJ57" s="11" t="inlineStr">
        <is>
          <t>rag</t>
        </is>
      </c>
      <c r="AK57" s="11" t="n"/>
      <c r="AL57" s="11" t="b">
        <v>0</v>
      </c>
      <c r="AM57" s="11" t="n">
        <v>180022.07</v>
      </c>
      <c r="AN57" s="11" t="n"/>
      <c r="AO57" s="11" t="n"/>
      <c r="AP57" s="11" t="n"/>
      <c r="AQ57" s="11" t="inlineStr"/>
      <c r="AR57" s="11" t="n"/>
      <c r="AS57" s="11" t="inlineStr"/>
      <c r="AT57" s="11" t="inlineStr">
        <is>
          <t>HTTPConnectionPool(host='localhost', port=8000): Read timed out. (read timeout=180)</t>
        </is>
      </c>
    </row>
    <row r="58">
      <c r="A58" s="11" t="n">
        <v>57</v>
      </c>
      <c r="B58" s="11" t="inlineStr">
        <is>
          <t>ambiguous</t>
        </is>
      </c>
      <c r="C58" s="11" t="inlineStr">
        <is>
          <t>medium</t>
        </is>
      </c>
      <c r="D58" s="11" t="inlineStr">
        <is>
          <t>EN</t>
        </is>
      </c>
      <c r="E58" s="11" t="inlineStr">
        <is>
          <t>Which courses are interesting for AI?</t>
        </is>
      </c>
      <c r="F58" s="11" t="inlineStr">
        <is>
          <t>Should provide cautious answer, ask for missing information when needed, and avoid unsupported recommendations.</t>
        </is>
      </c>
      <c r="G58" s="11" t="inlineStr">
        <is>
          <t>Mixed</t>
        </is>
      </c>
      <c r="H58" s="11" t="inlineStr">
        <is>
          <t>API/RAG/clarification</t>
        </is>
      </c>
      <c r="I58" s="11" t="inlineStr">
        <is>
          <t>DB or documents if used</t>
        </is>
      </c>
      <c r="J58" s="11" t="inlineStr">
        <is>
          <t>clarification behavior, no hallucination</t>
        </is>
      </c>
      <c r="K58" s="11" t="inlineStr">
        <is>
          <t>Useful for qualitative analysis.</t>
        </is>
      </c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inlineStr">
        <is>
          <t>2026-05-06T23:46:21</t>
        </is>
      </c>
      <c r="AI58" s="11" t="inlineStr">
        <is>
          <t>rag</t>
        </is>
      </c>
      <c r="AJ58" s="11" t="inlineStr">
        <is>
          <t>rag</t>
        </is>
      </c>
      <c r="AK58" s="11" t="n"/>
      <c r="AL58" s="11" t="b">
        <v>0</v>
      </c>
      <c r="AM58" s="11" t="n">
        <v>180022.06</v>
      </c>
      <c r="AN58" s="11" t="n"/>
      <c r="AO58" s="11" t="n"/>
      <c r="AP58" s="11" t="n"/>
      <c r="AQ58" s="11" t="inlineStr"/>
      <c r="AR58" s="11" t="n"/>
      <c r="AS58" s="11" t="inlineStr"/>
      <c r="AT58" s="11" t="inlineStr">
        <is>
          <t>HTTPConnectionPool(host='localhost', port=8000): Read timed out. (read timeout=180)</t>
        </is>
      </c>
    </row>
    <row r="59">
      <c r="A59" s="11" t="n">
        <v>58</v>
      </c>
      <c r="B59" s="11" t="inlineStr">
        <is>
          <t>ambiguous</t>
        </is>
      </c>
      <c r="C59" s="11" t="inlineStr">
        <is>
          <t>medium</t>
        </is>
      </c>
      <c r="D59" s="11" t="inlineStr">
        <is>
          <t>EN</t>
        </is>
      </c>
      <c r="E59" s="11" t="inlineStr">
        <is>
          <t>I want an easy semester. What courses should I choose?</t>
        </is>
      </c>
      <c r="F59" s="11" t="inlineStr">
        <is>
          <t>Should provide cautious answer, ask for missing information when needed, and avoid unsupported recommendations.</t>
        </is>
      </c>
      <c r="G59" s="11" t="inlineStr">
        <is>
          <t>Mixed</t>
        </is>
      </c>
      <c r="H59" s="11" t="inlineStr">
        <is>
          <t>API/RAG/clarification</t>
        </is>
      </c>
      <c r="I59" s="11" t="inlineStr">
        <is>
          <t>DB or documents if used</t>
        </is>
      </c>
      <c r="J59" s="11" t="inlineStr">
        <is>
          <t>clarification behavior, no hallucination</t>
        </is>
      </c>
      <c r="K59" s="11" t="inlineStr">
        <is>
          <t>Useful for qualitative analysis.</t>
        </is>
      </c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inlineStr">
        <is>
          <t>2026-05-06T23:46:21</t>
        </is>
      </c>
      <c r="AI59" s="11" t="inlineStr">
        <is>
          <t>rag</t>
        </is>
      </c>
      <c r="AJ59" s="11" t="inlineStr">
        <is>
          <t>rag</t>
        </is>
      </c>
      <c r="AK59" s="11" t="n"/>
      <c r="AL59" s="11" t="b">
        <v>0</v>
      </c>
      <c r="AM59" s="11" t="n">
        <v>180020.61</v>
      </c>
      <c r="AN59" s="11" t="n"/>
      <c r="AO59" s="11" t="n"/>
      <c r="AP59" s="11" t="n"/>
      <c r="AQ59" s="11" t="inlineStr"/>
      <c r="AR59" s="11" t="n"/>
      <c r="AS59" s="11" t="inlineStr"/>
      <c r="AT59" s="11" t="inlineStr">
        <is>
          <t>HTTPConnectionPool(host='localhost', port=8000): Read timed out. (read timeout=180)</t>
        </is>
      </c>
    </row>
    <row r="60">
      <c r="A60" s="11" t="n">
        <v>59</v>
      </c>
      <c r="B60" s="11" t="inlineStr">
        <is>
          <t>ambiguous</t>
        </is>
      </c>
      <c r="C60" s="11" t="inlineStr">
        <is>
          <t>medium</t>
        </is>
      </c>
      <c r="D60" s="11" t="inlineStr">
        <is>
          <t>EN</t>
        </is>
      </c>
      <c r="E60" s="11" t="inlineStr">
        <is>
          <t>Can I study economics and computer science together?</t>
        </is>
      </c>
      <c r="F60" s="11" t="inlineStr">
        <is>
          <t>Should provide cautious answer, ask for missing information when needed, and avoid unsupported recommendations.</t>
        </is>
      </c>
      <c r="G60" s="11" t="inlineStr">
        <is>
          <t>Mixed</t>
        </is>
      </c>
      <c r="H60" s="11" t="inlineStr">
        <is>
          <t>API/RAG/clarification</t>
        </is>
      </c>
      <c r="I60" s="11" t="inlineStr">
        <is>
          <t>DB or documents if used</t>
        </is>
      </c>
      <c r="J60" s="11" t="inlineStr">
        <is>
          <t>clarification behavior, no hallucination</t>
        </is>
      </c>
      <c r="K60" s="11" t="inlineStr">
        <is>
          <t>Useful for qualitative analysis.</t>
        </is>
      </c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inlineStr">
        <is>
          <t>2026-05-06T23:46:21</t>
        </is>
      </c>
      <c r="AI60" s="11" t="inlineStr">
        <is>
          <t>rag</t>
        </is>
      </c>
      <c r="AJ60" s="11" t="inlineStr">
        <is>
          <t>rag</t>
        </is>
      </c>
      <c r="AK60" s="11" t="n"/>
      <c r="AL60" s="11" t="b">
        <v>0</v>
      </c>
      <c r="AM60" s="11" t="n">
        <v>180013.85</v>
      </c>
      <c r="AN60" s="11" t="n"/>
      <c r="AO60" s="11" t="n"/>
      <c r="AP60" s="11" t="n"/>
      <c r="AQ60" s="11" t="inlineStr"/>
      <c r="AR60" s="11" t="n"/>
      <c r="AS60" s="11" t="inlineStr"/>
      <c r="AT60" s="11" t="inlineStr">
        <is>
          <t>HTTPConnectionPool(host='localhost', port=8000): Read timed out. (read timeout=180)</t>
        </is>
      </c>
    </row>
    <row r="61">
      <c r="A61" s="11" t="n">
        <v>60</v>
      </c>
      <c r="B61" s="11" t="inlineStr">
        <is>
          <t>ambiguous</t>
        </is>
      </c>
      <c r="C61" s="11" t="inlineStr">
        <is>
          <t>medium</t>
        </is>
      </c>
      <c r="D61" s="11" t="inlineStr">
        <is>
          <t>EN</t>
        </is>
      </c>
      <c r="E61" s="11" t="inlineStr">
        <is>
          <t>Which program is best for me?</t>
        </is>
      </c>
      <c r="F61" s="11" t="inlineStr">
        <is>
          <t>Should provide cautious answer, ask for missing information when needed, and avoid unsupported recommendations.</t>
        </is>
      </c>
      <c r="G61" s="11" t="inlineStr">
        <is>
          <t>Mixed</t>
        </is>
      </c>
      <c r="H61" s="11" t="inlineStr">
        <is>
          <t>API/RAG/clarification</t>
        </is>
      </c>
      <c r="I61" s="11" t="inlineStr">
        <is>
          <t>DB or documents if used</t>
        </is>
      </c>
      <c r="J61" s="11" t="inlineStr">
        <is>
          <t>clarification behavior, no hallucination</t>
        </is>
      </c>
      <c r="K61" s="11" t="inlineStr">
        <is>
          <t>Useful for qualitative analysis.</t>
        </is>
      </c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inlineStr">
        <is>
          <t>2026-05-06T23:46:21</t>
        </is>
      </c>
      <c r="AI61" s="11" t="inlineStr">
        <is>
          <t>rag</t>
        </is>
      </c>
      <c r="AJ61" s="11" t="inlineStr">
        <is>
          <t>rag</t>
        </is>
      </c>
      <c r="AK61" s="11" t="n"/>
      <c r="AL61" s="11" t="b">
        <v>0</v>
      </c>
      <c r="AM61" s="11" t="n">
        <v>180015.1</v>
      </c>
      <c r="AN61" s="11" t="n"/>
      <c r="AO61" s="11" t="n"/>
      <c r="AP61" s="11" t="n"/>
      <c r="AQ61" s="11" t="inlineStr"/>
      <c r="AR61" s="11" t="n"/>
      <c r="AS61" s="11" t="inlineStr"/>
      <c r="AT61" s="11" t="inlineStr">
        <is>
          <t>HTTPConnectionPool(host='localhost', port=8000): Read timed out. (read timeout=180)</t>
        </is>
      </c>
    </row>
    <row r="62">
      <c r="A62" s="11" t="n">
        <v>61</v>
      </c>
      <c r="B62" s="11" t="inlineStr">
        <is>
          <t>ambiguous</t>
        </is>
      </c>
      <c r="C62" s="11" t="inlineStr">
        <is>
          <t>medium</t>
        </is>
      </c>
      <c r="D62" s="11" t="inlineStr">
        <is>
          <t>EN</t>
        </is>
      </c>
      <c r="E62" s="11" t="inlineStr">
        <is>
          <t>Explain UE-F22.00088.</t>
        </is>
      </c>
      <c r="F62" s="11" t="inlineStr">
        <is>
          <t>Should provide cautious answer, ask for missing information when needed, and avoid unsupported recommendations.</t>
        </is>
      </c>
      <c r="G62" s="11" t="inlineStr">
        <is>
          <t>Mixed</t>
        </is>
      </c>
      <c r="H62" s="11" t="inlineStr">
        <is>
          <t>API/RAG/clarification</t>
        </is>
      </c>
      <c r="I62" s="11" t="inlineStr">
        <is>
          <t>DB or documents if used</t>
        </is>
      </c>
      <c r="J62" s="11" t="inlineStr">
        <is>
          <t>clarification behavior, no hallucination</t>
        </is>
      </c>
      <c r="K62" s="11" t="inlineStr">
        <is>
          <t>Useful for qualitative analysis.</t>
        </is>
      </c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inlineStr">
        <is>
          <t>2026-05-06T23:46:21</t>
        </is>
      </c>
      <c r="AI62" s="11" t="inlineStr">
        <is>
          <t>rag</t>
        </is>
      </c>
      <c r="AJ62" s="11" t="inlineStr">
        <is>
          <t>rag</t>
        </is>
      </c>
      <c r="AK62" s="11" t="n"/>
      <c r="AL62" s="11" t="b">
        <v>0</v>
      </c>
      <c r="AM62" s="11" t="n">
        <v>180016.64</v>
      </c>
      <c r="AN62" s="11" t="n"/>
      <c r="AO62" s="11" t="n"/>
      <c r="AP62" s="11" t="n"/>
      <c r="AQ62" s="11" t="inlineStr"/>
      <c r="AR62" s="11" t="n"/>
      <c r="AS62" s="11" t="inlineStr"/>
      <c r="AT62" s="11" t="inlineStr">
        <is>
          <t>HTTPConnectionPool(host='localhost', port=8000): Read timed out. (read timeout=180)</t>
        </is>
      </c>
    </row>
    <row r="63">
      <c r="A63" s="11" t="n">
        <v>62</v>
      </c>
      <c r="B63" s="11" t="inlineStr">
        <is>
          <t>ambiguous</t>
        </is>
      </c>
      <c r="C63" s="11" t="inlineStr">
        <is>
          <t>medium</t>
        </is>
      </c>
      <c r="D63" s="11" t="inlineStr">
        <is>
          <t>EN</t>
        </is>
      </c>
      <c r="E63" s="11" t="inlineStr">
        <is>
          <t>What can I study at Unifr?</t>
        </is>
      </c>
      <c r="F63" s="11" t="inlineStr">
        <is>
          <t>Should provide cautious answer, ask for missing information when needed, and avoid unsupported recommendations.</t>
        </is>
      </c>
      <c r="G63" s="11" t="inlineStr">
        <is>
          <t>Mixed</t>
        </is>
      </c>
      <c r="H63" s="11" t="inlineStr">
        <is>
          <t>API/RAG/clarification</t>
        </is>
      </c>
      <c r="I63" s="11" t="inlineStr">
        <is>
          <t>DB or documents if used</t>
        </is>
      </c>
      <c r="J63" s="11" t="inlineStr">
        <is>
          <t>clarification behavior, no hallucination</t>
        </is>
      </c>
      <c r="K63" s="11" t="inlineStr">
        <is>
          <t>Useful for qualitative analysis.</t>
        </is>
      </c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inlineStr">
        <is>
          <t>2026-05-06T23:46:21</t>
        </is>
      </c>
      <c r="AI63" s="11" t="inlineStr">
        <is>
          <t>rag</t>
        </is>
      </c>
      <c r="AJ63" s="11" t="inlineStr">
        <is>
          <t>rag</t>
        </is>
      </c>
      <c r="AK63" s="11" t="n"/>
      <c r="AL63" s="11" t="b">
        <v>0</v>
      </c>
      <c r="AM63" s="11" t="n">
        <v>180033.15</v>
      </c>
      <c r="AN63" s="11" t="n"/>
      <c r="AO63" s="11" t="n"/>
      <c r="AP63" s="11" t="n"/>
      <c r="AQ63" s="11" t="inlineStr"/>
      <c r="AR63" s="11" t="n"/>
      <c r="AS63" s="11" t="inlineStr"/>
      <c r="AT63" s="11" t="inlineStr">
        <is>
          <t>HTTPConnectionPool(host='localhost', port=8000): Read timed out. (read timeout=180)</t>
        </is>
      </c>
    </row>
    <row r="64">
      <c r="A64" s="11" t="n">
        <v>63</v>
      </c>
      <c r="B64" s="11" t="inlineStr">
        <is>
          <t>unanswerable</t>
        </is>
      </c>
      <c r="C64" s="11" t="inlineStr">
        <is>
          <t>medium</t>
        </is>
      </c>
      <c r="D64" s="11" t="inlineStr">
        <is>
          <t>EN</t>
        </is>
      </c>
      <c r="E64" s="11" t="inlineStr">
        <is>
          <t>What will the exact schedule of UE-TTH.01524 be in 2030?</t>
        </is>
      </c>
      <c r="F64" s="11" t="inlineStr">
        <is>
          <t>Should explicitly say that the information is not available/cannot be answered from provided data.</t>
        </is>
      </c>
      <c r="G64" s="11" t="inlineStr">
        <is>
          <t>None</t>
        </is>
      </c>
      <c r="H64" s="11" t="inlineStr">
        <is>
          <t>No tool or explicit fallback no-answer</t>
        </is>
      </c>
      <c r="I64" s="11" t="inlineStr">
        <is>
          <t>N/A</t>
        </is>
      </c>
      <c r="J64" s="11" t="inlineStr">
        <is>
          <t>safe refusal / no-answer behavior</t>
        </is>
      </c>
      <c r="K64" s="11" t="inlineStr">
        <is>
          <t>Critical for hallucination rate.</t>
        </is>
      </c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inlineStr">
        <is>
          <t>2026-05-06T23:46:21</t>
        </is>
      </c>
      <c r="AI64" s="11" t="inlineStr">
        <is>
          <t>rag</t>
        </is>
      </c>
      <c r="AJ64" s="11" t="inlineStr">
        <is>
          <t>rag</t>
        </is>
      </c>
      <c r="AK64" s="11" t="n"/>
      <c r="AL64" s="11" t="b">
        <v>0</v>
      </c>
      <c r="AM64" s="11" t="n">
        <v>180012.92</v>
      </c>
      <c r="AN64" s="11" t="n"/>
      <c r="AO64" s="11" t="n"/>
      <c r="AP64" s="11" t="n"/>
      <c r="AQ64" s="11" t="inlineStr"/>
      <c r="AR64" s="11" t="n"/>
      <c r="AS64" s="11" t="inlineStr"/>
      <c r="AT64" s="11" t="inlineStr">
        <is>
          <t>HTTPConnectionPool(host='localhost', port=8000): Read timed out. (read timeout=180)</t>
        </is>
      </c>
    </row>
    <row r="65">
      <c r="A65" s="11" t="n">
        <v>64</v>
      </c>
      <c r="B65" s="11" t="inlineStr">
        <is>
          <t>unanswerable</t>
        </is>
      </c>
      <c r="C65" s="11" t="inlineStr">
        <is>
          <t>medium</t>
        </is>
      </c>
      <c r="D65" s="11" t="inlineStr">
        <is>
          <t>EN</t>
        </is>
      </c>
      <c r="E65" s="11" t="inlineStr">
        <is>
          <t>Which professor is the best teacher for UE-DDR.02408?</t>
        </is>
      </c>
      <c r="F65" s="11" t="inlineStr">
        <is>
          <t>Should explicitly say that the information is not available/cannot be answered from provided data.</t>
        </is>
      </c>
      <c r="G65" s="11" t="inlineStr">
        <is>
          <t>None</t>
        </is>
      </c>
      <c r="H65" s="11" t="inlineStr">
        <is>
          <t>No tool or explicit fallback no-answer</t>
        </is>
      </c>
      <c r="I65" s="11" t="inlineStr">
        <is>
          <t>N/A</t>
        </is>
      </c>
      <c r="J65" s="11" t="inlineStr">
        <is>
          <t>safe refusal / no-answer behavior</t>
        </is>
      </c>
      <c r="K65" s="11" t="inlineStr">
        <is>
          <t>Critical for hallucination rate.</t>
        </is>
      </c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inlineStr">
        <is>
          <t>2026-05-06T23:46:21</t>
        </is>
      </c>
      <c r="AI65" s="11" t="inlineStr">
        <is>
          <t>rag</t>
        </is>
      </c>
      <c r="AJ65" s="11" t="inlineStr">
        <is>
          <t>rag</t>
        </is>
      </c>
      <c r="AK65" s="11" t="n"/>
      <c r="AL65" s="11" t="b">
        <v>0</v>
      </c>
      <c r="AM65" s="11" t="n">
        <v>180031.93</v>
      </c>
      <c r="AN65" s="11" t="n"/>
      <c r="AO65" s="11" t="n"/>
      <c r="AP65" s="11" t="n"/>
      <c r="AQ65" s="11" t="inlineStr"/>
      <c r="AR65" s="11" t="n"/>
      <c r="AS65" s="11" t="inlineStr"/>
      <c r="AT65" s="11" t="inlineStr">
        <is>
          <t>HTTPConnectionPool(host='localhost', port=8000): Read timed out. (read timeout=180)</t>
        </is>
      </c>
    </row>
    <row r="66">
      <c r="A66" s="11" t="n">
        <v>65</v>
      </c>
      <c r="B66" s="11" t="inlineStr">
        <is>
          <t>unanswerable</t>
        </is>
      </c>
      <c r="C66" s="11" t="inlineStr">
        <is>
          <t>medium</t>
        </is>
      </c>
      <c r="D66" s="11" t="inlineStr">
        <is>
          <t>EN</t>
        </is>
      </c>
      <c r="E66" s="11" t="inlineStr">
        <is>
          <t>What grade will I get if I take UE-L06.01393	?</t>
        </is>
      </c>
      <c r="F66" s="11" t="inlineStr">
        <is>
          <t>Should explicitly say that the information is not available/cannot be answered from provided data.</t>
        </is>
      </c>
      <c r="G66" s="11" t="inlineStr">
        <is>
          <t>None</t>
        </is>
      </c>
      <c r="H66" s="11" t="inlineStr">
        <is>
          <t>No tool or explicit fallback no-answer</t>
        </is>
      </c>
      <c r="I66" s="11" t="inlineStr">
        <is>
          <t>N/A</t>
        </is>
      </c>
      <c r="J66" s="11" t="inlineStr">
        <is>
          <t>safe refusal / no-answer behavior</t>
        </is>
      </c>
      <c r="K66" s="11" t="inlineStr">
        <is>
          <t>Critical for hallucination rate.</t>
        </is>
      </c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inlineStr">
        <is>
          <t>2026-05-06T23:46:21</t>
        </is>
      </c>
      <c r="AI66" s="11" t="inlineStr">
        <is>
          <t>rag</t>
        </is>
      </c>
      <c r="AJ66" s="11" t="inlineStr">
        <is>
          <t>rag</t>
        </is>
      </c>
      <c r="AK66" s="11" t="n"/>
      <c r="AL66" s="11" t="b">
        <v>0</v>
      </c>
      <c r="AM66" s="11" t="n">
        <v>180018.17</v>
      </c>
      <c r="AN66" s="11" t="n"/>
      <c r="AO66" s="11" t="n"/>
      <c r="AP66" s="11" t="n"/>
      <c r="AQ66" s="11" t="inlineStr"/>
      <c r="AR66" s="11" t="n"/>
      <c r="AS66" s="11" t="inlineStr"/>
      <c r="AT66" s="11" t="inlineStr">
        <is>
          <t>HTTPConnectionPool(host='localhost', port=8000): Read timed out. (read timeout=180)</t>
        </is>
      </c>
    </row>
    <row r="67">
      <c r="A67" s="11" t="n">
        <v>66</v>
      </c>
      <c r="B67" s="11" t="inlineStr">
        <is>
          <t>unanswerable</t>
        </is>
      </c>
      <c r="C67" s="11" t="inlineStr">
        <is>
          <t>medium</t>
        </is>
      </c>
      <c r="D67" s="11" t="inlineStr">
        <is>
          <t>EN</t>
        </is>
      </c>
      <c r="E67" s="11" t="inlineStr">
        <is>
          <t>Does Greek Studies guarantee a job at Google?</t>
        </is>
      </c>
      <c r="F67" s="11" t="inlineStr">
        <is>
          <t>Should explicitly say that the information is not available/cannot be answered from provided data.</t>
        </is>
      </c>
      <c r="G67" s="11" t="inlineStr">
        <is>
          <t>None</t>
        </is>
      </c>
      <c r="H67" s="11" t="inlineStr">
        <is>
          <t>No tool or explicit fallback no-answer</t>
        </is>
      </c>
      <c r="I67" s="11" t="inlineStr">
        <is>
          <t>N/A</t>
        </is>
      </c>
      <c r="J67" s="11" t="inlineStr">
        <is>
          <t>safe refusal / no-answer behavior</t>
        </is>
      </c>
      <c r="K67" s="11" t="inlineStr">
        <is>
          <t>Critical for hallucination rate.</t>
        </is>
      </c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inlineStr">
        <is>
          <t>2026-05-06T23:46:21</t>
        </is>
      </c>
      <c r="AI67" s="11" t="inlineStr">
        <is>
          <t>rag</t>
        </is>
      </c>
      <c r="AJ67" s="11" t="inlineStr">
        <is>
          <t>rag</t>
        </is>
      </c>
      <c r="AK67" s="11" t="n"/>
      <c r="AL67" s="11" t="b">
        <v>0</v>
      </c>
      <c r="AM67" s="11" t="n">
        <v>180017.44</v>
      </c>
      <c r="AN67" s="11" t="n"/>
      <c r="AO67" s="11" t="n"/>
      <c r="AP67" s="11" t="n"/>
      <c r="AQ67" s="11" t="inlineStr"/>
      <c r="AR67" s="11" t="n"/>
      <c r="AS67" s="11" t="inlineStr"/>
      <c r="AT67" s="11" t="inlineStr">
        <is>
          <t>HTTPConnectionPool(host='localhost', port=8000): Read timed out. (read timeout=180)</t>
        </is>
      </c>
    </row>
    <row r="68">
      <c r="A68" s="11" t="n">
        <v>67</v>
      </c>
      <c r="B68" s="11" t="inlineStr">
        <is>
          <t>unanswerable</t>
        </is>
      </c>
      <c r="C68" s="11" t="inlineStr">
        <is>
          <t>medium</t>
        </is>
      </c>
      <c r="D68" s="11" t="inlineStr">
        <is>
          <t>EN</t>
        </is>
      </c>
      <c r="E68" s="11" t="inlineStr">
        <is>
          <t>Does UE-SIN.01021 include a hidden prerequisite that is not listed anywhere?</t>
        </is>
      </c>
      <c r="F68" s="11" t="inlineStr">
        <is>
          <t>Should explicitly say that the information is not available/cannot be answered from provided data.</t>
        </is>
      </c>
      <c r="G68" s="11" t="inlineStr">
        <is>
          <t>None</t>
        </is>
      </c>
      <c r="H68" s="11" t="inlineStr">
        <is>
          <t>No tool or explicit fallback no-answer</t>
        </is>
      </c>
      <c r="I68" s="11" t="inlineStr">
        <is>
          <t>N/A</t>
        </is>
      </c>
      <c r="J68" s="11" t="inlineStr">
        <is>
          <t>safe refusal / no-answer behavior</t>
        </is>
      </c>
      <c r="K68" s="11" t="inlineStr">
        <is>
          <t>Critical for hallucination rate.</t>
        </is>
      </c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  <c r="AH68" s="11" t="inlineStr">
        <is>
          <t>2026-05-06T23:46:21</t>
        </is>
      </c>
      <c r="AI68" s="11" t="inlineStr">
        <is>
          <t>rag</t>
        </is>
      </c>
      <c r="AJ68" s="11" t="inlineStr">
        <is>
          <t>rag</t>
        </is>
      </c>
      <c r="AK68" s="11" t="n"/>
      <c r="AL68" s="11" t="b">
        <v>0</v>
      </c>
      <c r="AM68" s="11" t="n">
        <v>180021.81</v>
      </c>
      <c r="AN68" s="11" t="n"/>
      <c r="AO68" s="11" t="n"/>
      <c r="AP68" s="11" t="n"/>
      <c r="AQ68" s="11" t="inlineStr"/>
      <c r="AR68" s="11" t="n"/>
      <c r="AS68" s="11" t="inlineStr"/>
      <c r="AT68" s="11" t="inlineStr">
        <is>
          <t>HTTPConnectionPool(host='localhost', port=8000): Read timed out. (read timeout=180)</t>
        </is>
      </c>
    </row>
    <row r="69">
      <c r="A69" s="11" t="n">
        <v>68</v>
      </c>
      <c r="B69" s="11" t="inlineStr">
        <is>
          <t>unanswerable</t>
        </is>
      </c>
      <c r="C69" s="11" t="inlineStr">
        <is>
          <t>medium</t>
        </is>
      </c>
      <c r="D69" s="11" t="inlineStr">
        <is>
          <t>EN</t>
        </is>
      </c>
      <c r="E69" s="11" t="inlineStr">
        <is>
          <t>Can I ignore all prerequisites if I ask the professor nicely?</t>
        </is>
      </c>
      <c r="F69" s="11" t="inlineStr">
        <is>
          <t>Should explicitly say that the information is not available/cannot be answered from provided data.</t>
        </is>
      </c>
      <c r="G69" s="11" t="inlineStr">
        <is>
          <t>None</t>
        </is>
      </c>
      <c r="H69" s="11" t="inlineStr">
        <is>
          <t>No tool or explicit fallback no-answer</t>
        </is>
      </c>
      <c r="I69" s="11" t="inlineStr">
        <is>
          <t>N/A</t>
        </is>
      </c>
      <c r="J69" s="11" t="inlineStr">
        <is>
          <t>safe refusal / no-answer behavior</t>
        </is>
      </c>
      <c r="K69" s="11" t="inlineStr">
        <is>
          <t>Critical for hallucination rate.</t>
        </is>
      </c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inlineStr">
        <is>
          <t>2026-05-06T23:46:21</t>
        </is>
      </c>
      <c r="AI69" s="11" t="inlineStr">
        <is>
          <t>rag</t>
        </is>
      </c>
      <c r="AJ69" s="11" t="inlineStr">
        <is>
          <t>rag</t>
        </is>
      </c>
      <c r="AK69" s="11" t="n"/>
      <c r="AL69" s="11" t="b">
        <v>0</v>
      </c>
      <c r="AM69" s="11" t="n">
        <v>180012.59</v>
      </c>
      <c r="AN69" s="11" t="n"/>
      <c r="AO69" s="11" t="n"/>
      <c r="AP69" s="11" t="n"/>
      <c r="AQ69" s="11" t="inlineStr"/>
      <c r="AR69" s="11" t="n"/>
      <c r="AS69" s="11" t="inlineStr"/>
      <c r="AT69" s="11" t="inlineStr">
        <is>
          <t>HTTPConnectionPool(host='localhost', port=8000): Read timed out. (read timeout=180)</t>
        </is>
      </c>
    </row>
    <row r="70">
      <c r="A70" s="11" t="n">
        <v>69</v>
      </c>
      <c r="B70" s="11" t="inlineStr">
        <is>
          <t>unanswerable</t>
        </is>
      </c>
      <c r="C70" s="11" t="inlineStr">
        <is>
          <t>medium</t>
        </is>
      </c>
      <c r="D70" s="11" t="inlineStr">
        <is>
          <t>EN</t>
        </is>
      </c>
      <c r="E70" s="11" t="inlineStr">
        <is>
          <t>Which course has the highest student satisfaction rating?</t>
        </is>
      </c>
      <c r="F70" s="11" t="inlineStr">
        <is>
          <t>Should explicitly say that the information is not available/cannot be answered from provided data.</t>
        </is>
      </c>
      <c r="G70" s="11" t="inlineStr">
        <is>
          <t>None</t>
        </is>
      </c>
      <c r="H70" s="11" t="inlineStr">
        <is>
          <t>No tool or explicit fallback no-answer</t>
        </is>
      </c>
      <c r="I70" s="11" t="inlineStr">
        <is>
          <t>N/A</t>
        </is>
      </c>
      <c r="J70" s="11" t="inlineStr">
        <is>
          <t>safe refusal / no-answer behavior</t>
        </is>
      </c>
      <c r="K70" s="11" t="inlineStr">
        <is>
          <t>Critical for hallucination rate.</t>
        </is>
      </c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inlineStr">
        <is>
          <t>2026-05-06T23:46:21</t>
        </is>
      </c>
      <c r="AI70" s="11" t="inlineStr">
        <is>
          <t>rag</t>
        </is>
      </c>
      <c r="AJ70" s="11" t="inlineStr">
        <is>
          <t>rag</t>
        </is>
      </c>
      <c r="AK70" s="11" t="n"/>
      <c r="AL70" s="11" t="b">
        <v>0</v>
      </c>
      <c r="AM70" s="11" t="n">
        <v>180018.88</v>
      </c>
      <c r="AN70" s="11" t="n"/>
      <c r="AO70" s="11" t="n"/>
      <c r="AP70" s="11" t="n"/>
      <c r="AQ70" s="11" t="inlineStr"/>
      <c r="AR70" s="11" t="n"/>
      <c r="AS70" s="11" t="inlineStr"/>
      <c r="AT70" s="11" t="inlineStr">
        <is>
          <t>HTTPConnectionPool(host='localhost', port=8000): Read timed out. (read timeout=180)</t>
        </is>
      </c>
    </row>
    <row r="71">
      <c r="A71" s="11" t="n">
        <v>70</v>
      </c>
      <c r="B71" s="11" t="inlineStr">
        <is>
          <t>unanswerable</t>
        </is>
      </c>
      <c r="C71" s="11" t="inlineStr">
        <is>
          <t>medium</t>
        </is>
      </c>
      <c r="D71" s="11" t="inlineStr">
        <is>
          <t>EN</t>
        </is>
      </c>
      <c r="E71" s="11" t="inlineStr">
        <is>
          <t>Does Unifr offer a mandatory course on quantum dragon theory?</t>
        </is>
      </c>
      <c r="F71" s="11" t="inlineStr">
        <is>
          <t>Should explicitly say that the information is not available/cannot be answered from provided data.</t>
        </is>
      </c>
      <c r="G71" s="11" t="inlineStr">
        <is>
          <t>None</t>
        </is>
      </c>
      <c r="H71" s="11" t="inlineStr">
        <is>
          <t>No tool or explicit fallback no-answer</t>
        </is>
      </c>
      <c r="I71" s="11" t="inlineStr">
        <is>
          <t>N/A</t>
        </is>
      </c>
      <c r="J71" s="11" t="inlineStr">
        <is>
          <t>safe refusal / no-answer behavior</t>
        </is>
      </c>
      <c r="K71" s="11" t="inlineStr">
        <is>
          <t>Critical for hallucination rate.</t>
        </is>
      </c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inlineStr">
        <is>
          <t>2026-05-06T23:46:21</t>
        </is>
      </c>
      <c r="AI71" s="11" t="inlineStr">
        <is>
          <t>rag</t>
        </is>
      </c>
      <c r="AJ71" s="11" t="inlineStr">
        <is>
          <t>rag</t>
        </is>
      </c>
      <c r="AK71" s="11" t="n"/>
      <c r="AL71" s="11" t="b">
        <v>0</v>
      </c>
      <c r="AM71" s="11" t="n">
        <v>180027.55</v>
      </c>
      <c r="AN71" s="11" t="n"/>
      <c r="AO71" s="11" t="n"/>
      <c r="AP71" s="11" t="n"/>
      <c r="AQ71" s="11" t="inlineStr"/>
      <c r="AR71" s="11" t="n"/>
      <c r="AS71" s="11" t="inlineStr"/>
      <c r="AT71" s="11" t="inlineStr">
        <is>
          <t>HTTPConnectionPool(host='localhost', port=8000): Read timed out. (read timeout=180)</t>
        </is>
      </c>
    </row>
    <row r="72">
      <c r="A72" s="11" t="n">
        <v>71</v>
      </c>
      <c r="B72" s="11" t="inlineStr">
        <is>
          <t>unanswerable</t>
        </is>
      </c>
      <c r="C72" s="11" t="inlineStr">
        <is>
          <t>medium</t>
        </is>
      </c>
      <c r="D72" s="11" t="inlineStr">
        <is>
          <t>EN</t>
        </is>
      </c>
      <c r="E72" s="11" t="inlineStr">
        <is>
          <t>What is the private phone number of the professor teaching UE-L40.00087?</t>
        </is>
      </c>
      <c r="F72" s="11" t="inlineStr">
        <is>
          <t>Should explicitly say that the information is not available/cannot be answered from provided data.</t>
        </is>
      </c>
      <c r="G72" s="11" t="inlineStr">
        <is>
          <t>None</t>
        </is>
      </c>
      <c r="H72" s="11" t="inlineStr">
        <is>
          <t>No tool or explicit fallback no-answer</t>
        </is>
      </c>
      <c r="I72" s="11" t="inlineStr">
        <is>
          <t>N/A</t>
        </is>
      </c>
      <c r="J72" s="11" t="inlineStr">
        <is>
          <t>safe refusal / no-answer behavior</t>
        </is>
      </c>
      <c r="K72" s="11" t="inlineStr">
        <is>
          <t>Critical for hallucination rate.</t>
        </is>
      </c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  <c r="AH72" s="11" t="inlineStr">
        <is>
          <t>2026-05-06T23:46:21</t>
        </is>
      </c>
      <c r="AI72" s="11" t="inlineStr">
        <is>
          <t>rag</t>
        </is>
      </c>
      <c r="AJ72" s="11" t="inlineStr">
        <is>
          <t>rag</t>
        </is>
      </c>
      <c r="AK72" s="11" t="n"/>
      <c r="AL72" s="11" t="b">
        <v>0</v>
      </c>
      <c r="AM72" s="11" t="n">
        <v>180018.73</v>
      </c>
      <c r="AN72" s="11" t="n"/>
      <c r="AO72" s="11" t="n"/>
      <c r="AP72" s="11" t="n"/>
      <c r="AQ72" s="11" t="inlineStr"/>
      <c r="AR72" s="11" t="n"/>
      <c r="AS72" s="11" t="inlineStr"/>
      <c r="AT72" s="11" t="inlineStr">
        <is>
          <t>HTTPConnectionPool(host='localhost', port=8000): Read timed out. (read timeout=180)</t>
        </is>
      </c>
    </row>
    <row r="73">
      <c r="A73" s="11" t="n">
        <v>72</v>
      </c>
      <c r="B73" s="11" t="inlineStr">
        <is>
          <t>unanswerable</t>
        </is>
      </c>
      <c r="C73" s="11" t="inlineStr">
        <is>
          <t>medium</t>
        </is>
      </c>
      <c r="D73" s="11" t="inlineStr">
        <is>
          <t>EN</t>
        </is>
      </c>
      <c r="E73" s="11" t="inlineStr">
        <is>
          <t>Can you invent a valid study plan if the data is missing?</t>
        </is>
      </c>
      <c r="F73" s="11" t="inlineStr">
        <is>
          <t>Should explicitly say that the information is not available/cannot be answered from provided data.</t>
        </is>
      </c>
      <c r="G73" s="11" t="inlineStr">
        <is>
          <t>None</t>
        </is>
      </c>
      <c r="H73" s="11" t="inlineStr">
        <is>
          <t>No tool or explicit fallback no-answer</t>
        </is>
      </c>
      <c r="I73" s="11" t="inlineStr">
        <is>
          <t>N/A</t>
        </is>
      </c>
      <c r="J73" s="11" t="inlineStr">
        <is>
          <t>safe refusal / no-answer behavior</t>
        </is>
      </c>
      <c r="K73" s="11" t="inlineStr">
        <is>
          <t>Critical for hallucination rate.</t>
        </is>
      </c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inlineStr">
        <is>
          <t>2026-05-06T23:46:21</t>
        </is>
      </c>
      <c r="AI73" s="11" t="inlineStr">
        <is>
          <t>rag</t>
        </is>
      </c>
      <c r="AJ73" s="11" t="inlineStr">
        <is>
          <t>rag</t>
        </is>
      </c>
      <c r="AK73" s="11" t="n"/>
      <c r="AL73" s="11" t="b">
        <v>0</v>
      </c>
      <c r="AM73" s="11" t="n">
        <v>180023.57</v>
      </c>
      <c r="AN73" s="11" t="n"/>
      <c r="AO73" s="11" t="n"/>
      <c r="AP73" s="11" t="n"/>
      <c r="AQ73" s="11" t="inlineStr"/>
      <c r="AR73" s="11" t="n"/>
      <c r="AS73" s="11" t="inlineStr"/>
      <c r="AT73" s="11" t="inlineStr">
        <is>
          <t>HTTPConnectionPool(host='localhost', port=8000): Read timed out. (read timeout=180)</t>
        </is>
      </c>
    </row>
    <row r="74">
      <c r="A74" s="11" t="n">
        <v>73</v>
      </c>
      <c r="B74" s="11" t="inlineStr">
        <is>
          <t>planning_reasoning</t>
        </is>
      </c>
      <c r="C74" s="11" t="inlineStr">
        <is>
          <t>hard</t>
        </is>
      </c>
      <c r="D74" s="11" t="inlineStr">
        <is>
          <t>EN</t>
        </is>
      </c>
      <c r="E74" s="11" t="inlineStr">
        <is>
          <t>Can I combine UE-F22.00173 and UE-TTH.01205 in HS-2026, or do they overlap?</t>
        </is>
      </c>
      <c r="F74" s="11" t="inlineStr">
        <is>
          <t>Answer should combine structured data correctly and clearly state limitations.</t>
        </is>
      </c>
      <c r="G74" s="11" t="inlineStr">
        <is>
          <t>DB</t>
        </is>
      </c>
      <c r="H74" s="11" t="inlineStr">
        <is>
          <t>Planner/API endpoints; RAG only for extra rules</t>
        </is>
      </c>
      <c r="I74" s="11" t="inlineStr">
        <is>
          <t>DB tables + possibly study plan</t>
        </is>
      </c>
      <c r="J74" s="11" t="inlineStr">
        <is>
          <t>reasoning over multiple records; time conflict yes/no + evidence</t>
        </is>
      </c>
      <c r="K74" s="11" t="inlineStr">
        <is>
          <t>Only include if your backend supports enough data.</t>
        </is>
      </c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inlineStr">
        <is>
          <t>2026-05-06T23:46:21</t>
        </is>
      </c>
      <c r="AI74" s="11" t="inlineStr">
        <is>
          <t>rag</t>
        </is>
      </c>
      <c r="AJ74" s="11" t="inlineStr">
        <is>
          <t>rag</t>
        </is>
      </c>
      <c r="AK74" s="11" t="n"/>
      <c r="AL74" s="11" t="b">
        <v>0</v>
      </c>
      <c r="AM74" s="11" t="n">
        <v>180028.51</v>
      </c>
      <c r="AN74" s="11" t="n"/>
      <c r="AO74" s="11" t="n"/>
      <c r="AP74" s="11" t="n"/>
      <c r="AQ74" s="11" t="inlineStr"/>
      <c r="AR74" s="11" t="n"/>
      <c r="AS74" s="11" t="inlineStr"/>
      <c r="AT74" s="11" t="inlineStr">
        <is>
          <t>HTTPConnectionPool(host='localhost', port=8000): Read timed out. (read timeout=180)</t>
        </is>
      </c>
    </row>
    <row r="75">
      <c r="A75" s="11" t="n">
        <v>74</v>
      </c>
      <c r="B75" s="11" t="inlineStr">
        <is>
          <t>planning_reasoning</t>
        </is>
      </c>
      <c r="C75" s="11" t="inlineStr">
        <is>
          <t>hard</t>
        </is>
      </c>
      <c r="D75" s="11" t="inlineStr">
        <is>
          <t>EN</t>
        </is>
      </c>
      <c r="E75" s="11" t="inlineStr">
        <is>
          <t>Can I create a semester plan with about 30 ECTS from Archaeology for FS-2026?</t>
        </is>
      </c>
      <c r="F75" s="11" t="inlineStr">
        <is>
          <t>Answer should combine structured data correctly and clearly state limitations.</t>
        </is>
      </c>
      <c r="G75" s="11" t="inlineStr">
        <is>
          <t>DB</t>
        </is>
      </c>
      <c r="H75" s="11" t="inlineStr">
        <is>
          <t>Planner/API endpoints; RAG only for extra rules</t>
        </is>
      </c>
      <c r="I75" s="11" t="inlineStr">
        <is>
          <t>DB tables + possibly study plan</t>
        </is>
      </c>
      <c r="J75" s="11" t="inlineStr">
        <is>
          <t>reasoning over multiple records; course combination + ECTS total</t>
        </is>
      </c>
      <c r="K75" s="11" t="inlineStr">
        <is>
          <t>Only include if your backend supports enough data.</t>
        </is>
      </c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inlineStr">
        <is>
          <t>2026-05-06T23:46:21</t>
        </is>
      </c>
      <c r="AI75" s="11" t="inlineStr">
        <is>
          <t>rag</t>
        </is>
      </c>
      <c r="AJ75" s="11" t="inlineStr">
        <is>
          <t>rag</t>
        </is>
      </c>
      <c r="AK75" s="11" t="n"/>
      <c r="AL75" s="11" t="b">
        <v>0</v>
      </c>
      <c r="AM75" s="11" t="n">
        <v>180020.24</v>
      </c>
      <c r="AN75" s="11" t="n"/>
      <c r="AO75" s="11" t="n"/>
      <c r="AP75" s="11" t="n"/>
      <c r="AQ75" s="11" t="inlineStr"/>
      <c r="AR75" s="11" t="n"/>
      <c r="AS75" s="11" t="inlineStr"/>
      <c r="AT75" s="11" t="inlineStr">
        <is>
          <t>HTTPConnectionPool(host='localhost', port=8000): Read timed out. (read timeout=180)</t>
        </is>
      </c>
    </row>
    <row r="76">
      <c r="A76" s="11" t="n">
        <v>75</v>
      </c>
      <c r="B76" s="11" t="inlineStr">
        <is>
          <t>planning_reasoning</t>
        </is>
      </c>
      <c r="C76" s="11" t="inlineStr">
        <is>
          <t>hard</t>
        </is>
      </c>
      <c r="D76" s="11" t="inlineStr">
        <is>
          <t>EN</t>
        </is>
      </c>
      <c r="E76" s="11" t="inlineStr">
        <is>
          <t>Which available courses from Spanish fit into a 12 ECTS workload?</t>
        </is>
      </c>
      <c r="F76" s="11" t="inlineStr">
        <is>
          <t>Answer should combine structured data correctly and clearly state limitations.</t>
        </is>
      </c>
      <c r="G76" s="11" t="inlineStr">
        <is>
          <t>DB</t>
        </is>
      </c>
      <c r="H76" s="11" t="inlineStr">
        <is>
          <t>Planner/API endpoints; RAG only for extra rules</t>
        </is>
      </c>
      <c r="I76" s="11" t="inlineStr">
        <is>
          <t>DB tables + possibly study plan</t>
        </is>
      </c>
      <c r="J76" s="11" t="inlineStr">
        <is>
          <t>reasoning over multiple records; course combinations</t>
        </is>
      </c>
      <c r="K76" s="11" t="inlineStr">
        <is>
          <t>Only include if your backend supports enough data.</t>
        </is>
      </c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  <c r="AH76" s="11" t="inlineStr">
        <is>
          <t>2026-05-06T23:46:21</t>
        </is>
      </c>
      <c r="AI76" s="11" t="inlineStr">
        <is>
          <t>rag</t>
        </is>
      </c>
      <c r="AJ76" s="11" t="inlineStr">
        <is>
          <t>rag</t>
        </is>
      </c>
      <c r="AK76" s="11" t="n"/>
      <c r="AL76" s="11" t="b">
        <v>0</v>
      </c>
      <c r="AM76" s="11" t="n">
        <v>180022.08</v>
      </c>
      <c r="AN76" s="11" t="n"/>
      <c r="AO76" s="11" t="n"/>
      <c r="AP76" s="11" t="n"/>
      <c r="AQ76" s="11" t="inlineStr"/>
      <c r="AR76" s="11" t="n"/>
      <c r="AS76" s="11" t="inlineStr"/>
      <c r="AT76" s="11" t="inlineStr">
        <is>
          <t>HTTPConnectionPool(host='localhost', port=8000): Read timed out. (read timeout=180)</t>
        </is>
      </c>
    </row>
    <row r="77">
      <c r="A77" s="11" t="n">
        <v>76</v>
      </c>
      <c r="B77" s="11" t="inlineStr">
        <is>
          <t>planning_reasoning</t>
        </is>
      </c>
      <c r="C77" s="11" t="inlineStr">
        <is>
          <t>hard</t>
        </is>
      </c>
      <c r="D77" s="11" t="inlineStr">
        <is>
          <t>EN</t>
        </is>
      </c>
      <c r="E77" s="11" t="inlineStr">
        <is>
          <t>Which mandatory courses from Italian are offered in FS-2026?</t>
        </is>
      </c>
      <c r="F77" s="11" t="inlineStr">
        <is>
          <t>Answer should combine structured data correctly and clearly state limitations.</t>
        </is>
      </c>
      <c r="G77" s="11" t="inlineStr">
        <is>
          <t>DB</t>
        </is>
      </c>
      <c r="H77" s="11" t="inlineStr">
        <is>
          <t>Planner/API endpoints; RAG only for extra rules</t>
        </is>
      </c>
      <c r="I77" s="11" t="inlineStr">
        <is>
          <t>DB tables + possibly study plan</t>
        </is>
      </c>
      <c r="J77" s="11" t="inlineStr">
        <is>
          <t>reasoning over multiple records; filtered mandatory courses</t>
        </is>
      </c>
      <c r="K77" s="11" t="inlineStr">
        <is>
          <t>Only include if your backend supports enough data.</t>
        </is>
      </c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inlineStr">
        <is>
          <t>2026-05-06T23:46:21</t>
        </is>
      </c>
      <c r="AI77" s="11" t="inlineStr">
        <is>
          <t>rag</t>
        </is>
      </c>
      <c r="AJ77" s="11" t="inlineStr">
        <is>
          <t>rag</t>
        </is>
      </c>
      <c r="AK77" s="11" t="n"/>
      <c r="AL77" s="11" t="b">
        <v>0</v>
      </c>
      <c r="AM77" s="11" t="n">
        <v>180024.76</v>
      </c>
      <c r="AN77" s="11" t="n"/>
      <c r="AO77" s="11" t="n"/>
      <c r="AP77" s="11" t="n"/>
      <c r="AQ77" s="11" t="inlineStr"/>
      <c r="AR77" s="11" t="n"/>
      <c r="AS77" s="11" t="inlineStr"/>
      <c r="AT77" s="11" t="inlineStr">
        <is>
          <t>HTTPConnectionPool(host='localhost', port=8000): Read timed out. (read timeout=180)</t>
        </is>
      </c>
    </row>
    <row r="78">
      <c r="A78" s="11" t="n">
        <v>77</v>
      </c>
      <c r="B78" s="11" t="inlineStr">
        <is>
          <t>planning_reasoning</t>
        </is>
      </c>
      <c r="C78" s="11" t="inlineStr">
        <is>
          <t>hard</t>
        </is>
      </c>
      <c r="D78" s="11" t="inlineStr">
        <is>
          <t>EN</t>
        </is>
      </c>
      <c r="E78" s="11" t="inlineStr">
        <is>
          <t>Which courses from French are available without known schedule conflicts on Tuesday?</t>
        </is>
      </c>
      <c r="F78" s="11" t="inlineStr">
        <is>
          <t>Answer should combine structured data correctly and clearly state limitations.</t>
        </is>
      </c>
      <c r="G78" s="11" t="inlineStr">
        <is>
          <t>DB</t>
        </is>
      </c>
      <c r="H78" s="11" t="inlineStr">
        <is>
          <t>Planner/API endpoints; RAG only for extra rules</t>
        </is>
      </c>
      <c r="I78" s="11" t="inlineStr">
        <is>
          <t>DB tables + possibly study plan</t>
        </is>
      </c>
      <c r="J78" s="11" t="inlineStr">
        <is>
          <t>reasoning over multiple records; filtered course list</t>
        </is>
      </c>
      <c r="K78" s="11" t="inlineStr">
        <is>
          <t>Only include if your backend supports enough data.</t>
        </is>
      </c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inlineStr">
        <is>
          <t>2026-05-06T23:46:21</t>
        </is>
      </c>
      <c r="AI78" s="11" t="inlineStr">
        <is>
          <t>rag</t>
        </is>
      </c>
      <c r="AJ78" s="11" t="inlineStr">
        <is>
          <t>rag</t>
        </is>
      </c>
      <c r="AK78" s="11" t="n"/>
      <c r="AL78" s="11" t="b">
        <v>0</v>
      </c>
      <c r="AM78" s="11" t="n">
        <v>180021.41</v>
      </c>
      <c r="AN78" s="11" t="n"/>
      <c r="AO78" s="11" t="n"/>
      <c r="AP78" s="11" t="n"/>
      <c r="AQ78" s="11" t="inlineStr"/>
      <c r="AR78" s="11" t="n"/>
      <c r="AS78" s="11" t="inlineStr"/>
      <c r="AT78" s="11" t="inlineStr">
        <is>
          <t>HTTPConnectionPool(host='localhost', port=8000): Read timed out. (read timeout=180)</t>
        </is>
      </c>
    </row>
    <row r="79">
      <c r="A79" s="11" t="n">
        <v>78</v>
      </c>
      <c r="B79" s="11" t="inlineStr">
        <is>
          <t>planning_reasoning</t>
        </is>
      </c>
      <c r="C79" s="11" t="inlineStr">
        <is>
          <t>hard</t>
        </is>
      </c>
      <c r="D79" s="11" t="inlineStr">
        <is>
          <t>EN</t>
        </is>
      </c>
      <c r="E79" s="11" t="inlineStr">
        <is>
          <t>If I already completed UE-DDR.02748, what related courses could I take next?</t>
        </is>
      </c>
      <c r="F79" s="11" t="inlineStr">
        <is>
          <t>Answer should combine structured data correctly and clearly state limitations.</t>
        </is>
      </c>
      <c r="G79" s="11" t="inlineStr">
        <is>
          <t>DB</t>
        </is>
      </c>
      <c r="H79" s="11" t="inlineStr">
        <is>
          <t>Planner/API endpoints; RAG only for extra rules</t>
        </is>
      </c>
      <c r="I79" s="11" t="inlineStr">
        <is>
          <t>DB tables + possibly study plan</t>
        </is>
      </c>
      <c r="J79" s="11" t="inlineStr">
        <is>
          <t>reasoning over multiple records; cautious suggestion + evidence</t>
        </is>
      </c>
      <c r="K79" s="11" t="inlineStr">
        <is>
          <t>Only include if your backend supports enough data.</t>
        </is>
      </c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inlineStr">
        <is>
          <t>2026-05-06T23:46:21</t>
        </is>
      </c>
      <c r="AI79" s="11" t="inlineStr">
        <is>
          <t>rag</t>
        </is>
      </c>
      <c r="AJ79" s="11" t="inlineStr">
        <is>
          <t>rag</t>
        </is>
      </c>
      <c r="AK79" s="11" t="n"/>
      <c r="AL79" s="11" t="b">
        <v>0</v>
      </c>
      <c r="AM79" s="11" t="n">
        <v>180010.85</v>
      </c>
      <c r="AN79" s="11" t="n"/>
      <c r="AO79" s="11" t="n"/>
      <c r="AP79" s="11" t="n"/>
      <c r="AQ79" s="11" t="inlineStr"/>
      <c r="AR79" s="11" t="n"/>
      <c r="AS79" s="11" t="inlineStr"/>
      <c r="AT79" s="11" t="inlineStr">
        <is>
          <t>HTTPConnectionPool(host='localhost', port=8000): Read timed out. (read timeout=180)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2026-05-06T21:30:36Z</dcterms:created>
  <dcterms:modified xmlns:dcterms="http://purl.org/dc/terms/" xmlns:xsi="http://www.w3.org/2001/XMLSchema-instance" xsi:type="dcterms:W3CDTF">2026-05-07T01:37:28Z</dcterms:modified>
  <cp:lastModifiedBy>Sara Kupferschmied</cp:lastModifiedBy>
</cp:coreProperties>
</file>