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al_Set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Scoring_Guide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Auto_Run_Resul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1F4E78"/>
      <sz val="16"/>
    </font>
    <font>
      <name val="Carlito"/>
      <b val="1"/>
      <sz val="12"/>
    </font>
    <font>
      <name val="Carlito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pivotButton="0" quotePrefix="0" xfId="1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1" fillId="3" borderId="0" pivotButton="0" quotePrefix="0" xfId="1"/>
    <xf numFmtId="0" fontId="3" fillId="0" borderId="0" pivotButton="0" quotePrefix="0" xfId="1"/>
    <xf numFmtId="0" fontId="2" fillId="0" borderId="0" applyAlignment="1" pivotButton="0" quotePrefix="0" xfId="1">
      <alignment wrapText="1"/>
    </xf>
    <xf numFmtId="0" fontId="1" fillId="2" borderId="0" applyAlignment="1" pivotButton="0" quotePrefix="0" xfId="1">
      <alignment wrapText="1"/>
    </xf>
    <xf numFmtId="2" fontId="0" fillId="0" borderId="0" pivotButton="0" quotePrefix="0" xfId="1"/>
    <xf numFmtId="1" fontId="0" fillId="0" borderId="0" pivotButton="0" quotePrefix="0" xfId="1"/>
    <xf numFmtId="0" fontId="5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Answered count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Metrics!$A$2:$A$4</f>
              <strCache>
                <ptCount val="3"/>
                <pt idx="0">
                  <v>Non-RAG</v>
                </pt>
                <pt idx="1">
                  <v>Website-RAG</v>
                </pt>
                <pt idx="2">
                  <v>Hybrid</v>
                </pt>
              </strCache>
            </strRef>
          </cat>
          <val>
            <numRef>
              <f>Metrics!$B$2:$B$4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v>Avg correctness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Metrics!$A$2:$A$4</f>
              <strCache>
                <ptCount val="3"/>
                <pt idx="0">
                  <v>Non-RAG</v>
                </pt>
                <pt idx="1">
                  <v>Website-RAG</v>
                </pt>
                <pt idx="2">
                  <v>Hybrid</v>
                </pt>
              </strCache>
            </strRef>
          </cat>
          <val>
            <numRef>
              <f>Metrics!$C$2:$C$4</f>
              <numCache>
                <formatCode>0.00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1</row>
      <rowOff>0</rowOff>
    </from>
    <to>
      <col>17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EvaluationTable" displayName="EvaluationTable" ref="A1:AG79" headerRowCount="1">
  <tableColumns count="33">
    <tableColumn id="1" name="id"/>
    <tableColumn id="2" name="category"/>
    <tableColumn id="3" name="difficulty"/>
    <tableColumn id="4" name="language"/>
    <tableColumn id="5" name="question"/>
    <tableColumn id="6" name="expected_answer"/>
    <tableColumn id="7" name="source_of_truth"/>
    <tableColumn id="8" name="expected_flow"/>
    <tableColumn id="9" name="gold_source"/>
    <tableColumn id="10" name="required_fields"/>
    <tableColumn id="11" name="notes"/>
    <tableColumn id="12" name="nonrag_answer"/>
    <tableColumn id="13" name="nonrag_correctness_0_2"/>
    <tableColumn id="14" name="nonrag_faithfulness_0_2"/>
    <tableColumn id="15" name="nonrag_hallucination_0_1"/>
    <tableColumn id="16" name="nonrag_language_0_2"/>
    <tableColumn id="17" name="nonrag_time_ms"/>
    <tableColumn id="18" name="nonrag_error"/>
    <tableColumn id="19" name="webrag_answer"/>
    <tableColumn id="20" name="webrag_correctness_0_2"/>
    <tableColumn id="21" name="webrag_faithfulness_0_2"/>
    <tableColumn id="22" name="webrag_hallucination_0_1"/>
    <tableColumn id="23" name="webrag_language_0_2"/>
    <tableColumn id="24" name="webrag_time_ms"/>
    <tableColumn id="25" name="webrag_error"/>
    <tableColumn id="26" name="hybrid_answer"/>
    <tableColumn id="27" name="hybrid_correctness_0_2"/>
    <tableColumn id="28" name="hybrid_faithfulness_0_2"/>
    <tableColumn id="29" name="hybrid_hallucination_0_1"/>
    <tableColumn id="30" name="hybrid_language_0_2"/>
    <tableColumn id="31" name="hybrid_time_ms"/>
    <tableColumn id="32" name="hybrid_tool_used"/>
    <tableColumn id="33" name="hybrid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sTable" displayName="MetricsTable" ref="A1:H4" headerRowCount="1">
  <tableColumns count="8">
    <tableColumn id="1" name="System"/>
    <tableColumn id="2" name="Answered count"/>
    <tableColumn id="3" name="Avg correctness"/>
    <tableColumn id="4" name="Avg faithfulness"/>
    <tableColumn id="5" name="Hallucination rate"/>
    <tableColumn id="6" name="Avg language"/>
    <tableColumn id="7" name="Avg time ms"/>
    <tableColumn id="8" name="Error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oringGuideTable" displayName="ScoringGuideTable" ref="A1:C14" headerRowCount="1">
  <tableColumns count="3">
    <tableColumn id="1" name="Metric"/>
    <tableColumn id="2" name="Score"/>
    <tableColumn id="3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7" sqref="A7"/>
    </sheetView>
  </sheetViews>
  <sheetFormatPr baseColWidth="10" defaultColWidth="8.796875" defaultRowHeight="13.8"/>
  <cols>
    <col width="120" customWidth="1" min="1" max="1"/>
  </cols>
  <sheetData>
    <row r="1" ht="21" customHeight="1">
      <c r="A1" s="6" t="inlineStr">
        <is>
          <t>Evaluation workbook for structured-data chatbot thesis</t>
        </is>
      </c>
    </row>
    <row r="3" ht="15.6" customHeight="1">
      <c r="A3" s="5" t="inlineStr">
        <is>
          <t>Purpose</t>
        </is>
      </c>
    </row>
    <row r="4">
      <c r="A4" t="inlineStr">
        <is>
          <t>Use this workbook to test three systems with the same question set: Non-RAG model-only chatbot, Website-RAG baseline, and Hybrid structured API + RAG chatbot.</t>
        </is>
      </c>
    </row>
    <row r="6" ht="15.6" customHeight="1">
      <c r="A6" s="5" t="inlineStr">
        <is>
          <t>How to use</t>
        </is>
      </c>
    </row>
    <row r="7">
      <c r="A7" t="inlineStr">
        <is>
          <t>1. Replace placeholders such as {COURSE_CODE}, {PROGRAM_NAME}, {SEMESTER_ID} with real values from your database/documents.</t>
        </is>
      </c>
    </row>
    <row r="8">
      <c r="A8" t="inlineStr">
        <is>
          <t>2. Fill expected_answer and gold_source before running the evaluation.</t>
        </is>
      </c>
    </row>
    <row r="9">
      <c r="A9" t="inlineStr">
        <is>
          <t>3. Run each question against all systems. The later script can fill answer/time/error columns automatically.</t>
        </is>
      </c>
    </row>
    <row r="10">
      <c r="A10" t="inlineStr">
        <is>
          <t>4. Manually score correctness, faithfulness, hallucination, and language consistency using the Scoring_Guide sheet.</t>
        </is>
      </c>
    </row>
    <row r="11">
      <c r="A11" t="inlineStr">
        <is>
          <t>5. Review the Metrics sheet for summary results.</t>
        </is>
      </c>
    </row>
    <row r="13" ht="15.6" customHeight="1">
      <c r="A13" s="5" t="inlineStr">
        <is>
          <t>Recommended comparison</t>
        </is>
      </c>
    </row>
    <row r="14">
      <c r="A14" t="inlineStr">
        <is>
          <t>A: Non-RAG = same Ollama model, no tools, no documents.</t>
        </is>
      </c>
    </row>
    <row r="15">
      <c r="A15" t="inlineStr">
        <is>
          <t>B: Website-RAG = same Ollama model + unstructured indexed Unifr pages/PDFs.</t>
        </is>
      </c>
    </row>
    <row r="16">
      <c r="A16" t="inlineStr">
        <is>
          <t>C: Hybrid = same Ollama model + backend APIs first + RAG fallback.</t>
        </is>
      </c>
    </row>
    <row r="18" ht="15.6" customHeight="1">
      <c r="A18" s="5" t="inlineStr">
        <is>
          <t>Notes</t>
        </is>
      </c>
    </row>
    <row r="19">
      <c r="A19" t="inlineStr">
        <is>
          <t>The questions intentionally include DB, RAG, mixed, ambiguous, multilingual, and unanswerable cases so that reliability can be evaluated at multiple levels.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9"/>
  <sheetViews>
    <sheetView tabSelected="1" workbookViewId="0">
      <selection activeCell="E4" sqref="E4"/>
    </sheetView>
  </sheetViews>
  <sheetFormatPr baseColWidth="10" defaultColWidth="8.796875" defaultRowHeight="13.8"/>
  <cols>
    <col width="6" customWidth="1" min="1" max="1"/>
    <col width="24" customWidth="1" min="2" max="2"/>
    <col width="12" customWidth="1" min="3" max="3"/>
    <col width="10" customWidth="1" min="4" max="4"/>
    <col width="48" customWidth="1" min="5" max="5"/>
    <col width="42" customWidth="1" min="6" max="6"/>
    <col width="14" customWidth="1" min="7" max="7"/>
    <col width="32" customWidth="1" min="8" max="8"/>
    <col width="28" customWidth="1" min="9" max="10"/>
    <col width="36" customWidth="1" min="11" max="11"/>
    <col width="42" customWidth="1" min="12" max="12"/>
    <col width="14" customWidth="1" min="13" max="17"/>
    <col width="18" customWidth="1" min="18" max="18"/>
    <col width="42" customWidth="1" min="19" max="19"/>
    <col width="14" customWidth="1" min="20" max="24"/>
    <col width="18" customWidth="1" min="25" max="25"/>
    <col width="42" customWidth="1" min="26" max="26"/>
    <col width="14" customWidth="1" min="27" max="31"/>
    <col width="18" customWidth="1" min="32" max="33"/>
  </cols>
  <sheetData>
    <row r="1" ht="24" customHeight="1">
      <c r="A1" s="2" t="inlineStr">
        <is>
          <t>id</t>
        </is>
      </c>
      <c r="B1" s="2" t="inlineStr">
        <is>
          <t>category</t>
        </is>
      </c>
      <c r="C1" s="2" t="inlineStr">
        <is>
          <t>difficulty</t>
        </is>
      </c>
      <c r="D1" s="2" t="inlineStr">
        <is>
          <t>language</t>
        </is>
      </c>
      <c r="E1" s="2" t="inlineStr">
        <is>
          <t>question</t>
        </is>
      </c>
      <c r="F1" s="2" t="inlineStr">
        <is>
          <t>expected_answer</t>
        </is>
      </c>
      <c r="G1" s="2" t="inlineStr">
        <is>
          <t>source_of_truth</t>
        </is>
      </c>
      <c r="H1" s="2" t="inlineStr">
        <is>
          <t>expected_flow</t>
        </is>
      </c>
      <c r="I1" s="2" t="inlineStr">
        <is>
          <t>gold_source</t>
        </is>
      </c>
      <c r="J1" s="2" t="inlineStr">
        <is>
          <t>required_fields</t>
        </is>
      </c>
      <c r="K1" s="2" t="inlineStr">
        <is>
          <t>notes</t>
        </is>
      </c>
      <c r="L1" s="2" t="inlineStr">
        <is>
          <t>nonrag_answer</t>
        </is>
      </c>
      <c r="M1" s="2" t="inlineStr">
        <is>
          <t>nonrag_correctness_0_2</t>
        </is>
      </c>
      <c r="N1" s="2" t="inlineStr">
        <is>
          <t>nonrag_faithfulness_0_2</t>
        </is>
      </c>
      <c r="O1" s="2" t="inlineStr">
        <is>
          <t>nonrag_hallucination_0_1</t>
        </is>
      </c>
      <c r="P1" s="2" t="inlineStr">
        <is>
          <t>nonrag_language_0_2</t>
        </is>
      </c>
      <c r="Q1" s="2" t="inlineStr">
        <is>
          <t>nonrag_time_ms</t>
        </is>
      </c>
      <c r="R1" s="2" t="inlineStr">
        <is>
          <t>nonrag_error</t>
        </is>
      </c>
      <c r="S1" s="2" t="inlineStr">
        <is>
          <t>webrag_answer</t>
        </is>
      </c>
      <c r="T1" s="2" t="inlineStr">
        <is>
          <t>webrag_correctness_0_2</t>
        </is>
      </c>
      <c r="U1" s="2" t="inlineStr">
        <is>
          <t>webrag_faithfulness_0_2</t>
        </is>
      </c>
      <c r="V1" s="2" t="inlineStr">
        <is>
          <t>webrag_hallucination_0_1</t>
        </is>
      </c>
      <c r="W1" s="2" t="inlineStr">
        <is>
          <t>webrag_language_0_2</t>
        </is>
      </c>
      <c r="X1" s="2" t="inlineStr">
        <is>
          <t>webrag_time_ms</t>
        </is>
      </c>
      <c r="Y1" s="2" t="inlineStr">
        <is>
          <t>webrag_error</t>
        </is>
      </c>
      <c r="Z1" s="2" t="inlineStr">
        <is>
          <t>hybrid_answer</t>
        </is>
      </c>
      <c r="AA1" s="2" t="inlineStr">
        <is>
          <t>hybrid_correctness_0_2</t>
        </is>
      </c>
      <c r="AB1" s="2" t="inlineStr">
        <is>
          <t>hybrid_faithfulness_0_2</t>
        </is>
      </c>
      <c r="AC1" s="2" t="inlineStr">
        <is>
          <t>hybrid_hallucination_0_1</t>
        </is>
      </c>
      <c r="AD1" s="2" t="inlineStr">
        <is>
          <t>hybrid_language_0_2</t>
        </is>
      </c>
      <c r="AE1" s="2" t="inlineStr">
        <is>
          <t>hybrid_time_ms</t>
        </is>
      </c>
      <c r="AF1" s="2" t="inlineStr">
        <is>
          <t>hybrid_tool_used</t>
        </is>
      </c>
      <c r="AG1" s="2" t="inlineStr">
        <is>
          <t>hybrid_error</t>
        </is>
      </c>
    </row>
    <row r="2" ht="27.6" customHeight="1">
      <c r="A2" s="3" t="n">
        <v>1</v>
      </c>
      <c r="B2" s="3" t="inlineStr">
        <is>
          <t>program_overview</t>
        </is>
      </c>
      <c r="C2" s="3" t="inlineStr">
        <is>
          <t>medium</t>
        </is>
      </c>
      <c r="D2" s="3" t="inlineStr">
        <is>
          <t>EN</t>
        </is>
      </c>
      <c r="E2" s="3" t="inlineStr">
        <is>
          <t>Which programs can I study at Unifr at bachelor level?</t>
        </is>
      </c>
      <c r="F2" s="3" t="inlineStr">
        <is>
          <t>List of all bachelor programs available in the database.</t>
        </is>
      </c>
      <c r="G2" s="3" t="inlineStr">
        <is>
          <t>DB</t>
        </is>
      </c>
      <c r="H2" s="3" t="inlineStr">
        <is>
          <t>API /programs?degree_level=Bachelor</t>
        </is>
      </c>
      <c r="I2" s="3" t="inlineStr">
        <is>
          <t>StudyProgram table</t>
        </is>
      </c>
      <c r="J2" s="3" t="inlineStr">
        <is>
          <t>program names, degree level</t>
        </is>
      </c>
      <c r="K2" s="3" t="inlineStr">
        <is>
          <t>Existing sample question, cleaned.</t>
        </is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 ht="27.6" customHeight="1">
      <c r="A3" s="3" t="n">
        <v>2</v>
      </c>
      <c r="B3" s="3" t="inlineStr">
        <is>
          <t>program_overview</t>
        </is>
      </c>
      <c r="C3" s="3" t="inlineStr">
        <is>
          <t>medium</t>
        </is>
      </c>
      <c r="D3" s="3" t="inlineStr">
        <is>
          <t>EN</t>
        </is>
      </c>
      <c r="E3" s="3" t="inlineStr">
        <is>
          <t>Which minor programs does Unifr offer?</t>
        </is>
      </c>
      <c r="F3" s="3" t="inlineStr">
        <is>
          <t>List of minor-like programs, e.g. programs with total ECTS &lt;= 60, excluding null/doctorate entries.</t>
        </is>
      </c>
      <c r="G3" s="3" t="inlineStr">
        <is>
          <t>DB</t>
        </is>
      </c>
      <c r="H3" s="3" t="inlineStr">
        <is>
          <t>API /programs?max_ects=60</t>
        </is>
      </c>
      <c r="I3" s="3" t="inlineStr">
        <is>
          <t>StudyProgram table</t>
        </is>
      </c>
      <c r="J3" s="3" t="inlineStr">
        <is>
          <t>program names, ECTS</t>
        </is>
      </c>
      <c r="K3" s="3" t="inlineStr">
        <is>
          <t>Existing sample question, cleaned.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 ht="41.4" customHeight="1">
      <c r="A4" s="3" t="n">
        <v>3</v>
      </c>
      <c r="B4" s="3" t="inlineStr">
        <is>
          <t>program_courses</t>
        </is>
      </c>
      <c r="C4" s="3" t="inlineStr">
        <is>
          <t>hard</t>
        </is>
      </c>
      <c r="D4" s="3" t="inlineStr">
        <is>
          <t>EN</t>
        </is>
      </c>
      <c r="E4" s="3" t="inlineStr">
        <is>
          <t>What courses are mandatory in the Bachelor of Business Informatics with 180 ECTS?</t>
        </is>
      </c>
      <c r="F4" s="3" t="inlineStr">
        <is>
          <t>List of mandatory courses for the specified program.</t>
        </is>
      </c>
      <c r="G4" s="3" t="inlineStr">
        <is>
          <t>DB</t>
        </is>
      </c>
      <c r="H4" s="3" t="inlineStr">
        <is>
          <t>API /programs/:id/courses?type=Mandatory</t>
        </is>
      </c>
      <c r="I4" s="3" t="inlineStr">
        <is>
          <t>consist_of + StudyProgram</t>
        </is>
      </c>
      <c r="J4" s="3" t="inlineStr">
        <is>
          <t>course codes, titles, mandatory status</t>
        </is>
      </c>
      <c r="K4" s="3" t="inlineStr">
        <is>
          <t>Existing sample question, cleaned.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 ht="27.6" customHeight="1">
      <c r="A5" s="3" t="n">
        <v>4</v>
      </c>
      <c r="B5" s="3" t="inlineStr">
        <is>
          <t>program_requirements</t>
        </is>
      </c>
      <c r="C5" s="3" t="inlineStr">
        <is>
          <t>medium</t>
        </is>
      </c>
      <c r="D5" s="3" t="inlineStr">
        <is>
          <t>EN</t>
        </is>
      </c>
      <c r="E5" s="3" t="inlineStr">
        <is>
          <t>How long does the bachelor program usually take?</t>
        </is>
      </c>
      <c r="F5" s="3" t="inlineStr">
        <is>
          <t>Minimum/standard/max duration if available; otherwise answer based on retrieved regulations.</t>
        </is>
      </c>
      <c r="G5" s="3" t="inlineStr">
        <is>
          <t>Mixed</t>
        </is>
      </c>
      <c r="H5" s="3" t="inlineStr">
        <is>
          <t>API first, RAG fallback</t>
        </is>
      </c>
      <c r="I5" s="3" t="inlineStr">
        <is>
          <t>StudyProgram table or regulation document</t>
        </is>
      </c>
      <c r="J5" s="3" t="inlineStr">
        <is>
          <t>duration semesters</t>
        </is>
      </c>
      <c r="K5" s="3" t="inlineStr">
        <is>
          <t>Existing sample question, cleaned.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 ht="27.6" customHeight="1">
      <c r="A6" s="3" t="n">
        <v>5</v>
      </c>
      <c r="B6" s="3" t="inlineStr">
        <is>
          <t>program_courses</t>
        </is>
      </c>
      <c r="C6" s="3" t="inlineStr">
        <is>
          <t>hard</t>
        </is>
      </c>
      <c r="D6" s="3" t="inlineStr">
        <is>
          <t>EN</t>
        </is>
      </c>
      <c r="E6" s="3" t="inlineStr">
        <is>
          <t>What courses does the Bachelor in Economics with 180 ECTS include in the first study year?</t>
        </is>
      </c>
      <c r="F6" s="3" t="inlineStr">
        <is>
          <t>List of first-year courses if the study plan provides this structure.</t>
        </is>
      </c>
      <c r="G6" s="3" t="inlineStr">
        <is>
          <t>RAG</t>
        </is>
      </c>
      <c r="H6" s="3" t="inlineStr">
        <is>
          <t>RAG over study plan documents</t>
        </is>
      </c>
      <c r="I6" s="3" t="inlineStr">
        <is>
          <t>study plan PDF</t>
        </is>
      </c>
      <c r="J6" s="3" t="inlineStr">
        <is>
          <t>course titles/codes, first-year context</t>
        </is>
      </c>
      <c r="K6" s="3" t="inlineStr">
        <is>
          <t>Existing sample question, cleaned.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 ht="41.4" customHeight="1">
      <c r="A7" s="3" t="n">
        <v>6</v>
      </c>
      <c r="B7" s="3" t="inlineStr">
        <is>
          <t>planning</t>
        </is>
      </c>
      <c r="C7" s="3" t="inlineStr">
        <is>
          <t>hard</t>
        </is>
      </c>
      <c r="D7" s="3" t="inlineStr">
        <is>
          <t>EN</t>
        </is>
      </c>
      <c r="E7" s="3" t="inlineStr">
        <is>
          <t>Can you plan my next semester?</t>
        </is>
      </c>
      <c r="F7" s="3" t="inlineStr">
        <is>
          <t>Should ask for missing constraints or provide a cautious partial plan based on selected program/semester.</t>
        </is>
      </c>
      <c r="G7" s="3" t="inlineStr">
        <is>
          <t>Mixed</t>
        </is>
      </c>
      <c r="H7" s="3" t="inlineStr">
        <is>
          <t>API + possibly clarification</t>
        </is>
      </c>
      <c r="I7" s="3" t="inlineStr">
        <is>
          <t>DB + user context</t>
        </is>
      </c>
      <c r="J7" s="3" t="inlineStr">
        <is>
          <t>missing info handling</t>
        </is>
      </c>
      <c r="K7" s="3" t="inlineStr">
        <is>
          <t>Existing sample question; evaluate refusal/clarification behavior.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 ht="27.6" customHeight="1">
      <c r="A8" s="3" t="n">
        <v>7</v>
      </c>
      <c r="B8" s="3" t="inlineStr">
        <is>
          <t>course_facts</t>
        </is>
      </c>
      <c r="C8" s="3" t="inlineStr">
        <is>
          <t>easy</t>
        </is>
      </c>
      <c r="D8" s="3" t="inlineStr">
        <is>
          <t>EN</t>
        </is>
      </c>
      <c r="E8" s="3" t="inlineStr">
        <is>
          <t>How many ECTS does UE-F23.00128 have?</t>
        </is>
      </c>
      <c r="F8" s="3" t="inlineStr">
        <is>
          <t>Exact value from Course/CourseOffering records.</t>
        </is>
      </c>
      <c r="G8" s="3" t="inlineStr">
        <is>
          <t>DB</t>
        </is>
      </c>
      <c r="H8" s="3" t="inlineStr">
        <is>
          <t>API /courses/:code</t>
        </is>
      </c>
      <c r="I8" s="3" t="inlineStr">
        <is>
          <t>Course, CourseOffering, teaches, is_taught_in</t>
        </is>
      </c>
      <c r="J8" s="3" t="inlineStr">
        <is>
          <t>ECTS</t>
        </is>
      </c>
      <c r="K8" s="3" t="inlineStr">
        <is>
          <t>Replace {COURSE_CODE} with a real course code from your DB.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 ht="27.6" customHeight="1">
      <c r="A9" s="3" t="n">
        <v>8</v>
      </c>
      <c r="B9" s="3" t="inlineStr">
        <is>
          <t>course_facts</t>
        </is>
      </c>
      <c r="C9" s="3" t="inlineStr">
        <is>
          <t>easy</t>
        </is>
      </c>
      <c r="D9" s="3" t="inlineStr">
        <is>
          <t>EN</t>
        </is>
      </c>
      <c r="E9" s="3" t="inlineStr">
        <is>
          <t>What is the title of course UE-SMH.03303?</t>
        </is>
      </c>
      <c r="F9" s="3" t="inlineStr">
        <is>
          <t>Exact value from Course/CourseOffering records.</t>
        </is>
      </c>
      <c r="G9" s="3" t="inlineStr">
        <is>
          <t>DB</t>
        </is>
      </c>
      <c r="H9" s="3" t="inlineStr">
        <is>
          <t>API /courses/:code</t>
        </is>
      </c>
      <c r="I9" s="3" t="inlineStr">
        <is>
          <t>Course, CourseOffering, teaches, is_taught_in</t>
        </is>
      </c>
      <c r="J9" s="3" t="inlineStr">
        <is>
          <t>course title</t>
        </is>
      </c>
      <c r="K9" s="3" t="inlineStr">
        <is>
          <t>Replace {COURSE_CODE} with a real course code from your DB.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 ht="27.6" customHeight="1">
      <c r="A10" s="3" t="n">
        <v>9</v>
      </c>
      <c r="B10" s="3" t="inlineStr">
        <is>
          <t>course_facts</t>
        </is>
      </c>
      <c r="C10" s="3" t="inlineStr">
        <is>
          <t>easy</t>
        </is>
      </c>
      <c r="D10" s="3" t="inlineStr">
        <is>
          <t>EN</t>
        </is>
      </c>
      <c r="E10" s="3" t="inlineStr">
        <is>
          <t>What is the description of course UE-L15.02297?</t>
        </is>
      </c>
      <c r="F10" s="3" t="inlineStr">
        <is>
          <t>Exact value from Course/CourseOffering records.</t>
        </is>
      </c>
      <c r="G10" s="3" t="inlineStr">
        <is>
          <t>DB</t>
        </is>
      </c>
      <c r="H10" s="3" t="inlineStr">
        <is>
          <t>API /courses/:code</t>
        </is>
      </c>
      <c r="I10" s="3" t="inlineStr">
        <is>
          <t>Course, CourseOffering, teaches, is_taught_in</t>
        </is>
      </c>
      <c r="J10" s="3" t="inlineStr">
        <is>
          <t>description</t>
        </is>
      </c>
      <c r="K10" s="3" t="inlineStr">
        <is>
          <t>Replace {COURSE_CODE} with a real course code from your DB.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 ht="27.6" customHeight="1">
      <c r="A11" s="3" t="n">
        <v>10</v>
      </c>
      <c r="B11" s="3" t="inlineStr">
        <is>
          <t>course_facts</t>
        </is>
      </c>
      <c r="C11" s="3" t="inlineStr">
        <is>
          <t>easy</t>
        </is>
      </c>
      <c r="D11" s="3" t="inlineStr">
        <is>
          <t>EN</t>
        </is>
      </c>
      <c r="E11" s="3" t="inlineStr">
        <is>
          <t>What are the learning goals of UE-SCH.01084?</t>
        </is>
      </c>
      <c r="F11" s="3" t="inlineStr">
        <is>
          <t>Exact value from Course/CourseOffering records.</t>
        </is>
      </c>
      <c r="G11" s="3" t="inlineStr">
        <is>
          <t>DB</t>
        </is>
      </c>
      <c r="H11" s="3" t="inlineStr">
        <is>
          <t>API /courses/:code</t>
        </is>
      </c>
      <c r="I11" s="3" t="inlineStr">
        <is>
          <t>Course, CourseOffering, teaches, is_taught_in</t>
        </is>
      </c>
      <c r="J11" s="3" t="inlineStr">
        <is>
          <t>learning goals</t>
        </is>
      </c>
      <c r="K11" s="3" t="inlineStr">
        <is>
          <t>Replace {COURSE_CODE} with a real course code from your DB.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 ht="27.6" customHeight="1">
      <c r="A12" s="3" t="n">
        <v>11</v>
      </c>
      <c r="B12" s="3" t="inlineStr">
        <is>
          <t>course_facts</t>
        </is>
      </c>
      <c r="C12" s="3" t="inlineStr">
        <is>
          <t>easy</t>
        </is>
      </c>
      <c r="D12" s="3" t="inlineStr">
        <is>
          <t>EN</t>
        </is>
      </c>
      <c r="E12" s="3" t="inlineStr">
        <is>
          <t>Who teaches UE-L15.01360?</t>
        </is>
      </c>
      <c r="F12" s="3" t="inlineStr">
        <is>
          <t>Exact value from Course/CourseOffering records.</t>
        </is>
      </c>
      <c r="G12" s="3" t="inlineStr">
        <is>
          <t>DB</t>
        </is>
      </c>
      <c r="H12" s="3" t="inlineStr">
        <is>
          <t>API /courses/:code</t>
        </is>
      </c>
      <c r="I12" s="3" t="inlineStr">
        <is>
          <t>Course, CourseOffering, teaches, is_taught_in</t>
        </is>
      </c>
      <c r="J12" s="3" t="inlineStr">
        <is>
          <t>professor/instructor</t>
        </is>
      </c>
      <c r="K12" s="3" t="inlineStr">
        <is>
          <t>Replace {COURSE_CODE} with a real course code from your DB.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 ht="27.6" customHeight="1">
      <c r="A13" s="3" t="n">
        <v>12</v>
      </c>
      <c r="B13" s="3" t="inlineStr">
        <is>
          <t>course_facts</t>
        </is>
      </c>
      <c r="C13" s="3" t="inlineStr">
        <is>
          <t>easy</t>
        </is>
      </c>
      <c r="D13" s="3" t="inlineStr">
        <is>
          <t>EN</t>
        </is>
      </c>
      <c r="E13" s="3" t="inlineStr">
        <is>
          <t>In which language is UE-F24.00756 taught?</t>
        </is>
      </c>
      <c r="F13" s="3" t="inlineStr">
        <is>
          <t>Exact value from Course/CourseOffering records.</t>
        </is>
      </c>
      <c r="G13" s="3" t="inlineStr">
        <is>
          <t>DB</t>
        </is>
      </c>
      <c r="H13" s="3" t="inlineStr">
        <is>
          <t>API /courses/:code</t>
        </is>
      </c>
      <c r="I13" s="3" t="inlineStr">
        <is>
          <t>Course, CourseOffering, teaches, is_taught_in</t>
        </is>
      </c>
      <c r="J13" s="3" t="inlineStr">
        <is>
          <t>language</t>
        </is>
      </c>
      <c r="K13" s="3" t="inlineStr">
        <is>
          <t>Replace {COURSE_CODE} with a real course code from your DB.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 ht="27.6" customHeight="1">
      <c r="A14" s="3" t="n">
        <v>13</v>
      </c>
      <c r="B14" s="3" t="inlineStr">
        <is>
          <t>course_facts</t>
        </is>
      </c>
      <c r="C14" s="3" t="inlineStr">
        <is>
          <t>easy</t>
        </is>
      </c>
      <c r="D14" s="3" t="inlineStr">
        <is>
          <t>EN</t>
        </is>
      </c>
      <c r="E14" s="3" t="inlineStr">
        <is>
          <t>Is UE-L14.02290 marked as a soft-skills course?</t>
        </is>
      </c>
      <c r="F14" s="3" t="inlineStr">
        <is>
          <t>Exact value from Course/CourseOffering records.</t>
        </is>
      </c>
      <c r="G14" s="3" t="inlineStr">
        <is>
          <t>DB</t>
        </is>
      </c>
      <c r="H14" s="3" t="inlineStr">
        <is>
          <t>API /courses/:code</t>
        </is>
      </c>
      <c r="I14" s="3" t="inlineStr">
        <is>
          <t>Course, CourseOffering, teaches, is_taught_in</t>
        </is>
      </c>
      <c r="J14" s="3" t="inlineStr">
        <is>
          <t>soft_skills flag</t>
        </is>
      </c>
      <c r="K14" s="3" t="inlineStr">
        <is>
          <t>Replace {COURSE_CODE} with a real course code from your DB.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 ht="27.6" customHeight="1">
      <c r="A15" s="3" t="n">
        <v>14</v>
      </c>
      <c r="B15" s="3" t="inlineStr">
        <is>
          <t>course_facts</t>
        </is>
      </c>
      <c r="C15" s="3" t="inlineStr">
        <is>
          <t>easy</t>
        </is>
      </c>
      <c r="D15" s="3" t="inlineStr">
        <is>
          <t>EN</t>
        </is>
      </c>
      <c r="E15" s="3" t="inlineStr">
        <is>
          <t>Is UE-L37.01417 mobility-friendly?</t>
        </is>
      </c>
      <c r="F15" s="3" t="inlineStr">
        <is>
          <t>Exact value from Course/CourseOffering records.</t>
        </is>
      </c>
      <c r="G15" s="3" t="inlineStr">
        <is>
          <t>DB</t>
        </is>
      </c>
      <c r="H15" s="3" t="inlineStr">
        <is>
          <t>API /courses/:code</t>
        </is>
      </c>
      <c r="I15" s="3" t="inlineStr">
        <is>
          <t>Course, CourseOffering, teaches, is_taught_in</t>
        </is>
      </c>
      <c r="J15" s="3" t="inlineStr">
        <is>
          <t>mobility flag</t>
        </is>
      </c>
      <c r="K15" s="3" t="inlineStr">
        <is>
          <t>Replace {COURSE_CODE} with a real course code from your DB.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 ht="27.6" customHeight="1">
      <c r="A16" s="3" t="n">
        <v>15</v>
      </c>
      <c r="B16" s="3" t="inlineStr">
        <is>
          <t>schedule_datetime</t>
        </is>
      </c>
      <c r="C16" s="3" t="inlineStr">
        <is>
          <t>medium</t>
        </is>
      </c>
      <c r="D16" s="3" t="inlineStr">
        <is>
          <t>EN</t>
        </is>
      </c>
      <c r="E16" s="3" t="inlineStr">
        <is>
          <t>When does UE-L26.00318 take place in HS-2026?</t>
        </is>
      </c>
      <c r="F16" s="3" t="inlineStr">
        <is>
          <t>Exact schedule/evaluation information or explicit not available.</t>
        </is>
      </c>
      <c r="G16" s="3" t="inlineStr">
        <is>
          <t>DB</t>
        </is>
      </c>
      <c r="H16" s="3" t="inlineStr">
        <is>
          <t>API /planner or /courses/:code/offerings</t>
        </is>
      </c>
      <c r="I16" s="3" t="inlineStr">
        <is>
          <t>CourseOffering, Session, Evaluation</t>
        </is>
      </c>
      <c r="J16" s="3" t="inlineStr">
        <is>
          <t>date/time</t>
        </is>
      </c>
      <c r="K16" s="3" t="inlineStr">
        <is>
          <t>Replace placeholders with real DB values.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 ht="27.6" customHeight="1">
      <c r="A17" s="3" t="n">
        <v>16</v>
      </c>
      <c r="B17" s="3" t="inlineStr">
        <is>
          <t>schedule_datetime</t>
        </is>
      </c>
      <c r="C17" s="3" t="inlineStr">
        <is>
          <t>medium</t>
        </is>
      </c>
      <c r="D17" s="3" t="inlineStr">
        <is>
          <t>EN</t>
        </is>
      </c>
      <c r="E17" s="3" t="inlineStr">
        <is>
          <t>On which weekday is UE-EKM.01125 held in HS-2026?</t>
        </is>
      </c>
      <c r="F17" s="3" t="inlineStr">
        <is>
          <t>Exact schedule/evaluation information or explicit not available.</t>
        </is>
      </c>
      <c r="G17" s="3" t="inlineStr">
        <is>
          <t>DB</t>
        </is>
      </c>
      <c r="H17" s="3" t="inlineStr">
        <is>
          <t>API /planner or /courses/:code/offerings</t>
        </is>
      </c>
      <c r="I17" s="3" t="inlineStr">
        <is>
          <t>CourseOffering, Session, Evaluation</t>
        </is>
      </c>
      <c r="J17" s="3" t="inlineStr">
        <is>
          <t>weekday</t>
        </is>
      </c>
      <c r="K17" s="3" t="inlineStr">
        <is>
          <t>Replace placeholders with real DB values.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 ht="27.6" customHeight="1">
      <c r="A18" s="3" t="n">
        <v>17</v>
      </c>
      <c r="B18" s="3" t="inlineStr">
        <is>
          <t>schedule_datetime</t>
        </is>
      </c>
      <c r="C18" s="3" t="inlineStr">
        <is>
          <t>medium</t>
        </is>
      </c>
      <c r="D18" s="3" t="inlineStr">
        <is>
          <t>EN</t>
        </is>
      </c>
      <c r="E18" s="3" t="inlineStr">
        <is>
          <t>Where does UE-L37.00927 take place in FS-2026?</t>
        </is>
      </c>
      <c r="F18" s="3" t="inlineStr">
        <is>
          <t>Exact schedule/evaluation information or explicit not available.</t>
        </is>
      </c>
      <c r="G18" s="3" t="inlineStr">
        <is>
          <t>DB</t>
        </is>
      </c>
      <c r="H18" s="3" t="inlineStr">
        <is>
          <t>API /planner or /courses/:code/offerings</t>
        </is>
      </c>
      <c r="I18" s="3" t="inlineStr">
        <is>
          <t>CourseOffering, Session, Evaluation</t>
        </is>
      </c>
      <c r="J18" s="3" t="inlineStr">
        <is>
          <t>room</t>
        </is>
      </c>
      <c r="K18" s="3" t="inlineStr">
        <is>
          <t>Replace placeholders with real DB values.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 ht="27.6" customHeight="1">
      <c r="A19" s="3" t="n">
        <v>18</v>
      </c>
      <c r="B19" s="3" t="inlineStr">
        <is>
          <t>schedule_datetime</t>
        </is>
      </c>
      <c r="C19" s="3" t="inlineStr">
        <is>
          <t>medium</t>
        </is>
      </c>
      <c r="D19" s="3" t="inlineStr">
        <is>
          <t>EN</t>
        </is>
      </c>
      <c r="E19" s="3" t="inlineStr">
        <is>
          <t>Is UE-F22.00184 a weekly course or a block course in FS-2026?</t>
        </is>
      </c>
      <c r="F19" s="3" t="inlineStr">
        <is>
          <t>Exact schedule/evaluation information or explicit not available.</t>
        </is>
      </c>
      <c r="G19" s="3" t="inlineStr">
        <is>
          <t>DB</t>
        </is>
      </c>
      <c r="H19" s="3" t="inlineStr">
        <is>
          <t>API /planner or /courses/:code/offerings</t>
        </is>
      </c>
      <c r="I19" s="3" t="inlineStr">
        <is>
          <t>CourseOffering, Session, Evaluation</t>
        </is>
      </c>
      <c r="J19" s="3" t="inlineStr">
        <is>
          <t>offering type</t>
        </is>
      </c>
      <c r="K19" s="3" t="inlineStr">
        <is>
          <t>Replace placeholders with real DB values.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 ht="27.6" customHeight="1">
      <c r="A20" s="3" t="n">
        <v>19</v>
      </c>
      <c r="B20" s="3" t="inlineStr">
        <is>
          <t>schedule_datetime</t>
        </is>
      </c>
      <c r="C20" s="3" t="inlineStr">
        <is>
          <t>medium</t>
        </is>
      </c>
      <c r="D20" s="3" t="inlineStr">
        <is>
          <t>EN</t>
        </is>
      </c>
      <c r="E20" s="3" t="inlineStr">
        <is>
          <t>What sessions are listed for 	UE-I08.00010 in FS-2026?</t>
        </is>
      </c>
      <c r="F20" s="3" t="inlineStr">
        <is>
          <t>Exact schedule/evaluation information or explicit not available.</t>
        </is>
      </c>
      <c r="G20" s="3" t="inlineStr">
        <is>
          <t>DB</t>
        </is>
      </c>
      <c r="H20" s="3" t="inlineStr">
        <is>
          <t>API /planner or /courses/:code/offerings</t>
        </is>
      </c>
      <c r="I20" s="3" t="inlineStr">
        <is>
          <t>CourseOffering, Session, Evaluation</t>
        </is>
      </c>
      <c r="J20" s="3" t="inlineStr">
        <is>
          <t>session list</t>
        </is>
      </c>
      <c r="K20" s="3" t="inlineStr">
        <is>
          <t>Replace placeholders with real DB values.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 ht="27.6" customHeight="1">
      <c r="A21" s="3" t="n">
        <v>20</v>
      </c>
      <c r="B21" s="3" t="inlineStr">
        <is>
          <t>schedule_datetime</t>
        </is>
      </c>
      <c r="C21" s="3" t="inlineStr">
        <is>
          <t>medium</t>
        </is>
      </c>
      <c r="D21" s="3" t="inlineStr">
        <is>
          <t>EN</t>
        </is>
      </c>
      <c r="E21" s="3" t="inlineStr">
        <is>
          <t>When is the evaluation or exam for UE-SBC.07109 in HS-2026?</t>
        </is>
      </c>
      <c r="F21" s="3" t="inlineStr">
        <is>
          <t>Exact schedule/evaluation information or explicit not available.</t>
        </is>
      </c>
      <c r="G21" s="3" t="inlineStr">
        <is>
          <t>DB</t>
        </is>
      </c>
      <c r="H21" s="3" t="inlineStr">
        <is>
          <t>API /planner or /courses/:code/offerings</t>
        </is>
      </c>
      <c r="I21" s="3" t="inlineStr">
        <is>
          <t>CourseOffering, Session, Evaluation</t>
        </is>
      </c>
      <c r="J21" s="3" t="inlineStr">
        <is>
          <t>evaluation date/time</t>
        </is>
      </c>
      <c r="K21" s="3" t="inlineStr">
        <is>
          <t>Replace placeholders with real DB values.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</row>
    <row r="22" ht="27.6" customHeight="1">
      <c r="A22" s="3" t="n">
        <v>21</v>
      </c>
      <c r="B22" s="3" t="inlineStr">
        <is>
          <t>schedule_datetime</t>
        </is>
      </c>
      <c r="C22" s="3" t="inlineStr">
        <is>
          <t>medium</t>
        </is>
      </c>
      <c r="D22" s="3" t="inlineStr">
        <is>
          <t>EN</t>
        </is>
      </c>
      <c r="E22" s="3" t="inlineStr">
        <is>
          <t>Which courses in FS-2026 happen on Monday?</t>
        </is>
      </c>
      <c r="F22" s="3" t="inlineStr">
        <is>
          <t>Exact schedule/evaluation information or explicit not available.</t>
        </is>
      </c>
      <c r="G22" s="3" t="inlineStr">
        <is>
          <t>DB</t>
        </is>
      </c>
      <c r="H22" s="3" t="inlineStr">
        <is>
          <t>API /planner or /courses/:code/offerings</t>
        </is>
      </c>
      <c r="I22" s="3" t="inlineStr">
        <is>
          <t>CourseOffering, Session, Evaluation</t>
        </is>
      </c>
      <c r="J22" s="3" t="inlineStr">
        <is>
          <t>course list</t>
        </is>
      </c>
      <c r="K22" s="3" t="inlineStr">
        <is>
          <t>Replace placeholders with real DB values.</t>
        </is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</row>
    <row r="23" ht="27.6" customHeight="1">
      <c r="A23" s="3" t="n">
        <v>22</v>
      </c>
      <c r="B23" s="3" t="inlineStr">
        <is>
          <t>schedule_datetime</t>
        </is>
      </c>
      <c r="C23" s="3" t="inlineStr">
        <is>
          <t>medium</t>
        </is>
      </c>
      <c r="D23" s="3" t="inlineStr">
        <is>
          <t>EN</t>
        </is>
      </c>
      <c r="E23" s="3" t="inlineStr">
        <is>
          <t>Which courses in HS-2026 have a time conflict with UE-L26.00013?</t>
        </is>
      </c>
      <c r="F23" s="3" t="inlineStr">
        <is>
          <t>Exact schedule/evaluation information or explicit not available.</t>
        </is>
      </c>
      <c r="G23" s="3" t="inlineStr">
        <is>
          <t>DB</t>
        </is>
      </c>
      <c r="H23" s="3" t="inlineStr">
        <is>
          <t>API /planner or /courses/:code/offerings</t>
        </is>
      </c>
      <c r="I23" s="3" t="inlineStr">
        <is>
          <t>CourseOffering, Session, Evaluation</t>
        </is>
      </c>
      <c r="J23" s="3" t="inlineStr">
        <is>
          <t>conflicting sessions</t>
        </is>
      </c>
      <c r="K23" s="3" t="inlineStr">
        <is>
          <t>Replace placeholders with real DB values.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</row>
    <row r="24" ht="27.6" customHeight="1">
      <c r="A24" s="3" t="n">
        <v>23</v>
      </c>
      <c r="B24" s="3" t="inlineStr">
        <is>
          <t>program_structure_filtering</t>
        </is>
      </c>
      <c r="C24" s="3" t="inlineStr">
        <is>
          <t>medium</t>
        </is>
      </c>
      <c r="D24" s="3" t="inlineStr">
        <is>
          <t>EN</t>
        </is>
      </c>
      <c r="E24" s="3" t="inlineStr">
        <is>
          <t>How many ECTS are required for Business Informatics?</t>
        </is>
      </c>
      <c r="F24" s="3" t="inlineStr">
        <is>
          <t>Exact values from DB.</t>
        </is>
      </c>
      <c r="G24" s="3" t="inlineStr">
        <is>
          <t>DB</t>
        </is>
      </c>
      <c r="H24" s="3" t="inlineStr">
        <is>
          <t>API /programs filter</t>
        </is>
      </c>
      <c r="I24" s="3" t="inlineStr">
        <is>
          <t>StudyProgram, consist_of, Course, programDocument</t>
        </is>
      </c>
      <c r="J24" s="3" t="inlineStr">
        <is>
          <t>total ECTS</t>
        </is>
      </c>
      <c r="K24" s="3" t="inlineStr">
        <is>
          <t>Replace placeholders where needed.</t>
        </is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</row>
    <row r="25" ht="27.6" customHeight="1">
      <c r="A25" s="3" t="n">
        <v>24</v>
      </c>
      <c r="B25" s="3" t="inlineStr">
        <is>
          <t>program_structure_filtering</t>
        </is>
      </c>
      <c r="C25" s="3" t="inlineStr">
        <is>
          <t>medium</t>
        </is>
      </c>
      <c r="D25" s="3" t="inlineStr">
        <is>
          <t>EN</t>
        </is>
      </c>
      <c r="E25" s="3" t="inlineStr">
        <is>
          <t>When can students start Physics: autumn, spring, or both?</t>
        </is>
      </c>
      <c r="F25" s="3" t="inlineStr">
        <is>
          <t>Exact values from DB.</t>
        </is>
      </c>
      <c r="G25" s="3" t="inlineStr">
        <is>
          <t>DB</t>
        </is>
      </c>
      <c r="H25" s="3" t="inlineStr">
        <is>
          <t>API /programs filter</t>
        </is>
      </c>
      <c r="I25" s="3" t="inlineStr">
        <is>
          <t>StudyProgram, consist_of, Course, programDocument</t>
        </is>
      </c>
      <c r="J25" s="3" t="inlineStr">
        <is>
          <t>study_start</t>
        </is>
      </c>
      <c r="K25" s="3" t="inlineStr">
        <is>
          <t>Replace placeholders where needed.</t>
        </is>
      </c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</row>
    <row r="26" ht="27.6" customHeight="1">
      <c r="A26" s="3" t="n">
        <v>25</v>
      </c>
      <c r="B26" s="3" t="inlineStr">
        <is>
          <t>program_structure_filtering</t>
        </is>
      </c>
      <c r="C26" s="3" t="inlineStr">
        <is>
          <t>medium</t>
        </is>
      </c>
      <c r="D26" s="3" t="inlineStr">
        <is>
          <t>EN</t>
        </is>
      </c>
      <c r="E26" s="3" t="inlineStr">
        <is>
          <t>Which faculty offers 	Digital Neuroscience?</t>
        </is>
      </c>
      <c r="F26" s="3" t="inlineStr">
        <is>
          <t>Exact values from DB.</t>
        </is>
      </c>
      <c r="G26" s="3" t="inlineStr">
        <is>
          <t>DB</t>
        </is>
      </c>
      <c r="H26" s="3" t="inlineStr">
        <is>
          <t>API /programs filter</t>
        </is>
      </c>
      <c r="I26" s="3" t="inlineStr">
        <is>
          <t>StudyProgram, consist_of, Course, programDocument</t>
        </is>
      </c>
      <c r="J26" s="3" t="inlineStr">
        <is>
          <t>faculty</t>
        </is>
      </c>
      <c r="K26" s="3" t="inlineStr">
        <is>
          <t>Replace placeholders where needed.</t>
        </is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 ht="27.6" customHeight="1">
      <c r="A27" s="3" t="n">
        <v>26</v>
      </c>
      <c r="B27" s="3" t="inlineStr">
        <is>
          <t>program_structure_filtering</t>
        </is>
      </c>
      <c r="C27" s="3" t="inlineStr">
        <is>
          <t>medium</t>
        </is>
      </c>
      <c r="D27" s="3" t="inlineStr">
        <is>
          <t>EN</t>
        </is>
      </c>
      <c r="E27" s="3" t="inlineStr">
        <is>
          <t>Which languages are associated with 	Digital Neuroscience?</t>
        </is>
      </c>
      <c r="F27" s="3" t="inlineStr">
        <is>
          <t>Exact values from DB.</t>
        </is>
      </c>
      <c r="G27" s="3" t="inlineStr">
        <is>
          <t>DB</t>
        </is>
      </c>
      <c r="H27" s="3" t="inlineStr">
        <is>
          <t>API /programs/:id/languages</t>
        </is>
      </c>
      <c r="I27" s="3" t="inlineStr">
        <is>
          <t>StudyProgram, consist_of, Course, programDocument</t>
        </is>
      </c>
      <c r="J27" s="3" t="inlineStr">
        <is>
          <t>languages</t>
        </is>
      </c>
      <c r="K27" s="3" t="inlineStr">
        <is>
          <t>Replace placeholders where needed.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 ht="27.6" customHeight="1">
      <c r="A28" s="3" t="n">
        <v>27</v>
      </c>
      <c r="B28" s="3" t="inlineStr">
        <is>
          <t>program_structure_filtering</t>
        </is>
      </c>
      <c r="C28" s="3" t="inlineStr">
        <is>
          <t>medium</t>
        </is>
      </c>
      <c r="D28" s="3" t="inlineStr">
        <is>
          <t>EN</t>
        </is>
      </c>
      <c r="E28" s="3" t="inlineStr">
        <is>
          <t>Which courses belong to Experimental Biomedical Research?</t>
        </is>
      </c>
      <c r="F28" s="3" t="inlineStr">
        <is>
          <t>Exact values from DB.</t>
        </is>
      </c>
      <c r="G28" s="3" t="inlineStr">
        <is>
          <t>DB</t>
        </is>
      </c>
      <c r="H28" s="3" t="inlineStr">
        <is>
          <t>API /programs/:id/courses</t>
        </is>
      </c>
      <c r="I28" s="3" t="inlineStr">
        <is>
          <t>StudyProgram, consist_of, Course, programDocument</t>
        </is>
      </c>
      <c r="J28" s="3" t="inlineStr">
        <is>
          <t>course list</t>
        </is>
      </c>
      <c r="K28" s="3" t="inlineStr">
        <is>
          <t>Replace placeholders where needed.</t>
        </is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</row>
    <row r="29" ht="27.6" customHeight="1">
      <c r="A29" s="3" t="n">
        <v>28</v>
      </c>
      <c r="B29" s="3" t="inlineStr">
        <is>
          <t>program_structure_filtering</t>
        </is>
      </c>
      <c r="C29" s="3" t="inlineStr">
        <is>
          <t>medium</t>
        </is>
      </c>
      <c r="D29" s="3" t="inlineStr">
        <is>
          <t>EN</t>
        </is>
      </c>
      <c r="E29" s="3" t="inlineStr">
        <is>
          <t>Which elective courses belong to Computer Science?</t>
        </is>
      </c>
      <c r="F29" s="3" t="inlineStr">
        <is>
          <t>Exact values from DB.</t>
        </is>
      </c>
      <c r="G29" s="3" t="inlineStr">
        <is>
          <t>DB</t>
        </is>
      </c>
      <c r="H29" s="3" t="inlineStr">
        <is>
          <t>API /programs/:id/courses?type=Elective</t>
        </is>
      </c>
      <c r="I29" s="3" t="inlineStr">
        <is>
          <t>StudyProgram, consist_of, Course, programDocument</t>
        </is>
      </c>
      <c r="J29" s="3" t="inlineStr">
        <is>
          <t>elective list</t>
        </is>
      </c>
      <c r="K29" s="3" t="inlineStr">
        <is>
          <t>Replace placeholders where needed.</t>
        </is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 ht="41.4" customHeight="1">
      <c r="A30" s="3" t="n">
        <v>29</v>
      </c>
      <c r="B30" s="3" t="inlineStr">
        <is>
          <t>program_structure_filtering</t>
        </is>
      </c>
      <c r="C30" s="3" t="inlineStr">
        <is>
          <t>medium</t>
        </is>
      </c>
      <c r="D30" s="3" t="inlineStr">
        <is>
          <t>EN</t>
        </is>
      </c>
      <c r="E30" s="3" t="inlineStr">
        <is>
          <t>Which mandatory courses belong to 3	Computer Sci?ence</t>
        </is>
      </c>
      <c r="F30" s="3" t="inlineStr">
        <is>
          <t>Exact values from DB.</t>
        </is>
      </c>
      <c r="G30" s="3" t="inlineStr">
        <is>
          <t>DB</t>
        </is>
      </c>
      <c r="H30" s="3" t="inlineStr">
        <is>
          <t>API /programs/:id/courses?type=Mandatory</t>
        </is>
      </c>
      <c r="I30" s="3" t="inlineStr">
        <is>
          <t>StudyProgram, consist_of, Course, programDocument</t>
        </is>
      </c>
      <c r="J30" s="3" t="inlineStr">
        <is>
          <t>mandatory list</t>
        </is>
      </c>
      <c r="K30" s="3" t="inlineStr">
        <is>
          <t>Replace placeholders where needed.</t>
        </is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 ht="27.6" customHeight="1">
      <c r="A31" s="3" t="n">
        <v>30</v>
      </c>
      <c r="B31" s="3" t="inlineStr">
        <is>
          <t>program_structure_filtering</t>
        </is>
      </c>
      <c r="C31" s="3" t="inlineStr">
        <is>
          <t>medium</t>
        </is>
      </c>
      <c r="D31" s="3" t="inlineStr">
        <is>
          <t>EN</t>
        </is>
      </c>
      <c r="E31" s="3" t="inlineStr">
        <is>
          <t>Which study plan documents are stored for Social Anthropology?</t>
        </is>
      </c>
      <c r="F31" s="3" t="inlineStr">
        <is>
          <t>Exact values from DB.</t>
        </is>
      </c>
      <c r="G31" s="3" t="inlineStr">
        <is>
          <t>DB</t>
        </is>
      </c>
      <c r="H31" s="3" t="inlineStr">
        <is>
          <t>API /programs/:id/documents</t>
        </is>
      </c>
      <c r="I31" s="3" t="inlineStr">
        <is>
          <t>StudyProgram, consist_of, Course, programDocument</t>
        </is>
      </c>
      <c r="J31" s="3" t="inlineStr">
        <is>
          <t>document labels/URLs</t>
        </is>
      </c>
      <c r="K31" s="3" t="inlineStr">
        <is>
          <t>Replace placeholders where needed.</t>
        </is>
      </c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 ht="27.6" customHeight="1">
      <c r="A32" s="3" t="n">
        <v>31</v>
      </c>
      <c r="B32" s="3" t="inlineStr">
        <is>
          <t>program_structure_filtering</t>
        </is>
      </c>
      <c r="C32" s="3" t="inlineStr">
        <is>
          <t>medium</t>
        </is>
      </c>
      <c r="D32" s="3" t="inlineStr">
        <is>
          <t>EN</t>
        </is>
      </c>
      <c r="E32" s="3" t="inlineStr">
        <is>
          <t>Show all courses with 6 ECTS.</t>
        </is>
      </c>
      <c r="F32" s="3" t="inlineStr">
        <is>
          <t>Exact values from DB.</t>
        </is>
      </c>
      <c r="G32" s="3" t="inlineStr">
        <is>
          <t>DB</t>
        </is>
      </c>
      <c r="H32" s="3" t="inlineStr">
        <is>
          <t>API /courses?ects=6</t>
        </is>
      </c>
      <c r="I32" s="3" t="inlineStr">
        <is>
          <t>StudyProgram, consist_of, Course, programDocument</t>
        </is>
      </c>
      <c r="J32" s="3" t="inlineStr">
        <is>
          <t>course list</t>
        </is>
      </c>
      <c r="K32" s="3" t="inlineStr">
        <is>
          <t>Replace placeholders where needed.</t>
        </is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 ht="27.6" customHeight="1">
      <c r="A33" s="3" t="n">
        <v>32</v>
      </c>
      <c r="B33" s="3" t="inlineStr">
        <is>
          <t>program_structure_filtering</t>
        </is>
      </c>
      <c r="C33" s="3" t="inlineStr">
        <is>
          <t>medium</t>
        </is>
      </c>
      <c r="D33" s="3" t="inlineStr">
        <is>
          <t>EN</t>
        </is>
      </c>
      <c r="E33" s="3" t="inlineStr">
        <is>
          <t>Show all courses taught in English.</t>
        </is>
      </c>
      <c r="F33" s="3" t="inlineStr">
        <is>
          <t>Exact values from DB.</t>
        </is>
      </c>
      <c r="G33" s="3" t="inlineStr">
        <is>
          <t>DB</t>
        </is>
      </c>
      <c r="H33" s="3" t="inlineStr">
        <is>
          <t>API /courses?language=English</t>
        </is>
      </c>
      <c r="I33" s="3" t="inlineStr">
        <is>
          <t>StudyProgram, consist_of, Course, programDocument</t>
        </is>
      </c>
      <c r="J33" s="3" t="inlineStr">
        <is>
          <t>course list</t>
        </is>
      </c>
      <c r="K33" s="3" t="inlineStr">
        <is>
          <t>Replace placeholders where needed.</t>
        </is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 ht="27.6" customHeight="1">
      <c r="A34" s="3" t="n">
        <v>33</v>
      </c>
      <c r="B34" s="3" t="inlineStr">
        <is>
          <t>program_structure_filtering</t>
        </is>
      </c>
      <c r="C34" s="3" t="inlineStr">
        <is>
          <t>medium</t>
        </is>
      </c>
      <c r="D34" s="3" t="inlineStr">
        <is>
          <t>EN</t>
        </is>
      </c>
      <c r="E34" s="3" t="inlineStr">
        <is>
          <t>Show all courses offered in HS-2026.</t>
        </is>
      </c>
      <c r="F34" s="3" t="inlineStr">
        <is>
          <t>Exact values from DB.</t>
        </is>
      </c>
      <c r="G34" s="3" t="inlineStr">
        <is>
          <t>DB</t>
        </is>
      </c>
      <c r="H34" s="3" t="inlineStr">
        <is>
          <t>API /courses?semester=...</t>
        </is>
      </c>
      <c r="I34" s="3" t="inlineStr">
        <is>
          <t>StudyProgram, consist_of, Course, programDocument</t>
        </is>
      </c>
      <c r="J34" s="3" t="inlineStr">
        <is>
          <t>course list</t>
        </is>
      </c>
      <c r="K34" s="3" t="inlineStr">
        <is>
          <t>Replace placeholders where needed.</t>
        </is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 ht="41.4" customHeight="1">
      <c r="A35" s="3" t="n">
        <v>34</v>
      </c>
      <c r="B35" s="3" t="inlineStr">
        <is>
          <t>program_structure_filtering</t>
        </is>
      </c>
      <c r="C35" s="3" t="inlineStr">
        <is>
          <t>medium</t>
        </is>
      </c>
      <c r="D35" s="3" t="inlineStr">
        <is>
          <t>EN</t>
        </is>
      </c>
      <c r="E35" s="3" t="inlineStr">
        <is>
          <t>Which bachelor programs have 180 ECTS?</t>
        </is>
      </c>
      <c r="F35" s="3" t="inlineStr">
        <is>
          <t>Exact values from DB.</t>
        </is>
      </c>
      <c r="G35" s="3" t="inlineStr">
        <is>
          <t>DB</t>
        </is>
      </c>
      <c r="H35" s="3" t="inlineStr">
        <is>
          <t>API /programs?degree=Bachelor&amp;ects=180</t>
        </is>
      </c>
      <c r="I35" s="3" t="inlineStr">
        <is>
          <t>StudyProgram, consist_of, Course, programDocument</t>
        </is>
      </c>
      <c r="J35" s="3" t="inlineStr">
        <is>
          <t>program list</t>
        </is>
      </c>
      <c r="K35" s="3" t="inlineStr">
        <is>
          <t>Replace placeholders where needed.</t>
        </is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 ht="27.6" customHeight="1">
      <c r="A36" s="3" t="n">
        <v>35</v>
      </c>
      <c r="B36" s="3" t="inlineStr">
        <is>
          <t>rag_document</t>
        </is>
      </c>
      <c r="C36" s="3" t="inlineStr">
        <is>
          <t>hard</t>
        </is>
      </c>
      <c r="D36" s="3" t="inlineStr">
        <is>
          <t>EN</t>
        </is>
      </c>
      <c r="E36" s="3" t="inlineStr">
        <is>
          <t>What does the study plan of History say about electives?</t>
        </is>
      </c>
      <c r="F36" s="3" t="inlineStr">
        <is>
          <t>Answer grounded in retrieved document text with correct source attribution.</t>
        </is>
      </c>
      <c r="G36" s="3" t="inlineStr">
        <is>
          <t>RAG</t>
        </is>
      </c>
      <c r="H36" s="3" t="inlineStr">
        <is>
          <t>RAG over study plan/regulation documents</t>
        </is>
      </c>
      <c r="I36" s="3" t="inlineStr">
        <is>
          <t>PDF/study plan/regulation</t>
        </is>
      </c>
      <c r="J36" s="3" t="inlineStr">
        <is>
          <t>elective rules</t>
        </is>
      </c>
      <c r="K36" s="3" t="inlineStr">
        <is>
          <t>Use for website-RAG vs hybrid fallback comparison.</t>
        </is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 ht="27.6" customHeight="1">
      <c r="A37" s="3" t="n">
        <v>36</v>
      </c>
      <c r="B37" s="3" t="inlineStr">
        <is>
          <t>rag_document</t>
        </is>
      </c>
      <c r="C37" s="3" t="inlineStr">
        <is>
          <t>hard</t>
        </is>
      </c>
      <c r="D37" s="3" t="inlineStr">
        <is>
          <t>EN</t>
        </is>
      </c>
      <c r="E37" s="3" t="inlineStr">
        <is>
          <t>What does the regulation document say about admission requirements for Special Education?</t>
        </is>
      </c>
      <c r="F37" s="3" t="inlineStr">
        <is>
          <t>Answer grounded in retrieved document text with correct source attribution.</t>
        </is>
      </c>
      <c r="G37" s="3" t="inlineStr">
        <is>
          <t>RAG</t>
        </is>
      </c>
      <c r="H37" s="3" t="inlineStr">
        <is>
          <t>RAG over study plan/regulation documents</t>
        </is>
      </c>
      <c r="I37" s="3" t="inlineStr">
        <is>
          <t>PDF/study plan/regulation</t>
        </is>
      </c>
      <c r="J37" s="3" t="inlineStr">
        <is>
          <t>admission requirements</t>
        </is>
      </c>
      <c r="K37" s="3" t="inlineStr">
        <is>
          <t>Use for website-RAG vs hybrid fallback comparison.</t>
        </is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 ht="27.6" customHeight="1">
      <c r="A38" s="3" t="n">
        <v>37</v>
      </c>
      <c r="B38" s="3" t="inlineStr">
        <is>
          <t>rag_document</t>
        </is>
      </c>
      <c r="C38" s="3" t="inlineStr">
        <is>
          <t>hard</t>
        </is>
      </c>
      <c r="D38" s="3" t="inlineStr">
        <is>
          <t>EN</t>
        </is>
      </c>
      <c r="E38" s="3" t="inlineStr">
        <is>
          <t>What does the study plan say about recommended semester structure for Political Science?</t>
        </is>
      </c>
      <c r="F38" s="3" t="inlineStr">
        <is>
          <t>Answer grounded in retrieved document text with correct source attribution.</t>
        </is>
      </c>
      <c r="G38" s="3" t="inlineStr">
        <is>
          <t>RAG</t>
        </is>
      </c>
      <c r="H38" s="3" t="inlineStr">
        <is>
          <t>RAG over study plan/regulation documents</t>
        </is>
      </c>
      <c r="I38" s="3" t="inlineStr">
        <is>
          <t>PDF/study plan/regulation</t>
        </is>
      </c>
      <c r="J38" s="3" t="inlineStr">
        <is>
          <t>semester structure</t>
        </is>
      </c>
      <c r="K38" s="3" t="inlineStr">
        <is>
          <t>Use for website-RAG vs hybrid fallback comparison.</t>
        </is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 ht="27.6" customHeight="1">
      <c r="A39" s="3" t="n">
        <v>38</v>
      </c>
      <c r="B39" s="3" t="inlineStr">
        <is>
          <t>rag_document</t>
        </is>
      </c>
      <c r="C39" s="3" t="inlineStr">
        <is>
          <t>hard</t>
        </is>
      </c>
      <c r="D39" s="3" t="inlineStr">
        <is>
          <t>EN</t>
        </is>
      </c>
      <c r="E39" s="3" t="inlineStr">
        <is>
          <t>What learning outcomes or competencies are described for Communication Studies?</t>
        </is>
      </c>
      <c r="F39" s="3" t="inlineStr">
        <is>
          <t>Answer grounded in retrieved document text with correct source attribution.</t>
        </is>
      </c>
      <c r="G39" s="3" t="inlineStr">
        <is>
          <t>RAG</t>
        </is>
      </c>
      <c r="H39" s="3" t="inlineStr">
        <is>
          <t>RAG over study plan/regulation documents</t>
        </is>
      </c>
      <c r="I39" s="3" t="inlineStr">
        <is>
          <t>PDF/study plan/regulation</t>
        </is>
      </c>
      <c r="J39" s="3" t="inlineStr">
        <is>
          <t>learning outcomes/competencies</t>
        </is>
      </c>
      <c r="K39" s="3" t="inlineStr">
        <is>
          <t>Use for website-RAG vs hybrid fallback comparison.</t>
        </is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 ht="27.6" customHeight="1">
      <c r="A40" s="3" t="n">
        <v>39</v>
      </c>
      <c r="B40" s="3" t="inlineStr">
        <is>
          <t>rag_document</t>
        </is>
      </c>
      <c r="C40" s="3" t="inlineStr">
        <is>
          <t>hard</t>
        </is>
      </c>
      <c r="D40" s="3" t="inlineStr">
        <is>
          <t>EN</t>
        </is>
      </c>
      <c r="E40" s="3" t="inlineStr">
        <is>
          <t>Which examination rules are mentioned in the regulation document for Economics?</t>
        </is>
      </c>
      <c r="F40" s="3" t="inlineStr">
        <is>
          <t>Answer grounded in retrieved document text with correct source attribution.</t>
        </is>
      </c>
      <c r="G40" s="3" t="inlineStr">
        <is>
          <t>RAG</t>
        </is>
      </c>
      <c r="H40" s="3" t="inlineStr">
        <is>
          <t>RAG over study plan/regulation documents</t>
        </is>
      </c>
      <c r="I40" s="3" t="inlineStr">
        <is>
          <t>PDF/study plan/regulation</t>
        </is>
      </c>
      <c r="J40" s="3" t="inlineStr">
        <is>
          <t>exam/regulation rules</t>
        </is>
      </c>
      <c r="K40" s="3" t="inlineStr">
        <is>
          <t>Use for website-RAG vs hybrid fallback comparison.</t>
        </is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 ht="27.6" customHeight="1">
      <c r="A41" s="3" t="n">
        <v>40</v>
      </c>
      <c r="B41" s="3" t="inlineStr">
        <is>
          <t>rag_document</t>
        </is>
      </c>
      <c r="C41" s="3" t="inlineStr">
        <is>
          <t>hard</t>
        </is>
      </c>
      <c r="D41" s="3" t="inlineStr">
        <is>
          <t>EN</t>
        </is>
      </c>
      <c r="E41" s="3" t="inlineStr">
        <is>
          <t>What does the document say about repeating failed exams?</t>
        </is>
      </c>
      <c r="F41" s="3" t="inlineStr">
        <is>
          <t>Answer grounded in retrieved document text with correct source attribution.</t>
        </is>
      </c>
      <c r="G41" s="3" t="inlineStr">
        <is>
          <t>RAG</t>
        </is>
      </c>
      <c r="H41" s="3" t="inlineStr">
        <is>
          <t>RAG over study plan/regulation documents</t>
        </is>
      </c>
      <c r="I41" s="3" t="inlineStr">
        <is>
          <t>PDF/study plan/regulation</t>
        </is>
      </c>
      <c r="J41" s="3" t="inlineStr">
        <is>
          <t>repeat exam rules</t>
        </is>
      </c>
      <c r="K41" s="3" t="inlineStr">
        <is>
          <t>Use for website-RAG vs hybrid fallback comparison.</t>
        </is>
      </c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 ht="27.6" customHeight="1">
      <c r="A42" s="3" t="n">
        <v>41</v>
      </c>
      <c r="B42" s="3" t="inlineStr">
        <is>
          <t>rag_document</t>
        </is>
      </c>
      <c r="C42" s="3" t="inlineStr">
        <is>
          <t>hard</t>
        </is>
      </c>
      <c r="D42" s="3" t="inlineStr">
        <is>
          <t>EN</t>
        </is>
      </c>
      <c r="E42" s="3" t="inlineStr">
        <is>
          <t>What does the document say about recognition of external credits or mobility?</t>
        </is>
      </c>
      <c r="F42" s="3" t="inlineStr">
        <is>
          <t>Answer grounded in retrieved document text with correct source attribution.</t>
        </is>
      </c>
      <c r="G42" s="3" t="inlineStr">
        <is>
          <t>RAG</t>
        </is>
      </c>
      <c r="H42" s="3" t="inlineStr">
        <is>
          <t>RAG over study plan/regulation documents</t>
        </is>
      </c>
      <c r="I42" s="3" t="inlineStr">
        <is>
          <t>PDF/study plan/regulation</t>
        </is>
      </c>
      <c r="J42" s="3" t="inlineStr">
        <is>
          <t>mobility/credit recognition</t>
        </is>
      </c>
      <c r="K42" s="3" t="inlineStr">
        <is>
          <t>Use for website-RAG vs hybrid fallback comparison.</t>
        </is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</row>
    <row r="43" ht="27.6" customHeight="1">
      <c r="A43" s="3" t="n">
        <v>42</v>
      </c>
      <c r="B43" s="3" t="inlineStr">
        <is>
          <t>rag_document</t>
        </is>
      </c>
      <c r="C43" s="3" t="inlineStr">
        <is>
          <t>hard</t>
        </is>
      </c>
      <c r="D43" s="3" t="inlineStr">
        <is>
          <t>EN</t>
        </is>
      </c>
      <c r="E43" s="3" t="inlineStr">
        <is>
          <t>What does the study plan say about choosing minor programs?</t>
        </is>
      </c>
      <c r="F43" s="3" t="inlineStr">
        <is>
          <t>Answer grounded in retrieved document text with correct source attribution.</t>
        </is>
      </c>
      <c r="G43" s="3" t="inlineStr">
        <is>
          <t>RAG</t>
        </is>
      </c>
      <c r="H43" s="3" t="inlineStr">
        <is>
          <t>RAG over study plan/regulation documents</t>
        </is>
      </c>
      <c r="I43" s="3" t="inlineStr">
        <is>
          <t>PDF/study plan/regulation</t>
        </is>
      </c>
      <c r="J43" s="3" t="inlineStr">
        <is>
          <t>minor/elective rules</t>
        </is>
      </c>
      <c r="K43" s="3" t="inlineStr">
        <is>
          <t>Use for website-RAG vs hybrid fallback comparison.</t>
        </is>
      </c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</row>
    <row r="44" ht="41.4" customHeight="1">
      <c r="A44" s="3" t="n">
        <v>43</v>
      </c>
      <c r="B44" s="3" t="inlineStr">
        <is>
          <t>multilingual</t>
        </is>
      </c>
      <c r="C44" s="3" t="inlineStr">
        <is>
          <t>medium</t>
        </is>
      </c>
      <c r="D44" s="3" t="inlineStr">
        <is>
          <t>DE</t>
        </is>
      </c>
      <c r="E44" s="3" t="inlineStr">
        <is>
          <t>Welche Bachelorprogramme kann ich an der Universität Freiburg studieren?</t>
        </is>
      </c>
      <c r="F44" s="3" t="inlineStr">
        <is>
          <t>Same factual answer as the equivalent English/German/French query; response language should match or be appropriate.</t>
        </is>
      </c>
      <c r="G44" s="3" t="inlineStr">
        <is>
          <t>Mixed</t>
        </is>
      </c>
      <c r="H44" s="3" t="inlineStr">
        <is>
          <t>API first, RAG fallback</t>
        </is>
      </c>
      <c r="I44" s="3" t="inlineStr">
        <is>
          <t>DB or PDF source</t>
        </is>
      </c>
      <c r="J44" s="3" t="inlineStr">
        <is>
          <t>program names</t>
        </is>
      </c>
      <c r="K44" s="3" t="inlineStr">
        <is>
          <t>Tests multilingual query understanding and response language consistency.</t>
        </is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</row>
    <row r="45" ht="41.4" customHeight="1">
      <c r="A45" s="3" t="n">
        <v>44</v>
      </c>
      <c r="B45" s="3" t="inlineStr">
        <is>
          <t>multilingual</t>
        </is>
      </c>
      <c r="C45" s="3" t="inlineStr">
        <is>
          <t>medium</t>
        </is>
      </c>
      <c r="D45" s="3" t="inlineStr">
        <is>
          <t>DE</t>
        </is>
      </c>
      <c r="E45" s="3" t="inlineStr">
        <is>
          <t>Wie viele ECTS hat UE-L14.02281?</t>
        </is>
      </c>
      <c r="F45" s="3" t="inlineStr">
        <is>
          <t>Same factual answer as the equivalent English/German/French query; response language should match or be appropriate.</t>
        </is>
      </c>
      <c r="G45" s="3" t="inlineStr">
        <is>
          <t>Mixed</t>
        </is>
      </c>
      <c r="H45" s="3" t="inlineStr">
        <is>
          <t>API first, RAG fallback</t>
        </is>
      </c>
      <c r="I45" s="3" t="inlineStr">
        <is>
          <t>DB or PDF source</t>
        </is>
      </c>
      <c r="J45" s="3" t="inlineStr">
        <is>
          <t>ECTS</t>
        </is>
      </c>
      <c r="K45" s="3" t="inlineStr">
        <is>
          <t>Tests multilingual query understanding and response language consistency.</t>
        </is>
      </c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</row>
    <row r="46" ht="41.4" customHeight="1">
      <c r="A46" s="3" t="n">
        <v>45</v>
      </c>
      <c r="B46" s="3" t="inlineStr">
        <is>
          <t>multilingual</t>
        </is>
      </c>
      <c r="C46" s="3" t="inlineStr">
        <is>
          <t>medium</t>
        </is>
      </c>
      <c r="D46" s="3" t="inlineStr">
        <is>
          <t>DE</t>
        </is>
      </c>
      <c r="E46" s="3" t="inlineStr">
        <is>
          <t>Wann findet UE-SME.07105 im FS-2026 statt?</t>
        </is>
      </c>
      <c r="F46" s="3" t="inlineStr">
        <is>
          <t>Same factual answer as the equivalent English/German/French query; response language should match or be appropriate.</t>
        </is>
      </c>
      <c r="G46" s="3" t="inlineStr">
        <is>
          <t>Mixed</t>
        </is>
      </c>
      <c r="H46" s="3" t="inlineStr">
        <is>
          <t>API first, RAG fallback</t>
        </is>
      </c>
      <c r="I46" s="3" t="inlineStr">
        <is>
          <t>DB or PDF source</t>
        </is>
      </c>
      <c r="J46" s="3" t="inlineStr">
        <is>
          <t>date/time</t>
        </is>
      </c>
      <c r="K46" s="3" t="inlineStr">
        <is>
          <t>Tests multilingual query understanding and response language consistency.</t>
        </is>
      </c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</row>
    <row r="47" ht="41.4" customHeight="1">
      <c r="A47" s="3" t="n">
        <v>46</v>
      </c>
      <c r="B47" s="3" t="inlineStr">
        <is>
          <t>multilingual</t>
        </is>
      </c>
      <c r="C47" s="3" t="inlineStr">
        <is>
          <t>medium</t>
        </is>
      </c>
      <c r="D47" s="3" t="inlineStr">
        <is>
          <t>DE</t>
        </is>
      </c>
      <c r="E47" s="3" t="inlineStr">
        <is>
          <t>Welche Kurse sind im Studienprogramm Philosophie obligatorisch?</t>
        </is>
      </c>
      <c r="F47" s="3" t="inlineStr">
        <is>
          <t>Same factual answer as the equivalent English/German/French query; response language should match or be appropriate.</t>
        </is>
      </c>
      <c r="G47" s="3" t="inlineStr">
        <is>
          <t>Mixed</t>
        </is>
      </c>
      <c r="H47" s="3" t="inlineStr">
        <is>
          <t>API first, RAG fallback</t>
        </is>
      </c>
      <c r="I47" s="3" t="inlineStr">
        <is>
          <t>DB or PDF source</t>
        </is>
      </c>
      <c r="J47" s="3" t="inlineStr">
        <is>
          <t>mandatory courses</t>
        </is>
      </c>
      <c r="K47" s="3" t="inlineStr">
        <is>
          <t>Tests multilingual query understanding and response language consistency.</t>
        </is>
      </c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</row>
    <row r="48" ht="41.4" customHeight="1">
      <c r="A48" s="3" t="n">
        <v>47</v>
      </c>
      <c r="B48" s="3" t="inlineStr">
        <is>
          <t>multilingual</t>
        </is>
      </c>
      <c r="C48" s="3" t="inlineStr">
        <is>
          <t>medium</t>
        </is>
      </c>
      <c r="D48" s="3" t="inlineStr">
        <is>
          <t>DE</t>
        </is>
      </c>
      <c r="E48" s="3" t="inlineStr">
        <is>
          <t>Welche Informationen enthält der Studienplan zu Wahlfächern?</t>
        </is>
      </c>
      <c r="F48" s="3" t="inlineStr">
        <is>
          <t>Same factual answer as the equivalent English/German/French query; response language should match or be appropriate.</t>
        </is>
      </c>
      <c r="G48" s="3" t="inlineStr">
        <is>
          <t>Mixed</t>
        </is>
      </c>
      <c r="H48" s="3" t="inlineStr">
        <is>
          <t>API first, RAG fallback</t>
        </is>
      </c>
      <c r="I48" s="3" t="inlineStr">
        <is>
          <t>DB or PDF source</t>
        </is>
      </c>
      <c r="J48" s="3" t="inlineStr">
        <is>
          <t>elective rules</t>
        </is>
      </c>
      <c r="K48" s="3" t="inlineStr">
        <is>
          <t>Tests multilingual query understanding and response language consistency.</t>
        </is>
      </c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</row>
    <row r="49" ht="41.4" customHeight="1">
      <c r="A49" s="3" t="n">
        <v>48</v>
      </c>
      <c r="B49" s="3" t="inlineStr">
        <is>
          <t>multilingual</t>
        </is>
      </c>
      <c r="C49" s="3" t="inlineStr">
        <is>
          <t>medium</t>
        </is>
      </c>
      <c r="D49" s="3" t="inlineStr">
        <is>
          <t>FR</t>
        </is>
      </c>
      <c r="E49" s="3" t="inlineStr">
        <is>
          <t>Quels programmes de bachelor puis-je étudier à l'Université de Fribourg ?</t>
        </is>
      </c>
      <c r="F49" s="3" t="inlineStr">
        <is>
          <t>Same factual answer as the equivalent English/German/French query; response language should match or be appropriate.</t>
        </is>
      </c>
      <c r="G49" s="3" t="inlineStr">
        <is>
          <t>Mixed</t>
        </is>
      </c>
      <c r="H49" s="3" t="inlineStr">
        <is>
          <t>API first, RAG fallback</t>
        </is>
      </c>
      <c r="I49" s="3" t="inlineStr">
        <is>
          <t>DB or PDF source</t>
        </is>
      </c>
      <c r="J49" s="3" t="inlineStr">
        <is>
          <t>program names</t>
        </is>
      </c>
      <c r="K49" s="3" t="inlineStr">
        <is>
          <t>Tests multilingual query understanding and response language consistency.</t>
        </is>
      </c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</row>
    <row r="50" ht="41.4" customHeight="1">
      <c r="A50" s="3" t="n">
        <v>49</v>
      </c>
      <c r="B50" s="3" t="inlineStr">
        <is>
          <t>multilingual</t>
        </is>
      </c>
      <c r="C50" s="3" t="inlineStr">
        <is>
          <t>medium</t>
        </is>
      </c>
      <c r="D50" s="3" t="inlineStr">
        <is>
          <t>FR</t>
        </is>
      </c>
      <c r="E50" s="3" t="inlineStr">
        <is>
          <t>Combien de crédits ECTS vaut UE-DDR.00451?</t>
        </is>
      </c>
      <c r="F50" s="3" t="inlineStr">
        <is>
          <t>Same factual answer as the equivalent English/German/French query; response language should match or be appropriate.</t>
        </is>
      </c>
      <c r="G50" s="3" t="inlineStr">
        <is>
          <t>Mixed</t>
        </is>
      </c>
      <c r="H50" s="3" t="inlineStr">
        <is>
          <t>API first, RAG fallback</t>
        </is>
      </c>
      <c r="I50" s="3" t="inlineStr">
        <is>
          <t>DB or PDF source</t>
        </is>
      </c>
      <c r="J50" s="3" t="inlineStr">
        <is>
          <t>ECTS</t>
        </is>
      </c>
      <c r="K50" s="3" t="inlineStr">
        <is>
          <t>Tests multilingual query understanding and response language consistency.</t>
        </is>
      </c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</row>
    <row r="51" ht="41.4" customHeight="1">
      <c r="A51" s="3" t="n">
        <v>50</v>
      </c>
      <c r="B51" s="3" t="inlineStr">
        <is>
          <t>multilingual</t>
        </is>
      </c>
      <c r="C51" s="3" t="inlineStr">
        <is>
          <t>medium</t>
        </is>
      </c>
      <c r="D51" s="3" t="inlineStr">
        <is>
          <t>FR</t>
        </is>
      </c>
      <c r="E51" s="3" t="inlineStr">
        <is>
          <t>Quand a lieu le cours UE-DDR.00368 pendant HS-2026 ?</t>
        </is>
      </c>
      <c r="F51" s="3" t="inlineStr">
        <is>
          <t>Same factual answer as the equivalent English/German/French query; response language should match or be appropriate.</t>
        </is>
      </c>
      <c r="G51" s="3" t="inlineStr">
        <is>
          <t>Mixed</t>
        </is>
      </c>
      <c r="H51" s="3" t="inlineStr">
        <is>
          <t>API first, RAG fallback</t>
        </is>
      </c>
      <c r="I51" s="3" t="inlineStr">
        <is>
          <t>DB or PDF source</t>
        </is>
      </c>
      <c r="J51" s="3" t="inlineStr">
        <is>
          <t>date/time</t>
        </is>
      </c>
      <c r="K51" s="3" t="inlineStr">
        <is>
          <t>Tests multilingual query understanding and response language consistency.</t>
        </is>
      </c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</row>
    <row r="52" ht="41.4" customHeight="1">
      <c r="A52" s="3" t="n">
        <v>51</v>
      </c>
      <c r="B52" s="3" t="inlineStr">
        <is>
          <t>multilingual</t>
        </is>
      </c>
      <c r="C52" s="3" t="inlineStr">
        <is>
          <t>medium</t>
        </is>
      </c>
      <c r="D52" s="3" t="inlineStr">
        <is>
          <t>FR</t>
        </is>
      </c>
      <c r="E52" s="3" t="inlineStr">
        <is>
          <t>Quels cours sont obligatoires dans le programme Marketing ?</t>
        </is>
      </c>
      <c r="F52" s="3" t="inlineStr">
        <is>
          <t>Same factual answer as the equivalent English/German/French query; response language should match or be appropriate.</t>
        </is>
      </c>
      <c r="G52" s="3" t="inlineStr">
        <is>
          <t>Mixed</t>
        </is>
      </c>
      <c r="H52" s="3" t="inlineStr">
        <is>
          <t>API first, RAG fallback</t>
        </is>
      </c>
      <c r="I52" s="3" t="inlineStr">
        <is>
          <t>DB or PDF source</t>
        </is>
      </c>
      <c r="J52" s="3" t="inlineStr">
        <is>
          <t>mandatory courses</t>
        </is>
      </c>
      <c r="K52" s="3" t="inlineStr">
        <is>
          <t>Tests multilingual query understanding and response language consistency.</t>
        </is>
      </c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</row>
    <row r="53" ht="41.4" customHeight="1">
      <c r="A53" s="3" t="n">
        <v>52</v>
      </c>
      <c r="B53" s="3" t="inlineStr">
        <is>
          <t>multilingual</t>
        </is>
      </c>
      <c r="C53" s="3" t="inlineStr">
        <is>
          <t>medium</t>
        </is>
      </c>
      <c r="D53" s="3" t="inlineStr">
        <is>
          <t>FR</t>
        </is>
      </c>
      <c r="E53" s="3" t="inlineStr">
        <is>
          <t>Que dit le plan d'études sur les cours à option ?</t>
        </is>
      </c>
      <c r="F53" s="3" t="inlineStr">
        <is>
          <t>Same factual answer as the equivalent English/German/French query; response language should match or be appropriate.</t>
        </is>
      </c>
      <c r="G53" s="3" t="inlineStr">
        <is>
          <t>Mixed</t>
        </is>
      </c>
      <c r="H53" s="3" t="inlineStr">
        <is>
          <t>API first, RAG fallback</t>
        </is>
      </c>
      <c r="I53" s="3" t="inlineStr">
        <is>
          <t>DB or PDF source</t>
        </is>
      </c>
      <c r="J53" s="3" t="inlineStr">
        <is>
          <t>elective rules</t>
        </is>
      </c>
      <c r="K53" s="3" t="inlineStr">
        <is>
          <t>Tests multilingual query understanding and response language consistency.</t>
        </is>
      </c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</row>
    <row r="54" ht="41.4" customHeight="1">
      <c r="A54" s="3" t="n">
        <v>53</v>
      </c>
      <c r="B54" s="3" t="inlineStr">
        <is>
          <t>multilingual</t>
        </is>
      </c>
      <c r="C54" s="3" t="inlineStr">
        <is>
          <t>medium</t>
        </is>
      </c>
      <c r="D54" s="3" t="inlineStr">
        <is>
          <t>EN</t>
        </is>
      </c>
      <c r="E54" s="3" t="inlineStr">
        <is>
          <t>What courses are Pflichtkurse in Theological Studies?</t>
        </is>
      </c>
      <c r="F54" s="3" t="inlineStr">
        <is>
          <t>Same factual answer as the equivalent English/German/French query; response language should match or be appropriate.</t>
        </is>
      </c>
      <c r="G54" s="3" t="inlineStr">
        <is>
          <t>Mixed</t>
        </is>
      </c>
      <c r="H54" s="3" t="inlineStr">
        <is>
          <t>API first, RAG fallback</t>
        </is>
      </c>
      <c r="I54" s="3" t="inlineStr">
        <is>
          <t>DB or PDF source</t>
        </is>
      </c>
      <c r="J54" s="3" t="inlineStr">
        <is>
          <t>mandatory courses</t>
        </is>
      </c>
      <c r="K54" s="3" t="inlineStr">
        <is>
          <t>Tests multilingual query understanding and response language consistency.</t>
        </is>
      </c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</row>
    <row r="55" ht="41.4" customHeight="1">
      <c r="A55" s="3" t="n">
        <v>54</v>
      </c>
      <c r="B55" s="3" t="inlineStr">
        <is>
          <t>multilingual</t>
        </is>
      </c>
      <c r="C55" s="3" t="inlineStr">
        <is>
          <t>medium</t>
        </is>
      </c>
      <c r="D55" s="3" t="inlineStr">
        <is>
          <t>EN</t>
        </is>
      </c>
      <c r="E55" s="3" t="inlineStr">
        <is>
          <t>Quels cours in Slavic Studies are electives?</t>
        </is>
      </c>
      <c r="F55" s="3" t="inlineStr">
        <is>
          <t>Same factual answer as the equivalent English/German/French query; response language should match or be appropriate.</t>
        </is>
      </c>
      <c r="G55" s="3" t="inlineStr">
        <is>
          <t>Mixed</t>
        </is>
      </c>
      <c r="H55" s="3" t="inlineStr">
        <is>
          <t>API first, RAG fallback</t>
        </is>
      </c>
      <c r="I55" s="3" t="inlineStr">
        <is>
          <t>DB or PDF source</t>
        </is>
      </c>
      <c r="J55" s="3" t="inlineStr">
        <is>
          <t>elective courses</t>
        </is>
      </c>
      <c r="K55" s="3" t="inlineStr">
        <is>
          <t>Tests multilingual query understanding and response language consistency.</t>
        </is>
      </c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</row>
    <row r="56" ht="41.4" customHeight="1">
      <c r="A56" s="3" t="n">
        <v>55</v>
      </c>
      <c r="B56" s="3" t="inlineStr">
        <is>
          <t>ambiguous</t>
        </is>
      </c>
      <c r="C56" s="3" t="inlineStr">
        <is>
          <t>medium</t>
        </is>
      </c>
      <c r="D56" s="3" t="inlineStr">
        <is>
          <t>EN</t>
        </is>
      </c>
      <c r="E56" s="3" t="inlineStr">
        <is>
          <t>Tell me about the Informatics Bachelor.</t>
        </is>
      </c>
      <c r="F56" s="3" t="inlineStr">
        <is>
          <t>Should provide cautious answer, ask for missing information when needed, and avoid unsupported recommendations.</t>
        </is>
      </c>
      <c r="G56" s="3" t="inlineStr">
        <is>
          <t>Mixed</t>
        </is>
      </c>
      <c r="H56" s="3" t="inlineStr">
        <is>
          <t>API/RAG/clarification</t>
        </is>
      </c>
      <c r="I56" s="3" t="inlineStr">
        <is>
          <t>DB or documents if used</t>
        </is>
      </c>
      <c r="J56" s="3" t="inlineStr">
        <is>
          <t>clarification behavior, no hallucination</t>
        </is>
      </c>
      <c r="K56" s="3" t="inlineStr">
        <is>
          <t>Useful for qualitative analysis.</t>
        </is>
      </c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</row>
    <row r="57" ht="41.4" customHeight="1">
      <c r="A57" s="3" t="n">
        <v>56</v>
      </c>
      <c r="B57" s="3" t="inlineStr">
        <is>
          <t>ambiguous</t>
        </is>
      </c>
      <c r="C57" s="3" t="inlineStr">
        <is>
          <t>medium</t>
        </is>
      </c>
      <c r="D57" s="3" t="inlineStr">
        <is>
          <t>EN</t>
        </is>
      </c>
      <c r="E57" s="3" t="inlineStr">
        <is>
          <t>What should I take in my first semester?</t>
        </is>
      </c>
      <c r="F57" s="3" t="inlineStr">
        <is>
          <t>Should provide cautious answer, ask for missing information when needed, and avoid unsupported recommendations.</t>
        </is>
      </c>
      <c r="G57" s="3" t="inlineStr">
        <is>
          <t>Mixed</t>
        </is>
      </c>
      <c r="H57" s="3" t="inlineStr">
        <is>
          <t>API/RAG/clarification</t>
        </is>
      </c>
      <c r="I57" s="3" t="inlineStr">
        <is>
          <t>DB or documents if used</t>
        </is>
      </c>
      <c r="J57" s="3" t="inlineStr">
        <is>
          <t>clarification behavior, no hallucination</t>
        </is>
      </c>
      <c r="K57" s="3" t="inlineStr">
        <is>
          <t>Useful for qualitative analysis.</t>
        </is>
      </c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</row>
    <row r="58" ht="41.4" customHeight="1">
      <c r="A58" s="3" t="n">
        <v>57</v>
      </c>
      <c r="B58" s="3" t="inlineStr">
        <is>
          <t>ambiguous</t>
        </is>
      </c>
      <c r="C58" s="3" t="inlineStr">
        <is>
          <t>medium</t>
        </is>
      </c>
      <c r="D58" s="3" t="inlineStr">
        <is>
          <t>EN</t>
        </is>
      </c>
      <c r="E58" s="3" t="inlineStr">
        <is>
          <t>Which courses are interesting for AI?</t>
        </is>
      </c>
      <c r="F58" s="3" t="inlineStr">
        <is>
          <t>Should provide cautious answer, ask for missing information when needed, and avoid unsupported recommendations.</t>
        </is>
      </c>
      <c r="G58" s="3" t="inlineStr">
        <is>
          <t>Mixed</t>
        </is>
      </c>
      <c r="H58" s="3" t="inlineStr">
        <is>
          <t>API/RAG/clarification</t>
        </is>
      </c>
      <c r="I58" s="3" t="inlineStr">
        <is>
          <t>DB or documents if used</t>
        </is>
      </c>
      <c r="J58" s="3" t="inlineStr">
        <is>
          <t>clarification behavior, no hallucination</t>
        </is>
      </c>
      <c r="K58" s="3" t="inlineStr">
        <is>
          <t>Useful for qualitative analysis.</t>
        </is>
      </c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</row>
    <row r="59" ht="41.4" customHeight="1">
      <c r="A59" s="3" t="n">
        <v>58</v>
      </c>
      <c r="B59" s="3" t="inlineStr">
        <is>
          <t>ambiguous</t>
        </is>
      </c>
      <c r="C59" s="3" t="inlineStr">
        <is>
          <t>medium</t>
        </is>
      </c>
      <c r="D59" s="3" t="inlineStr">
        <is>
          <t>EN</t>
        </is>
      </c>
      <c r="E59" s="3" t="inlineStr">
        <is>
          <t>I want an easy semester. What courses should I choose?</t>
        </is>
      </c>
      <c r="F59" s="3" t="inlineStr">
        <is>
          <t>Should provide cautious answer, ask for missing information when needed, and avoid unsupported recommendations.</t>
        </is>
      </c>
      <c r="G59" s="3" t="inlineStr">
        <is>
          <t>Mixed</t>
        </is>
      </c>
      <c r="H59" s="3" t="inlineStr">
        <is>
          <t>API/RAG/clarification</t>
        </is>
      </c>
      <c r="I59" s="3" t="inlineStr">
        <is>
          <t>DB or documents if used</t>
        </is>
      </c>
      <c r="J59" s="3" t="inlineStr">
        <is>
          <t>clarification behavior, no hallucination</t>
        </is>
      </c>
      <c r="K59" s="3" t="inlineStr">
        <is>
          <t>Useful for qualitative analysis.</t>
        </is>
      </c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</row>
    <row r="60" ht="41.4" customHeight="1">
      <c r="A60" s="3" t="n">
        <v>59</v>
      </c>
      <c r="B60" s="3" t="inlineStr">
        <is>
          <t>ambiguous</t>
        </is>
      </c>
      <c r="C60" s="3" t="inlineStr">
        <is>
          <t>medium</t>
        </is>
      </c>
      <c r="D60" s="3" t="inlineStr">
        <is>
          <t>EN</t>
        </is>
      </c>
      <c r="E60" s="3" t="inlineStr">
        <is>
          <t>Can I study economics and computer science together?</t>
        </is>
      </c>
      <c r="F60" s="3" t="inlineStr">
        <is>
          <t>Should provide cautious answer, ask for missing information when needed, and avoid unsupported recommendations.</t>
        </is>
      </c>
      <c r="G60" s="3" t="inlineStr">
        <is>
          <t>Mixed</t>
        </is>
      </c>
      <c r="H60" s="3" t="inlineStr">
        <is>
          <t>API/RAG/clarification</t>
        </is>
      </c>
      <c r="I60" s="3" t="inlineStr">
        <is>
          <t>DB or documents if used</t>
        </is>
      </c>
      <c r="J60" s="3" t="inlineStr">
        <is>
          <t>clarification behavior, no hallucination</t>
        </is>
      </c>
      <c r="K60" s="3" t="inlineStr">
        <is>
          <t>Useful for qualitative analysis.</t>
        </is>
      </c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</row>
    <row r="61" ht="41.4" customHeight="1">
      <c r="A61" s="3" t="n">
        <v>60</v>
      </c>
      <c r="B61" s="3" t="inlineStr">
        <is>
          <t>ambiguous</t>
        </is>
      </c>
      <c r="C61" s="3" t="inlineStr">
        <is>
          <t>medium</t>
        </is>
      </c>
      <c r="D61" s="3" t="inlineStr">
        <is>
          <t>EN</t>
        </is>
      </c>
      <c r="E61" s="3" t="inlineStr">
        <is>
          <t>Which program is best for me?</t>
        </is>
      </c>
      <c r="F61" s="3" t="inlineStr">
        <is>
          <t>Should provide cautious answer, ask for missing information when needed, and avoid unsupported recommendations.</t>
        </is>
      </c>
      <c r="G61" s="3" t="inlineStr">
        <is>
          <t>Mixed</t>
        </is>
      </c>
      <c r="H61" s="3" t="inlineStr">
        <is>
          <t>API/RAG/clarification</t>
        </is>
      </c>
      <c r="I61" s="3" t="inlineStr">
        <is>
          <t>DB or documents if used</t>
        </is>
      </c>
      <c r="J61" s="3" t="inlineStr">
        <is>
          <t>clarification behavior, no hallucination</t>
        </is>
      </c>
      <c r="K61" s="3" t="inlineStr">
        <is>
          <t>Useful for qualitative analysis.</t>
        </is>
      </c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</row>
    <row r="62" ht="41.4" customHeight="1">
      <c r="A62" s="3" t="n">
        <v>61</v>
      </c>
      <c r="B62" s="3" t="inlineStr">
        <is>
          <t>ambiguous</t>
        </is>
      </c>
      <c r="C62" s="3" t="inlineStr">
        <is>
          <t>medium</t>
        </is>
      </c>
      <c r="D62" s="3" t="inlineStr">
        <is>
          <t>EN</t>
        </is>
      </c>
      <c r="E62" s="3" t="inlineStr">
        <is>
          <t>Explain UE-F22.00088.</t>
        </is>
      </c>
      <c r="F62" s="3" t="inlineStr">
        <is>
          <t>Should provide cautious answer, ask for missing information when needed, and avoid unsupported recommendations.</t>
        </is>
      </c>
      <c r="G62" s="3" t="inlineStr">
        <is>
          <t>Mixed</t>
        </is>
      </c>
      <c r="H62" s="3" t="inlineStr">
        <is>
          <t>API/RAG/clarification</t>
        </is>
      </c>
      <c r="I62" s="3" t="inlineStr">
        <is>
          <t>DB or documents if used</t>
        </is>
      </c>
      <c r="J62" s="3" t="inlineStr">
        <is>
          <t>clarification behavior, no hallucination</t>
        </is>
      </c>
      <c r="K62" s="3" t="inlineStr">
        <is>
          <t>Useful for qualitative analysis.</t>
        </is>
      </c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</row>
    <row r="63" ht="41.4" customHeight="1">
      <c r="A63" s="3" t="n">
        <v>62</v>
      </c>
      <c r="B63" s="3" t="inlineStr">
        <is>
          <t>ambiguous</t>
        </is>
      </c>
      <c r="C63" s="3" t="inlineStr">
        <is>
          <t>medium</t>
        </is>
      </c>
      <c r="D63" s="3" t="inlineStr">
        <is>
          <t>EN</t>
        </is>
      </c>
      <c r="E63" s="3" t="inlineStr">
        <is>
          <t>What can I study at Unifr?</t>
        </is>
      </c>
      <c r="F63" s="3" t="inlineStr">
        <is>
          <t>Should provide cautious answer, ask for missing information when needed, and avoid unsupported recommendations.</t>
        </is>
      </c>
      <c r="G63" s="3" t="inlineStr">
        <is>
          <t>Mixed</t>
        </is>
      </c>
      <c r="H63" s="3" t="inlineStr">
        <is>
          <t>API/RAG/clarification</t>
        </is>
      </c>
      <c r="I63" s="3" t="inlineStr">
        <is>
          <t>DB or documents if used</t>
        </is>
      </c>
      <c r="J63" s="3" t="inlineStr">
        <is>
          <t>clarification behavior, no hallucination</t>
        </is>
      </c>
      <c r="K63" s="3" t="inlineStr">
        <is>
          <t>Useful for qualitative analysis.</t>
        </is>
      </c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</row>
    <row r="64" ht="27.6" customHeight="1">
      <c r="A64" s="3" t="n">
        <v>63</v>
      </c>
      <c r="B64" s="3" t="inlineStr">
        <is>
          <t>unanswerable</t>
        </is>
      </c>
      <c r="C64" s="3" t="inlineStr">
        <is>
          <t>medium</t>
        </is>
      </c>
      <c r="D64" s="3" t="inlineStr">
        <is>
          <t>EN</t>
        </is>
      </c>
      <c r="E64" s="3" t="inlineStr">
        <is>
          <t>What will the exact schedule of UE-TTH.01524 be in 2030?</t>
        </is>
      </c>
      <c r="F64" s="3" t="inlineStr">
        <is>
          <t>Should explicitly say that the information is not available/cannot be answered from provided data.</t>
        </is>
      </c>
      <c r="G64" s="3" t="inlineStr">
        <is>
          <t>None</t>
        </is>
      </c>
      <c r="H64" s="3" t="inlineStr">
        <is>
          <t>No tool or explicit fallback no-answer</t>
        </is>
      </c>
      <c r="I64" s="3" t="inlineStr">
        <is>
          <t>N/A</t>
        </is>
      </c>
      <c r="J64" s="3" t="inlineStr">
        <is>
          <t>safe refusal / no-answer behavior</t>
        </is>
      </c>
      <c r="K64" s="3" t="inlineStr">
        <is>
          <t>Critical for hallucination rate.</t>
        </is>
      </c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</row>
    <row r="65" ht="27.6" customHeight="1">
      <c r="A65" s="3" t="n">
        <v>64</v>
      </c>
      <c r="B65" s="3" t="inlineStr">
        <is>
          <t>unanswerable</t>
        </is>
      </c>
      <c r="C65" s="3" t="inlineStr">
        <is>
          <t>medium</t>
        </is>
      </c>
      <c r="D65" s="3" t="inlineStr">
        <is>
          <t>EN</t>
        </is>
      </c>
      <c r="E65" s="3" t="inlineStr">
        <is>
          <t>Which professor is the best teacher for UE-DDR.02408?</t>
        </is>
      </c>
      <c r="F65" s="3" t="inlineStr">
        <is>
          <t>Should explicitly say that the information is not available/cannot be answered from provided data.</t>
        </is>
      </c>
      <c r="G65" s="3" t="inlineStr">
        <is>
          <t>None</t>
        </is>
      </c>
      <c r="H65" s="3" t="inlineStr">
        <is>
          <t>No tool or explicit fallback no-answer</t>
        </is>
      </c>
      <c r="I65" s="3" t="inlineStr">
        <is>
          <t>N/A</t>
        </is>
      </c>
      <c r="J65" s="3" t="inlineStr">
        <is>
          <t>safe refusal / no-answer behavior</t>
        </is>
      </c>
      <c r="K65" s="3" t="inlineStr">
        <is>
          <t>Critical for hallucination rate.</t>
        </is>
      </c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</row>
    <row r="66" ht="27.6" customHeight="1">
      <c r="A66" s="3" t="n">
        <v>65</v>
      </c>
      <c r="B66" s="3" t="inlineStr">
        <is>
          <t>unanswerable</t>
        </is>
      </c>
      <c r="C66" s="3" t="inlineStr">
        <is>
          <t>medium</t>
        </is>
      </c>
      <c r="D66" s="3" t="inlineStr">
        <is>
          <t>EN</t>
        </is>
      </c>
      <c r="E66" s="3" t="inlineStr">
        <is>
          <t>What grade will I get if I take UE-L06.01393	?</t>
        </is>
      </c>
      <c r="F66" s="3" t="inlineStr">
        <is>
          <t>Should explicitly say that the information is not available/cannot be answered from provided data.</t>
        </is>
      </c>
      <c r="G66" s="3" t="inlineStr">
        <is>
          <t>None</t>
        </is>
      </c>
      <c r="H66" s="3" t="inlineStr">
        <is>
          <t>No tool or explicit fallback no-answer</t>
        </is>
      </c>
      <c r="I66" s="3" t="inlineStr">
        <is>
          <t>N/A</t>
        </is>
      </c>
      <c r="J66" s="3" t="inlineStr">
        <is>
          <t>safe refusal / no-answer behavior</t>
        </is>
      </c>
      <c r="K66" s="3" t="inlineStr">
        <is>
          <t>Critical for hallucination rate.</t>
        </is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</row>
    <row r="67" ht="27.6" customHeight="1">
      <c r="A67" s="3" t="n">
        <v>66</v>
      </c>
      <c r="B67" s="3" t="inlineStr">
        <is>
          <t>unanswerable</t>
        </is>
      </c>
      <c r="C67" s="3" t="inlineStr">
        <is>
          <t>medium</t>
        </is>
      </c>
      <c r="D67" s="3" t="inlineStr">
        <is>
          <t>EN</t>
        </is>
      </c>
      <c r="E67" s="3" t="inlineStr">
        <is>
          <t>Does Greek Studies guarantee a job at Google?</t>
        </is>
      </c>
      <c r="F67" s="3" t="inlineStr">
        <is>
          <t>Should explicitly say that the information is not available/cannot be answered from provided data.</t>
        </is>
      </c>
      <c r="G67" s="3" t="inlineStr">
        <is>
          <t>None</t>
        </is>
      </c>
      <c r="H67" s="3" t="inlineStr">
        <is>
          <t>No tool or explicit fallback no-answer</t>
        </is>
      </c>
      <c r="I67" s="3" t="inlineStr">
        <is>
          <t>N/A</t>
        </is>
      </c>
      <c r="J67" s="3" t="inlineStr">
        <is>
          <t>safe refusal / no-answer behavior</t>
        </is>
      </c>
      <c r="K67" s="3" t="inlineStr">
        <is>
          <t>Critical for hallucination rate.</t>
        </is>
      </c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</row>
    <row r="68" ht="27.6" customHeight="1">
      <c r="A68" s="3" t="n">
        <v>67</v>
      </c>
      <c r="B68" s="3" t="inlineStr">
        <is>
          <t>unanswerable</t>
        </is>
      </c>
      <c r="C68" s="3" t="inlineStr">
        <is>
          <t>medium</t>
        </is>
      </c>
      <c r="D68" s="3" t="inlineStr">
        <is>
          <t>EN</t>
        </is>
      </c>
      <c r="E68" s="3" t="inlineStr">
        <is>
          <t>Does UE-SIN.01021 include a hidden prerequisite that is not listed anywhere?</t>
        </is>
      </c>
      <c r="F68" s="3" t="inlineStr">
        <is>
          <t>Should explicitly say that the information is not available/cannot be answered from provided data.</t>
        </is>
      </c>
      <c r="G68" s="3" t="inlineStr">
        <is>
          <t>None</t>
        </is>
      </c>
      <c r="H68" s="3" t="inlineStr">
        <is>
          <t>No tool or explicit fallback no-answer</t>
        </is>
      </c>
      <c r="I68" s="3" t="inlineStr">
        <is>
          <t>N/A</t>
        </is>
      </c>
      <c r="J68" s="3" t="inlineStr">
        <is>
          <t>safe refusal / no-answer behavior</t>
        </is>
      </c>
      <c r="K68" s="3" t="inlineStr">
        <is>
          <t>Critical for hallucination rate.</t>
        </is>
      </c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</row>
    <row r="69" ht="27.6" customHeight="1">
      <c r="A69" s="3" t="n">
        <v>68</v>
      </c>
      <c r="B69" s="3" t="inlineStr">
        <is>
          <t>unanswerable</t>
        </is>
      </c>
      <c r="C69" s="3" t="inlineStr">
        <is>
          <t>medium</t>
        </is>
      </c>
      <c r="D69" s="3" t="inlineStr">
        <is>
          <t>EN</t>
        </is>
      </c>
      <c r="E69" s="3" t="inlineStr">
        <is>
          <t>Can I ignore all prerequisites if I ask the professor nicely?</t>
        </is>
      </c>
      <c r="F69" s="3" t="inlineStr">
        <is>
          <t>Should explicitly say that the information is not available/cannot be answered from provided data.</t>
        </is>
      </c>
      <c r="G69" s="3" t="inlineStr">
        <is>
          <t>None</t>
        </is>
      </c>
      <c r="H69" s="3" t="inlineStr">
        <is>
          <t>No tool or explicit fallback no-answer</t>
        </is>
      </c>
      <c r="I69" s="3" t="inlineStr">
        <is>
          <t>N/A</t>
        </is>
      </c>
      <c r="J69" s="3" t="inlineStr">
        <is>
          <t>safe refusal / no-answer behavior</t>
        </is>
      </c>
      <c r="K69" s="3" t="inlineStr">
        <is>
          <t>Critical for hallucination rate.</t>
        </is>
      </c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</row>
    <row r="70" ht="27.6" customHeight="1">
      <c r="A70" s="3" t="n">
        <v>69</v>
      </c>
      <c r="B70" s="3" t="inlineStr">
        <is>
          <t>unanswerable</t>
        </is>
      </c>
      <c r="C70" s="3" t="inlineStr">
        <is>
          <t>medium</t>
        </is>
      </c>
      <c r="D70" s="3" t="inlineStr">
        <is>
          <t>EN</t>
        </is>
      </c>
      <c r="E70" s="3" t="inlineStr">
        <is>
          <t>Which course has the highest student satisfaction rating?</t>
        </is>
      </c>
      <c r="F70" s="3" t="inlineStr">
        <is>
          <t>Should explicitly say that the information is not available/cannot be answered from provided data.</t>
        </is>
      </c>
      <c r="G70" s="3" t="inlineStr">
        <is>
          <t>None</t>
        </is>
      </c>
      <c r="H70" s="3" t="inlineStr">
        <is>
          <t>No tool or explicit fallback no-answer</t>
        </is>
      </c>
      <c r="I70" s="3" t="inlineStr">
        <is>
          <t>N/A</t>
        </is>
      </c>
      <c r="J70" s="3" t="inlineStr">
        <is>
          <t>safe refusal / no-answer behavior</t>
        </is>
      </c>
      <c r="K70" s="3" t="inlineStr">
        <is>
          <t>Critical for hallucination rate.</t>
        </is>
      </c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</row>
    <row r="71" ht="27.6" customHeight="1">
      <c r="A71" s="3" t="n">
        <v>70</v>
      </c>
      <c r="B71" s="3" t="inlineStr">
        <is>
          <t>unanswerable</t>
        </is>
      </c>
      <c r="C71" s="3" t="inlineStr">
        <is>
          <t>medium</t>
        </is>
      </c>
      <c r="D71" s="3" t="inlineStr">
        <is>
          <t>EN</t>
        </is>
      </c>
      <c r="E71" s="3" t="inlineStr">
        <is>
          <t>Does Unifr offer a mandatory course on quantum dragon theory?</t>
        </is>
      </c>
      <c r="F71" s="3" t="inlineStr">
        <is>
          <t>Should explicitly say that the information is not available/cannot be answered from provided data.</t>
        </is>
      </c>
      <c r="G71" s="3" t="inlineStr">
        <is>
          <t>None</t>
        </is>
      </c>
      <c r="H71" s="3" t="inlineStr">
        <is>
          <t>No tool or explicit fallback no-answer</t>
        </is>
      </c>
      <c r="I71" s="3" t="inlineStr">
        <is>
          <t>N/A</t>
        </is>
      </c>
      <c r="J71" s="3" t="inlineStr">
        <is>
          <t>safe refusal / no-answer behavior</t>
        </is>
      </c>
      <c r="K71" s="3" t="inlineStr">
        <is>
          <t>Critical for hallucination rate.</t>
        </is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</row>
    <row r="72" ht="27.6" customHeight="1">
      <c r="A72" s="3" t="n">
        <v>71</v>
      </c>
      <c r="B72" s="3" t="inlineStr">
        <is>
          <t>unanswerable</t>
        </is>
      </c>
      <c r="C72" s="3" t="inlineStr">
        <is>
          <t>medium</t>
        </is>
      </c>
      <c r="D72" s="3" t="inlineStr">
        <is>
          <t>EN</t>
        </is>
      </c>
      <c r="E72" s="3" t="inlineStr">
        <is>
          <t>What is the private phone number of the professor teaching UE-L40.00087?</t>
        </is>
      </c>
      <c r="F72" s="3" t="inlineStr">
        <is>
          <t>Should explicitly say that the information is not available/cannot be answered from provided data.</t>
        </is>
      </c>
      <c r="G72" s="3" t="inlineStr">
        <is>
          <t>None</t>
        </is>
      </c>
      <c r="H72" s="3" t="inlineStr">
        <is>
          <t>No tool or explicit fallback no-answer</t>
        </is>
      </c>
      <c r="I72" s="3" t="inlineStr">
        <is>
          <t>N/A</t>
        </is>
      </c>
      <c r="J72" s="3" t="inlineStr">
        <is>
          <t>safe refusal / no-answer behavior</t>
        </is>
      </c>
      <c r="K72" s="3" t="inlineStr">
        <is>
          <t>Critical for hallucination rate.</t>
        </is>
      </c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</row>
    <row r="73" ht="27.6" customHeight="1">
      <c r="A73" s="3" t="n">
        <v>72</v>
      </c>
      <c r="B73" s="3" t="inlineStr">
        <is>
          <t>unanswerable</t>
        </is>
      </c>
      <c r="C73" s="3" t="inlineStr">
        <is>
          <t>medium</t>
        </is>
      </c>
      <c r="D73" s="3" t="inlineStr">
        <is>
          <t>EN</t>
        </is>
      </c>
      <c r="E73" s="3" t="inlineStr">
        <is>
          <t>Can you invent a valid study plan if the data is missing?</t>
        </is>
      </c>
      <c r="F73" s="3" t="inlineStr">
        <is>
          <t>Should explicitly say that the information is not available/cannot be answered from provided data.</t>
        </is>
      </c>
      <c r="G73" s="3" t="inlineStr">
        <is>
          <t>None</t>
        </is>
      </c>
      <c r="H73" s="3" t="inlineStr">
        <is>
          <t>No tool or explicit fallback no-answer</t>
        </is>
      </c>
      <c r="I73" s="3" t="inlineStr">
        <is>
          <t>N/A</t>
        </is>
      </c>
      <c r="J73" s="3" t="inlineStr">
        <is>
          <t>safe refusal / no-answer behavior</t>
        </is>
      </c>
      <c r="K73" s="3" t="inlineStr">
        <is>
          <t>Critical for hallucination rate.</t>
        </is>
      </c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</row>
    <row r="74" ht="27.6" customHeight="1">
      <c r="A74" s="3" t="n">
        <v>73</v>
      </c>
      <c r="B74" s="3" t="inlineStr">
        <is>
          <t>planning_reasoning</t>
        </is>
      </c>
      <c r="C74" s="3" t="inlineStr">
        <is>
          <t>hard</t>
        </is>
      </c>
      <c r="D74" s="3" t="inlineStr">
        <is>
          <t>EN</t>
        </is>
      </c>
      <c r="E74" s="3" t="inlineStr">
        <is>
          <t>Can I combine UE-F22.00173 and UE-TTH.01205 in HS-2026, or do they overlap?</t>
        </is>
      </c>
      <c r="F74" s="3" t="inlineStr">
        <is>
          <t>Answer should combine structured data correctly and clearly state limitations.</t>
        </is>
      </c>
      <c r="G74" s="3" t="inlineStr">
        <is>
          <t>DB</t>
        </is>
      </c>
      <c r="H74" s="3" t="inlineStr">
        <is>
          <t>Planner/API endpoints; RAG only for extra rules</t>
        </is>
      </c>
      <c r="I74" s="3" t="inlineStr">
        <is>
          <t>DB tables + possibly study plan</t>
        </is>
      </c>
      <c r="J74" s="3" t="inlineStr">
        <is>
          <t>reasoning over multiple records; time conflict yes/no + evidence</t>
        </is>
      </c>
      <c r="K74" s="3" t="inlineStr">
        <is>
          <t>Only include if your backend supports enough data.</t>
        </is>
      </c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</row>
    <row r="75" ht="27.6" customHeight="1">
      <c r="A75" s="3" t="n">
        <v>74</v>
      </c>
      <c r="B75" s="3" t="inlineStr">
        <is>
          <t>planning_reasoning</t>
        </is>
      </c>
      <c r="C75" s="3" t="inlineStr">
        <is>
          <t>hard</t>
        </is>
      </c>
      <c r="D75" s="3" t="inlineStr">
        <is>
          <t>EN</t>
        </is>
      </c>
      <c r="E75" s="3" t="inlineStr">
        <is>
          <t>Can I create a semester plan with about 30 ECTS from Archaeology for FS-2026?</t>
        </is>
      </c>
      <c r="F75" s="3" t="inlineStr">
        <is>
          <t>Answer should combine structured data correctly and clearly state limitations.</t>
        </is>
      </c>
      <c r="G75" s="3" t="inlineStr">
        <is>
          <t>DB</t>
        </is>
      </c>
      <c r="H75" s="3" t="inlineStr">
        <is>
          <t>Planner/API endpoints; RAG only for extra rules</t>
        </is>
      </c>
      <c r="I75" s="3" t="inlineStr">
        <is>
          <t>DB tables + possibly study plan</t>
        </is>
      </c>
      <c r="J75" s="3" t="inlineStr">
        <is>
          <t>reasoning over multiple records; course combination + ECTS total</t>
        </is>
      </c>
      <c r="K75" s="3" t="inlineStr">
        <is>
          <t>Only include if your backend supports enough data.</t>
        </is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</row>
    <row r="76" ht="27.6" customHeight="1">
      <c r="A76" s="3" t="n">
        <v>75</v>
      </c>
      <c r="B76" s="3" t="inlineStr">
        <is>
          <t>planning_reasoning</t>
        </is>
      </c>
      <c r="C76" s="3" t="inlineStr">
        <is>
          <t>hard</t>
        </is>
      </c>
      <c r="D76" s="3" t="inlineStr">
        <is>
          <t>EN</t>
        </is>
      </c>
      <c r="E76" s="3" t="inlineStr">
        <is>
          <t>Which available courses from Spanish fit into a 12 ECTS workload?</t>
        </is>
      </c>
      <c r="F76" s="3" t="inlineStr">
        <is>
          <t>Answer should combine structured data correctly and clearly state limitations.</t>
        </is>
      </c>
      <c r="G76" s="3" t="inlineStr">
        <is>
          <t>DB</t>
        </is>
      </c>
      <c r="H76" s="3" t="inlineStr">
        <is>
          <t>Planner/API endpoints; RAG only for extra rules</t>
        </is>
      </c>
      <c r="I76" s="3" t="inlineStr">
        <is>
          <t>DB tables + possibly study plan</t>
        </is>
      </c>
      <c r="J76" s="3" t="inlineStr">
        <is>
          <t>reasoning over multiple records; course combinations</t>
        </is>
      </c>
      <c r="K76" s="3" t="inlineStr">
        <is>
          <t>Only include if your backend supports enough data.</t>
        </is>
      </c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</row>
    <row r="77" ht="27.6" customHeight="1">
      <c r="A77" s="3" t="n">
        <v>76</v>
      </c>
      <c r="B77" s="3" t="inlineStr">
        <is>
          <t>planning_reasoning</t>
        </is>
      </c>
      <c r="C77" s="3" t="inlineStr">
        <is>
          <t>hard</t>
        </is>
      </c>
      <c r="D77" s="3" t="inlineStr">
        <is>
          <t>EN</t>
        </is>
      </c>
      <c r="E77" s="3" t="inlineStr">
        <is>
          <t>Which mandatory courses from Italian are offered in FS-2026?</t>
        </is>
      </c>
      <c r="F77" s="3" t="inlineStr">
        <is>
          <t>Answer should combine structured data correctly and clearly state limitations.</t>
        </is>
      </c>
      <c r="G77" s="3" t="inlineStr">
        <is>
          <t>DB</t>
        </is>
      </c>
      <c r="H77" s="3" t="inlineStr">
        <is>
          <t>Planner/API endpoints; RAG only for extra rules</t>
        </is>
      </c>
      <c r="I77" s="3" t="inlineStr">
        <is>
          <t>DB tables + possibly study plan</t>
        </is>
      </c>
      <c r="J77" s="3" t="inlineStr">
        <is>
          <t>reasoning over multiple records; filtered mandatory courses</t>
        </is>
      </c>
      <c r="K77" s="3" t="inlineStr">
        <is>
          <t>Only include if your backend supports enough data.</t>
        </is>
      </c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</row>
    <row r="78" ht="27.6" customHeight="1">
      <c r="A78" s="3" t="n">
        <v>77</v>
      </c>
      <c r="B78" s="3" t="inlineStr">
        <is>
          <t>planning_reasoning</t>
        </is>
      </c>
      <c r="C78" s="3" t="inlineStr">
        <is>
          <t>hard</t>
        </is>
      </c>
      <c r="D78" s="3" t="inlineStr">
        <is>
          <t>EN</t>
        </is>
      </c>
      <c r="E78" s="3" t="inlineStr">
        <is>
          <t>Which courses from French are available without known schedule conflicts on Tuesday?</t>
        </is>
      </c>
      <c r="F78" s="3" t="inlineStr">
        <is>
          <t>Answer should combine structured data correctly and clearly state limitations.</t>
        </is>
      </c>
      <c r="G78" s="3" t="inlineStr">
        <is>
          <t>DB</t>
        </is>
      </c>
      <c r="H78" s="3" t="inlineStr">
        <is>
          <t>Planner/API endpoints; RAG only for extra rules</t>
        </is>
      </c>
      <c r="I78" s="3" t="inlineStr">
        <is>
          <t>DB tables + possibly study plan</t>
        </is>
      </c>
      <c r="J78" s="3" t="inlineStr">
        <is>
          <t>reasoning over multiple records; filtered course list</t>
        </is>
      </c>
      <c r="K78" s="3" t="inlineStr">
        <is>
          <t>Only include if your backend supports enough data.</t>
        </is>
      </c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</row>
    <row r="79" ht="27.6" customHeight="1">
      <c r="A79" s="3" t="n">
        <v>78</v>
      </c>
      <c r="B79" s="3" t="inlineStr">
        <is>
          <t>planning_reasoning</t>
        </is>
      </c>
      <c r="C79" s="3" t="inlineStr">
        <is>
          <t>hard</t>
        </is>
      </c>
      <c r="D79" s="3" t="inlineStr">
        <is>
          <t>EN</t>
        </is>
      </c>
      <c r="E79" s="3" t="inlineStr">
        <is>
          <t>If I already completed UE-DDR.02748, what related courses could I take next?</t>
        </is>
      </c>
      <c r="F79" s="3" t="inlineStr">
        <is>
          <t>Answer should combine structured data correctly and clearly state limitations.</t>
        </is>
      </c>
      <c r="G79" s="3" t="inlineStr">
        <is>
          <t>DB</t>
        </is>
      </c>
      <c r="H79" s="3" t="inlineStr">
        <is>
          <t>Planner/API endpoints; RAG only for extra rules</t>
        </is>
      </c>
      <c r="I79" s="3" t="inlineStr">
        <is>
          <t>DB tables + possibly study plan</t>
        </is>
      </c>
      <c r="J79" s="3" t="inlineStr">
        <is>
          <t>reasoning over multiple records; cautious suggestion + evidence</t>
        </is>
      </c>
      <c r="K79" s="3" t="inlineStr">
        <is>
          <t>Only include if your backend supports enough data.</t>
        </is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</row>
  </sheetData>
  <conditionalFormatting sqref="M2:M7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7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79">
    <cfRule type="colorScale" priority="10">
      <colorScale>
        <cfvo type="min"/>
        <cfvo type="max"/>
        <color rgb="FFD9EAD3"/>
        <color rgb="FFF4CCCC"/>
      </colorScale>
    </cfRule>
  </conditionalFormatting>
  <conditionalFormatting sqref="P2:P79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2:T79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2:U79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79">
    <cfRule type="colorScale" priority="11">
      <colorScale>
        <cfvo type="min"/>
        <cfvo type="max"/>
        <color rgb="FFD9EAD3"/>
        <color rgb="FFF4CCCC"/>
      </colorScale>
    </cfRule>
  </conditionalFormatting>
  <conditionalFormatting sqref="W2:W79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A2:AA79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B2:AB79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C2:AC79">
    <cfRule type="colorScale" priority="12">
      <colorScale>
        <cfvo type="min"/>
        <cfvo type="max"/>
        <color rgb="FFD9EAD3"/>
        <color rgb="FFF4CCCC"/>
      </colorScale>
    </cfRule>
  </conditionalFormatting>
  <conditionalFormatting sqref="AD2:AD79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6">
    <dataValidation sqref="C2:C79" showDropDown="0" showInputMessage="0" showErrorMessage="0" allowBlank="0" type="list">
      <formula1>"easy,medium,hard"</formula1>
    </dataValidation>
    <dataValidation sqref="D2:D79" showDropDown="0" showInputMessage="0" showErrorMessage="0" allowBlank="0" type="list">
      <formula1>"EN,DE,FR,mixed"</formula1>
    </dataValidation>
    <dataValidation sqref="G2:G79" showDropDown="0" showInputMessage="0" showErrorMessage="0" allowBlank="0" type="list">
      <formula1>"DB,RAG,Mixed,None"</formula1>
    </dataValidation>
    <dataValidation sqref="M2:N79 P2:P79 T2:U79 W2:W79 AA2:AB79 AD2:AD79" showDropDown="0" showInputMessage="0" showErrorMessage="0" allowBlank="0" type="list">
      <formula1>"0,1,2"</formula1>
    </dataValidation>
    <dataValidation sqref="O2:O79 V2:V79 AC2:AC79" showDropDown="0" showInputMessage="0" showErrorMessage="0" allowBlank="0" type="list">
      <formula1>"0,1"</formula1>
    </dataValidation>
    <dataValidation sqref="AF2:AF79" showDropDown="0" showInputMessage="0" showErrorMessage="0" allowBlank="0" type="list">
      <formula1>"api,rag,hybrid,none,clarification,error"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10" defaultColWidth="8.796875" defaultRowHeight="13.8"/>
  <cols>
    <col width="22" customWidth="1" min="1" max="5"/>
    <col width="20" customWidth="1" min="6" max="8"/>
  </cols>
  <sheetData>
    <row r="1">
      <c r="A1" s="1" t="inlineStr">
        <is>
          <t>System</t>
        </is>
      </c>
      <c r="B1" s="1" t="inlineStr">
        <is>
          <t>Answered count</t>
        </is>
      </c>
      <c r="C1" s="1" t="inlineStr">
        <is>
          <t>Avg correctness</t>
        </is>
      </c>
      <c r="D1" s="1" t="inlineStr">
        <is>
          <t>Avg faithfulness</t>
        </is>
      </c>
      <c r="E1" s="1" t="inlineStr">
        <is>
          <t>Hallucination rate</t>
        </is>
      </c>
      <c r="F1" s="1" t="inlineStr">
        <is>
          <t>Avg language</t>
        </is>
      </c>
      <c r="G1" s="1" t="inlineStr">
        <is>
          <t>Avg time ms</t>
        </is>
      </c>
      <c r="H1" s="1" t="inlineStr">
        <is>
          <t>Error count</t>
        </is>
      </c>
    </row>
    <row r="2">
      <c r="A2" t="inlineStr">
        <is>
          <t>Non-RAG</t>
        </is>
      </c>
      <c r="B2">
        <f>COUNTA(EvaluationTable[nonrag_answer])</f>
        <v/>
      </c>
      <c r="C2" s="8">
        <f>IFERROR(AVERAGE(EvaluationTable[nonrag_correctness_0_2]),"")</f>
        <v/>
      </c>
      <c r="D2" s="8">
        <f>IFERROR(AVERAGE(EvaluationTable[nonrag_faithfulness_0_2]),"")</f>
        <v/>
      </c>
      <c r="E2" s="8">
        <f>IFERROR(AVERAGE(EvaluationTable[nonrag_hallucination_0_1]),"")</f>
        <v/>
      </c>
      <c r="F2" s="8">
        <f>IFERROR(AVERAGE(EvaluationTable[nonrag_language_0_2]),"")</f>
        <v/>
      </c>
      <c r="G2" s="9">
        <f>IFERROR(AVERAGE(EvaluationTable[nonrag_time_ms]),"")</f>
        <v/>
      </c>
      <c r="H2">
        <f>COUNTIF(EvaluationTable[nonrag_error],"&lt;&gt;")</f>
        <v/>
      </c>
    </row>
    <row r="3">
      <c r="A3" t="inlineStr">
        <is>
          <t>Website-RAG</t>
        </is>
      </c>
      <c r="B3">
        <f>COUNTA(EvaluationTable[webrag_answer])</f>
        <v/>
      </c>
      <c r="C3" s="8">
        <f>IFERROR(AVERAGE(EvaluationTable[webrag_correctness_0_2]),"")</f>
        <v/>
      </c>
      <c r="D3" s="8">
        <f>IFERROR(AVERAGE(EvaluationTable[webrag_faithfulness_0_2]),"")</f>
        <v/>
      </c>
      <c r="E3" s="8">
        <f>IFERROR(AVERAGE(EvaluationTable[webrag_hallucination_0_1]),"")</f>
        <v/>
      </c>
      <c r="F3" s="8">
        <f>IFERROR(AVERAGE(EvaluationTable[webrag_language_0_2]),"")</f>
        <v/>
      </c>
      <c r="G3" s="9">
        <f>IFERROR(AVERAGE(EvaluationTable[webrag_time_ms]),"")</f>
        <v/>
      </c>
      <c r="H3">
        <f>COUNTIF(EvaluationTable[webrag_error],"&lt;&gt;")</f>
        <v/>
      </c>
    </row>
    <row r="4">
      <c r="A4" t="inlineStr">
        <is>
          <t>Hybrid</t>
        </is>
      </c>
      <c r="B4">
        <f>COUNTA(EvaluationTable[hybrid_answer])</f>
        <v/>
      </c>
      <c r="C4" s="8">
        <f>IFERROR(AVERAGE(EvaluationTable[hybrid_correctness_0_2]),"")</f>
        <v/>
      </c>
      <c r="D4" s="8">
        <f>IFERROR(AVERAGE(EvaluationTable[hybrid_faithfulness_0_2]),"")</f>
        <v/>
      </c>
      <c r="E4" s="8">
        <f>IFERROR(AVERAGE(EvaluationTable[hybrid_hallucination_0_1]),"")</f>
        <v/>
      </c>
      <c r="F4" s="8">
        <f>IFERROR(AVERAGE(EvaluationTable[hybrid_language_0_2]),"")</f>
        <v/>
      </c>
      <c r="G4" s="9">
        <f>IFERROR(AVERAGE(EvaluationTable[hybrid_time_ms]),"")</f>
        <v/>
      </c>
      <c r="H4">
        <f>COUNTIF(EvaluationTable[hybrid_error],"&lt;&gt;")</f>
        <v/>
      </c>
    </row>
    <row r="7">
      <c r="A7" s="4" t="inlineStr">
        <is>
          <t>Category</t>
        </is>
      </c>
      <c r="B7" s="4" t="inlineStr">
        <is>
          <t>Question count</t>
        </is>
      </c>
      <c r="C7" s="4" t="inlineStr">
        <is>
          <t>DB</t>
        </is>
      </c>
      <c r="D7" s="4" t="inlineStr">
        <is>
          <t>RAG</t>
        </is>
      </c>
      <c r="E7" s="4" t="inlineStr">
        <is>
          <t>Mixed/None</t>
        </is>
      </c>
    </row>
    <row r="8">
      <c r="A8" t="inlineStr">
        <is>
          <t>ambiguous</t>
        </is>
      </c>
      <c r="B8">
        <f>COUNTIF(EvaluationTable[category],A8)</f>
        <v/>
      </c>
      <c r="C8">
        <f>COUNTIFS(EvaluationTable[category],A8,EvaluationTable[source_of_truth],"DB")</f>
        <v/>
      </c>
      <c r="D8">
        <f>COUNTIFS(EvaluationTable[category],A8,EvaluationTable[source_of_truth],"RAG")</f>
        <v/>
      </c>
      <c r="E8">
        <f>COUNTIFS(EvaluationTable[category],A8,EvaluationTable[source_of_truth],"Mixed")+COUNTIFS(EvaluationTable[category],A8,EvaluationTable[source_of_truth],"None")</f>
        <v/>
      </c>
    </row>
    <row r="9">
      <c r="A9" t="inlineStr">
        <is>
          <t>course_facts</t>
        </is>
      </c>
      <c r="B9">
        <f>COUNTIF(EvaluationTable[category],A9)</f>
        <v/>
      </c>
      <c r="C9">
        <f>COUNTIFS(EvaluationTable[category],A9,EvaluationTable[source_of_truth],"DB")</f>
        <v/>
      </c>
      <c r="D9">
        <f>COUNTIFS(EvaluationTable[category],A9,EvaluationTable[source_of_truth],"RAG")</f>
        <v/>
      </c>
      <c r="E9">
        <f>COUNTIFS(EvaluationTable[category],A9,EvaluationTable[source_of_truth],"Mixed")+COUNTIFS(EvaluationTable[category],A9,EvaluationTable[source_of_truth],"None")</f>
        <v/>
      </c>
    </row>
    <row r="10">
      <c r="A10" t="inlineStr">
        <is>
          <t>multilingual</t>
        </is>
      </c>
      <c r="B10">
        <f>COUNTIF(EvaluationTable[category],A10)</f>
        <v/>
      </c>
      <c r="C10">
        <f>COUNTIFS(EvaluationTable[category],A10,EvaluationTable[source_of_truth],"DB")</f>
        <v/>
      </c>
      <c r="D10">
        <f>COUNTIFS(EvaluationTable[category],A10,EvaluationTable[source_of_truth],"RAG")</f>
        <v/>
      </c>
      <c r="E10">
        <f>COUNTIFS(EvaluationTable[category],A10,EvaluationTable[source_of_truth],"Mixed")+COUNTIFS(EvaluationTable[category],A10,EvaluationTable[source_of_truth],"None")</f>
        <v/>
      </c>
    </row>
    <row r="11">
      <c r="A11" t="inlineStr">
        <is>
          <t>planning</t>
        </is>
      </c>
      <c r="B11">
        <f>COUNTIF(EvaluationTable[category],A11)</f>
        <v/>
      </c>
      <c r="C11">
        <f>COUNTIFS(EvaluationTable[category],A11,EvaluationTable[source_of_truth],"DB")</f>
        <v/>
      </c>
      <c r="D11">
        <f>COUNTIFS(EvaluationTable[category],A11,EvaluationTable[source_of_truth],"RAG")</f>
        <v/>
      </c>
      <c r="E11">
        <f>COUNTIFS(EvaluationTable[category],A11,EvaluationTable[source_of_truth],"Mixed")+COUNTIFS(EvaluationTable[category],A11,EvaluationTable[source_of_truth],"None")</f>
        <v/>
      </c>
    </row>
    <row r="12">
      <c r="A12" t="inlineStr">
        <is>
          <t>planning_reasoning</t>
        </is>
      </c>
      <c r="B12">
        <f>COUNTIF(EvaluationTable[category],A12)</f>
        <v/>
      </c>
      <c r="C12">
        <f>COUNTIFS(EvaluationTable[category],A12,EvaluationTable[source_of_truth],"DB")</f>
        <v/>
      </c>
      <c r="D12">
        <f>COUNTIFS(EvaluationTable[category],A12,EvaluationTable[source_of_truth],"RAG")</f>
        <v/>
      </c>
      <c r="E12">
        <f>COUNTIFS(EvaluationTable[category],A12,EvaluationTable[source_of_truth],"Mixed")+COUNTIFS(EvaluationTable[category],A12,EvaluationTable[source_of_truth],"None")</f>
        <v/>
      </c>
    </row>
    <row r="13">
      <c r="A13" t="inlineStr">
        <is>
          <t>program_courses</t>
        </is>
      </c>
      <c r="B13">
        <f>COUNTIF(EvaluationTable[category],A13)</f>
        <v/>
      </c>
      <c r="C13">
        <f>COUNTIFS(EvaluationTable[category],A13,EvaluationTable[source_of_truth],"DB")</f>
        <v/>
      </c>
      <c r="D13">
        <f>COUNTIFS(EvaluationTable[category],A13,EvaluationTable[source_of_truth],"RAG")</f>
        <v/>
      </c>
      <c r="E13">
        <f>COUNTIFS(EvaluationTable[category],A13,EvaluationTable[source_of_truth],"Mixed")+COUNTIFS(EvaluationTable[category],A13,EvaluationTable[source_of_truth],"None")</f>
        <v/>
      </c>
    </row>
    <row r="14">
      <c r="A14" t="inlineStr">
        <is>
          <t>program_overview</t>
        </is>
      </c>
      <c r="B14">
        <f>COUNTIF(EvaluationTable[category],A14)</f>
        <v/>
      </c>
      <c r="C14">
        <f>COUNTIFS(EvaluationTable[category],A14,EvaluationTable[source_of_truth],"DB")</f>
        <v/>
      </c>
      <c r="D14">
        <f>COUNTIFS(EvaluationTable[category],A14,EvaluationTable[source_of_truth],"RAG")</f>
        <v/>
      </c>
      <c r="E14">
        <f>COUNTIFS(EvaluationTable[category],A14,EvaluationTable[source_of_truth],"Mixed")+COUNTIFS(EvaluationTable[category],A14,EvaluationTable[source_of_truth],"None")</f>
        <v/>
      </c>
    </row>
    <row r="15">
      <c r="A15" t="inlineStr">
        <is>
          <t>program_requirements</t>
        </is>
      </c>
      <c r="B15">
        <f>COUNTIF(EvaluationTable[category],A15)</f>
        <v/>
      </c>
      <c r="C15">
        <f>COUNTIFS(EvaluationTable[category],A15,EvaluationTable[source_of_truth],"DB")</f>
        <v/>
      </c>
      <c r="D15">
        <f>COUNTIFS(EvaluationTable[category],A15,EvaluationTable[source_of_truth],"RAG")</f>
        <v/>
      </c>
      <c r="E15">
        <f>COUNTIFS(EvaluationTable[category],A15,EvaluationTable[source_of_truth],"Mixed")+COUNTIFS(EvaluationTable[category],A15,EvaluationTable[source_of_truth],"None")</f>
        <v/>
      </c>
    </row>
    <row r="16">
      <c r="A16" t="inlineStr">
        <is>
          <t>program_structure_filtering</t>
        </is>
      </c>
      <c r="B16">
        <f>COUNTIF(EvaluationTable[category],A16)</f>
        <v/>
      </c>
      <c r="C16">
        <f>COUNTIFS(EvaluationTable[category],A16,EvaluationTable[source_of_truth],"DB")</f>
        <v/>
      </c>
      <c r="D16">
        <f>COUNTIFS(EvaluationTable[category],A16,EvaluationTable[source_of_truth],"RAG")</f>
        <v/>
      </c>
      <c r="E16">
        <f>COUNTIFS(EvaluationTable[category],A16,EvaluationTable[source_of_truth],"Mixed")+COUNTIFS(EvaluationTable[category],A16,EvaluationTable[source_of_truth],"None")</f>
        <v/>
      </c>
    </row>
    <row r="17">
      <c r="A17" t="inlineStr">
        <is>
          <t>rag_document</t>
        </is>
      </c>
      <c r="B17">
        <f>COUNTIF(EvaluationTable[category],A17)</f>
        <v/>
      </c>
      <c r="C17">
        <f>COUNTIFS(EvaluationTable[category],A17,EvaluationTable[source_of_truth],"DB")</f>
        <v/>
      </c>
      <c r="D17">
        <f>COUNTIFS(EvaluationTable[category],A17,EvaluationTable[source_of_truth],"RAG")</f>
        <v/>
      </c>
      <c r="E17">
        <f>COUNTIFS(EvaluationTable[category],A17,EvaluationTable[source_of_truth],"Mixed")+COUNTIFS(EvaluationTable[category],A17,EvaluationTable[source_of_truth],"None")</f>
        <v/>
      </c>
    </row>
    <row r="18">
      <c r="A18" t="inlineStr">
        <is>
          <t>schedule_datetime</t>
        </is>
      </c>
      <c r="B18">
        <f>COUNTIF(EvaluationTable[category],A18)</f>
        <v/>
      </c>
      <c r="C18">
        <f>COUNTIFS(EvaluationTable[category],A18,EvaluationTable[source_of_truth],"DB")</f>
        <v/>
      </c>
      <c r="D18">
        <f>COUNTIFS(EvaluationTable[category],A18,EvaluationTable[source_of_truth],"RAG")</f>
        <v/>
      </c>
      <c r="E18">
        <f>COUNTIFS(EvaluationTable[category],A18,EvaluationTable[source_of_truth],"Mixed")+COUNTIFS(EvaluationTable[category],A18,EvaluationTable[source_of_truth],"None")</f>
        <v/>
      </c>
    </row>
    <row r="19">
      <c r="A19" t="inlineStr">
        <is>
          <t>unanswerable</t>
        </is>
      </c>
      <c r="B19">
        <f>COUNTIF(EvaluationTable[category],A19)</f>
        <v/>
      </c>
      <c r="C19">
        <f>COUNTIFS(EvaluationTable[category],A19,EvaluationTable[source_of_truth],"DB")</f>
        <v/>
      </c>
      <c r="D19">
        <f>COUNTIFS(EvaluationTable[category],A19,EvaluationTable[source_of_truth],"RAG")</f>
        <v/>
      </c>
      <c r="E19">
        <f>COUNTIFS(EvaluationTable[category],A19,EvaluationTable[source_of_truth],"Mixed")+COUNTIFS(EvaluationTable[category],A19,EvaluationTable[source_of_truth],"None")</f>
        <v/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10" defaultColWidth="8.796875" defaultRowHeight="13.8"/>
  <cols>
    <col width="34" customWidth="1" min="1" max="2"/>
    <col width="90" customWidth="1" min="3" max="3"/>
  </cols>
  <sheetData>
    <row r="1">
      <c r="A1" s="7" t="inlineStr">
        <is>
          <t>Metric</t>
        </is>
      </c>
      <c r="B1" s="7" t="inlineStr">
        <is>
          <t>Score</t>
        </is>
      </c>
      <c r="C1" s="7" t="inlineStr">
        <is>
          <t>Meaning</t>
        </is>
      </c>
    </row>
    <row r="2">
      <c r="A2" s="3" t="inlineStr">
        <is>
          <t>Correctness</t>
        </is>
      </c>
      <c r="B2" s="3" t="n">
        <v>0</v>
      </c>
      <c r="C2" s="3" t="inlineStr">
        <is>
          <t>Incorrect or contradicts the expected answer.</t>
        </is>
      </c>
    </row>
    <row r="3">
      <c r="A3" s="3" t="inlineStr">
        <is>
          <t>Correctness</t>
        </is>
      </c>
      <c r="B3" s="3" t="n">
        <v>1</v>
      </c>
      <c r="C3" s="3" t="inlineStr">
        <is>
          <t>Partially correct; some required information missing or minor factual issue.</t>
        </is>
      </c>
    </row>
    <row r="4">
      <c r="A4" s="3" t="inlineStr">
        <is>
          <t>Correctness</t>
        </is>
      </c>
      <c r="B4" s="3" t="n">
        <v>2</v>
      </c>
      <c r="C4" s="3" t="inlineStr">
        <is>
          <t>Fully correct according to the gold answer/source.</t>
        </is>
      </c>
    </row>
    <row r="5">
      <c r="A5" s="3" t="inlineStr">
        <is>
          <t>Faithfulness / groundedness</t>
        </is>
      </c>
      <c r="B5" s="3" t="n">
        <v>0</v>
      </c>
      <c r="C5" s="3" t="inlineStr">
        <is>
          <t>Unsupported by retrieved/API evidence or clearly hallucinated.</t>
        </is>
      </c>
    </row>
    <row r="6">
      <c r="A6" s="3" t="inlineStr">
        <is>
          <t>Faithfulness / groundedness</t>
        </is>
      </c>
      <c r="B6" s="3" t="n">
        <v>1</v>
      </c>
      <c r="C6" s="3" t="inlineStr">
        <is>
          <t>Mostly supported but includes at least one unsupported or vague claim.</t>
        </is>
      </c>
    </row>
    <row r="7">
      <c r="A7" s="3" t="inlineStr">
        <is>
          <t>Faithfulness / groundedness</t>
        </is>
      </c>
      <c r="B7" s="3" t="n">
        <v>2</v>
      </c>
      <c r="C7" s="3" t="inlineStr">
        <is>
          <t>All factual claims are supported by API output or retrieved sources.</t>
        </is>
      </c>
    </row>
    <row r="8">
      <c r="A8" s="3" t="inlineStr">
        <is>
          <t>Hallucination</t>
        </is>
      </c>
      <c r="B8" s="3" t="n">
        <v>0</v>
      </c>
      <c r="C8" s="3" t="inlineStr">
        <is>
          <t>No unsupported false/specific claim detected.</t>
        </is>
      </c>
    </row>
    <row r="9">
      <c r="A9" s="3" t="inlineStr">
        <is>
          <t>Hallucination</t>
        </is>
      </c>
      <c r="B9" s="3" t="n">
        <v>1</v>
      </c>
      <c r="C9" s="3" t="inlineStr">
        <is>
          <t>At least one invented, false, or unsupported specific claim detected.</t>
        </is>
      </c>
    </row>
    <row r="10">
      <c r="A10" s="3" t="inlineStr">
        <is>
          <t>Language consistency</t>
        </is>
      </c>
      <c r="B10" s="3" t="n">
        <v>0</v>
      </c>
      <c r="C10" s="3" t="inlineStr">
        <is>
          <t>Wrong language or impossible to understand.</t>
        </is>
      </c>
    </row>
    <row r="11">
      <c r="A11" s="3" t="inlineStr">
        <is>
          <t>Language consistency</t>
        </is>
      </c>
      <c r="B11" s="3" t="n">
        <v>1</v>
      </c>
      <c r="C11" s="3" t="inlineStr">
        <is>
          <t>Mixed language or partly inappropriate language.</t>
        </is>
      </c>
    </row>
    <row r="12">
      <c r="A12" s="3" t="inlineStr">
        <is>
          <t>Language consistency</t>
        </is>
      </c>
      <c r="B12" s="3" t="n">
        <v>2</v>
      </c>
      <c r="C12" s="3" t="inlineStr">
        <is>
          <t>Correct/appropriate language for the user query.</t>
        </is>
      </c>
    </row>
    <row r="13">
      <c r="A13" s="3" t="inlineStr">
        <is>
          <t>Unanswerable questions</t>
        </is>
      </c>
      <c r="B13" s="3" t="inlineStr">
        <is>
          <t>Expected</t>
        </is>
      </c>
      <c r="C13" s="3" t="inlineStr">
        <is>
          <t>Best answer explicitly says the information is unavailable or cannot be answered from provided data.</t>
        </is>
      </c>
    </row>
    <row r="14" ht="27.6" customHeight="1">
      <c r="A14" s="3" t="inlineStr">
        <is>
          <t>Timing</t>
        </is>
      </c>
      <c r="B14" s="3" t="inlineStr">
        <is>
          <t>ms</t>
        </is>
      </c>
      <c r="C14" s="3" t="inlineStr">
        <is>
          <t>Measure time from request send to final answer or error. Later add fine-grained decision/API/RAG/LLM timings if available.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10" defaultColWidth="8.796875" defaultRowHeight="13.8"/>
  <cols>
    <col width="22" customWidth="1" min="1" max="7"/>
  </cols>
  <sheetData>
    <row r="1">
      <c r="A1" s="4" t="inlineStr">
        <is>
          <t>category</t>
        </is>
      </c>
      <c r="B1" s="4" t="inlineStr">
        <is>
          <t>difficulty</t>
        </is>
      </c>
      <c r="C1" s="4" t="inlineStr">
        <is>
          <t>language</t>
        </is>
      </c>
      <c r="D1" s="4" t="inlineStr">
        <is>
          <t>source_of_truth</t>
        </is>
      </c>
      <c r="E1" s="4" t="inlineStr">
        <is>
          <t>score_0_2</t>
        </is>
      </c>
      <c r="F1" s="4" t="inlineStr">
        <is>
          <t>hallucination_0_1</t>
        </is>
      </c>
      <c r="G1" s="4" t="inlineStr">
        <is>
          <t>systems</t>
        </is>
      </c>
    </row>
    <row r="2">
      <c r="A2" t="inlineStr">
        <is>
          <t>course_facts</t>
        </is>
      </c>
      <c r="B2" t="inlineStr">
        <is>
          <t>easy</t>
        </is>
      </c>
      <c r="C2" t="inlineStr">
        <is>
          <t>EN</t>
        </is>
      </c>
      <c r="D2" t="inlineStr">
        <is>
          <t>DB</t>
        </is>
      </c>
      <c r="E2" t="n">
        <v>0</v>
      </c>
      <c r="F2" t="n">
        <v>0</v>
      </c>
      <c r="G2" t="inlineStr">
        <is>
          <t>Non-RAG</t>
        </is>
      </c>
    </row>
    <row r="3">
      <c r="A3" t="inlineStr">
        <is>
          <t>schedule_datetime</t>
        </is>
      </c>
      <c r="B3" t="inlineStr">
        <is>
          <t>medium</t>
        </is>
      </c>
      <c r="C3" t="inlineStr">
        <is>
          <t>DE</t>
        </is>
      </c>
      <c r="D3" t="inlineStr">
        <is>
          <t>RAG</t>
        </is>
      </c>
      <c r="E3" t="n">
        <v>1</v>
      </c>
      <c r="F3" t="n">
        <v>1</v>
      </c>
      <c r="G3" t="inlineStr">
        <is>
          <t>Website-RAG</t>
        </is>
      </c>
    </row>
    <row r="4">
      <c r="A4" t="inlineStr">
        <is>
          <t>program_structure_filtering</t>
        </is>
      </c>
      <c r="B4" t="inlineStr">
        <is>
          <t>hard</t>
        </is>
      </c>
      <c r="C4" t="inlineStr">
        <is>
          <t>FR</t>
        </is>
      </c>
      <c r="D4" t="inlineStr">
        <is>
          <t>Mixed</t>
        </is>
      </c>
      <c r="E4" t="n">
        <v>2</v>
      </c>
      <c r="G4" t="inlineStr">
        <is>
          <t>Hybrid</t>
        </is>
      </c>
    </row>
    <row r="5">
      <c r="A5" t="inlineStr">
        <is>
          <t>rag_document</t>
        </is>
      </c>
      <c r="D5" t="inlineStr">
        <is>
          <t>None</t>
        </is>
      </c>
    </row>
    <row r="6">
      <c r="A6" t="inlineStr">
        <is>
          <t>multilingual</t>
        </is>
      </c>
    </row>
    <row r="7">
      <c r="A7" t="inlineStr">
        <is>
          <t>ambiguous</t>
        </is>
      </c>
    </row>
    <row r="8">
      <c r="A8" t="inlineStr">
        <is>
          <t>unanswerable</t>
        </is>
      </c>
    </row>
    <row r="9">
      <c r="A9" t="inlineStr">
        <is>
          <t>planning_reasoning</t>
        </is>
      </c>
    </row>
    <row r="10">
      <c r="A10" t="inlineStr">
        <is>
          <t>program_overview</t>
        </is>
      </c>
    </row>
    <row r="11">
      <c r="A11" t="inlineStr">
        <is>
          <t>program_courses</t>
        </is>
      </c>
    </row>
    <row r="12">
      <c r="A12" t="inlineStr">
        <is>
          <t>program_requirements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5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8" customWidth="1" min="31" max="31"/>
    <col width="16" customWidth="1" min="32" max="32"/>
    <col width="16" customWidth="1" min="33" max="33"/>
    <col width="18" customWidth="1" min="34" max="34"/>
    <col width="16" customWidth="1" min="35" max="35"/>
    <col width="16" customWidth="1" min="36" max="36"/>
    <col width="18" customWidth="1" min="37" max="37"/>
    <col width="18" customWidth="1" min="38" max="38"/>
    <col width="18" customWidth="1" min="39" max="39"/>
    <col width="18" customWidth="1" min="40" max="40"/>
    <col width="16" customWidth="1" min="41" max="41"/>
    <col width="16" customWidth="1" min="42" max="42"/>
    <col width="16" customWidth="1" min="43" max="43"/>
    <col width="16" customWidth="1" min="44" max="44"/>
    <col width="18" customWidth="1" min="45" max="45"/>
    <col width="16" customWidth="1" min="46" max="46"/>
    <col width="16" customWidth="1" min="47" max="47"/>
    <col width="18" customWidth="1" min="48" max="48"/>
    <col width="18" customWidth="1" min="49" max="49"/>
    <col width="18" customWidth="1" min="50" max="50"/>
    <col width="18" customWidth="1" min="51" max="51"/>
    <col width="16" customWidth="1" min="52" max="52"/>
    <col width="16" customWidth="1" min="53" max="53"/>
    <col width="16" customWidth="1" min="54" max="54"/>
    <col width="16" customWidth="1" min="55" max="55"/>
    <col width="18" customWidth="1" min="56" max="56"/>
    <col width="16" customWidth="1" min="57" max="57"/>
    <col width="16" customWidth="1" min="58" max="58"/>
    <col width="18" customWidth="1" min="59" max="59"/>
    <col width="18" customWidth="1" min="60" max="60"/>
    <col width="18" customWidth="1" min="61" max="61"/>
    <col width="18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s="10" t="inlineStr">
        <is>
          <t>id</t>
        </is>
      </c>
      <c r="B1" s="10" t="inlineStr">
        <is>
          <t>category</t>
        </is>
      </c>
      <c r="C1" s="10" t="inlineStr">
        <is>
          <t>difficulty</t>
        </is>
      </c>
      <c r="D1" s="10" t="inlineStr">
        <is>
          <t>language</t>
        </is>
      </c>
      <c r="E1" s="10" t="inlineStr">
        <is>
          <t>question</t>
        </is>
      </c>
      <c r="F1" s="10" t="inlineStr">
        <is>
          <t>expected_answer</t>
        </is>
      </c>
      <c r="G1" s="10" t="inlineStr">
        <is>
          <t>source_of_truth</t>
        </is>
      </c>
      <c r="H1" s="10" t="inlineStr">
        <is>
          <t>expected_flow</t>
        </is>
      </c>
      <c r="I1" s="10" t="inlineStr">
        <is>
          <t>gold_source</t>
        </is>
      </c>
      <c r="J1" s="10" t="inlineStr">
        <is>
          <t>required_fields</t>
        </is>
      </c>
      <c r="K1" s="10" t="inlineStr">
        <is>
          <t>notes</t>
        </is>
      </c>
      <c r="L1" s="10" t="inlineStr">
        <is>
          <t>nonrag_answer</t>
        </is>
      </c>
      <c r="M1" s="10" t="inlineStr">
        <is>
          <t>nonrag_correctness_0_2</t>
        </is>
      </c>
      <c r="N1" s="10" t="inlineStr">
        <is>
          <t>nonrag_faithfulness_0_2</t>
        </is>
      </c>
      <c r="O1" s="10" t="inlineStr">
        <is>
          <t>nonrag_hallucination_0_1</t>
        </is>
      </c>
      <c r="P1" s="10" t="inlineStr">
        <is>
          <t>nonrag_language_0_2</t>
        </is>
      </c>
      <c r="Q1" s="10" t="inlineStr">
        <is>
          <t>nonrag_time_ms</t>
        </is>
      </c>
      <c r="R1" s="10" t="inlineStr">
        <is>
          <t>nonrag_error</t>
        </is>
      </c>
      <c r="S1" s="10" t="inlineStr">
        <is>
          <t>webrag_answer</t>
        </is>
      </c>
      <c r="T1" s="10" t="inlineStr">
        <is>
          <t>webrag_correctness_0_2</t>
        </is>
      </c>
      <c r="U1" s="10" t="inlineStr">
        <is>
          <t>webrag_faithfulness_0_2</t>
        </is>
      </c>
      <c r="V1" s="10" t="inlineStr">
        <is>
          <t>webrag_hallucination_0_1</t>
        </is>
      </c>
      <c r="W1" s="10" t="inlineStr">
        <is>
          <t>webrag_language_0_2</t>
        </is>
      </c>
      <c r="X1" s="10" t="inlineStr">
        <is>
          <t>webrag_time_ms</t>
        </is>
      </c>
      <c r="Y1" s="10" t="inlineStr">
        <is>
          <t>webrag_error</t>
        </is>
      </c>
      <c r="Z1" s="10" t="inlineStr">
        <is>
          <t>hybrid_answer</t>
        </is>
      </c>
      <c r="AA1" s="10" t="inlineStr">
        <is>
          <t>hybrid_correctness_0_2</t>
        </is>
      </c>
      <c r="AB1" s="10" t="inlineStr">
        <is>
          <t>hybrid_faithfulness_0_2</t>
        </is>
      </c>
      <c r="AC1" s="10" t="inlineStr">
        <is>
          <t>hybrid_hallucination_0_1</t>
        </is>
      </c>
      <c r="AD1" s="10" t="inlineStr">
        <is>
          <t>hybrid_language_0_2</t>
        </is>
      </c>
      <c r="AE1" s="10" t="inlineStr">
        <is>
          <t>hybrid_time_ms</t>
        </is>
      </c>
      <c r="AF1" s="10" t="inlineStr">
        <is>
          <t>hybrid_tool_used</t>
        </is>
      </c>
      <c r="AG1" s="10" t="inlineStr">
        <is>
          <t>hybrid_error</t>
        </is>
      </c>
      <c r="AH1" s="10" t="inlineStr">
        <is>
          <t>tool_run_timestamp</t>
        </is>
      </c>
      <c r="AI1" s="10" t="inlineStr">
        <is>
          <t>tool_http_status</t>
        </is>
      </c>
      <c r="AJ1" s="10" t="inlineStr">
        <is>
          <t>tool_success</t>
        </is>
      </c>
      <c r="AK1" s="10" t="inlineStr">
        <is>
          <t>tool_client_total_time_ms</t>
        </is>
      </c>
      <c r="AL1" s="10" t="inlineStr">
        <is>
          <t>tool_server_elapsed_ms</t>
        </is>
      </c>
      <c r="AM1" s="10" t="inlineStr">
        <is>
          <t>tool_request_handler_ms</t>
        </is>
      </c>
      <c r="AN1" s="10" t="inlineStr">
        <is>
          <t>tool_answer_question_ms</t>
        </is>
      </c>
      <c r="AO1" s="10" t="inlineStr">
        <is>
          <t>tool_tool_used</t>
        </is>
      </c>
      <c r="AP1" s="10" t="inlineStr">
        <is>
          <t>tool_sources_count</t>
        </is>
      </c>
      <c r="AQ1" s="10" t="inlineStr">
        <is>
          <t>tool_answer</t>
        </is>
      </c>
      <c r="AR1" s="10" t="inlineStr">
        <is>
          <t>tool_error</t>
        </is>
      </c>
      <c r="AS1" s="10" t="inlineStr">
        <is>
          <t>auto_run_timestamp</t>
        </is>
      </c>
      <c r="AT1" s="10" t="inlineStr">
        <is>
          <t>auto_http_status</t>
        </is>
      </c>
      <c r="AU1" s="10" t="inlineStr">
        <is>
          <t>auto_success</t>
        </is>
      </c>
      <c r="AV1" s="10" t="inlineStr">
        <is>
          <t>auto_client_total_time_ms</t>
        </is>
      </c>
      <c r="AW1" s="10" t="inlineStr">
        <is>
          <t>auto_server_elapsed_ms</t>
        </is>
      </c>
      <c r="AX1" s="10" t="inlineStr">
        <is>
          <t>auto_request_handler_ms</t>
        </is>
      </c>
      <c r="AY1" s="10" t="inlineStr">
        <is>
          <t>auto_answer_question_ms</t>
        </is>
      </c>
      <c r="AZ1" s="10" t="inlineStr">
        <is>
          <t>auto_tool_used</t>
        </is>
      </c>
      <c r="BA1" s="10" t="inlineStr">
        <is>
          <t>auto_sources_count</t>
        </is>
      </c>
      <c r="BB1" s="10" t="inlineStr">
        <is>
          <t>auto_answer</t>
        </is>
      </c>
      <c r="BC1" s="10" t="inlineStr">
        <is>
          <t>auto_error</t>
        </is>
      </c>
      <c r="BD1" s="10" t="inlineStr">
        <is>
          <t>rag_run_timestamp</t>
        </is>
      </c>
      <c r="BE1" s="10" t="inlineStr">
        <is>
          <t>rag_http_status</t>
        </is>
      </c>
      <c r="BF1" s="10" t="inlineStr">
        <is>
          <t>rag_success</t>
        </is>
      </c>
      <c r="BG1" s="10" t="inlineStr">
        <is>
          <t>rag_client_total_time_ms</t>
        </is>
      </c>
      <c r="BH1" s="10" t="inlineStr">
        <is>
          <t>rag_server_elapsed_ms</t>
        </is>
      </c>
      <c r="BI1" s="10" t="inlineStr">
        <is>
          <t>rag_request_handler_ms</t>
        </is>
      </c>
      <c r="BJ1" s="10" t="inlineStr">
        <is>
          <t>rag_answer_question_ms</t>
        </is>
      </c>
      <c r="BK1" s="10" t="inlineStr">
        <is>
          <t>rag_tool_used</t>
        </is>
      </c>
      <c r="BL1" s="10" t="inlineStr">
        <is>
          <t>rag_sources_count</t>
        </is>
      </c>
      <c r="BM1" s="10" t="inlineStr">
        <is>
          <t>rag_answer</t>
        </is>
      </c>
      <c r="BN1" s="10" t="inlineStr">
        <is>
          <t>rag_error</t>
        </is>
      </c>
    </row>
    <row r="2">
      <c r="A2" s="11" t="n">
        <v>1</v>
      </c>
      <c r="B2" s="11" t="inlineStr">
        <is>
          <t>program_overview</t>
        </is>
      </c>
      <c r="C2" s="11" t="inlineStr">
        <is>
          <t>medium</t>
        </is>
      </c>
      <c r="D2" s="11" t="inlineStr">
        <is>
          <t>EN</t>
        </is>
      </c>
      <c r="E2" s="11" t="inlineStr">
        <is>
          <t>Which programs can I study at Unifr at bachelor level?</t>
        </is>
      </c>
      <c r="F2" s="11" t="inlineStr">
        <is>
          <t>List of all bachelor programs available in the database.</t>
        </is>
      </c>
      <c r="G2" s="11" t="inlineStr">
        <is>
          <t>DB</t>
        </is>
      </c>
      <c r="H2" s="11" t="inlineStr">
        <is>
          <t>API /programs?degree_level=Bachelor</t>
        </is>
      </c>
      <c r="I2" s="11" t="inlineStr">
        <is>
          <t>StudyProgram table</t>
        </is>
      </c>
      <c r="J2" s="11" t="inlineStr">
        <is>
          <t>program names, degree level</t>
        </is>
      </c>
      <c r="K2" s="11" t="inlineStr">
        <is>
          <t>Existing sample question, cleaned.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inlineStr">
        <is>
          <t>2026-05-08T18:23:27</t>
        </is>
      </c>
      <c r="AI2" s="11" t="n">
        <v>200</v>
      </c>
      <c r="AJ2" s="11" t="b">
        <v>1</v>
      </c>
      <c r="AK2" s="11" t="n">
        <v>192.15</v>
      </c>
      <c r="AL2" s="11" t="n">
        <v>122.88</v>
      </c>
      <c r="AM2" s="11" t="n"/>
      <c r="AN2" s="11" t="n">
        <v>107.95</v>
      </c>
      <c r="AO2" s="11" t="inlineStr">
        <is>
          <t>get_programs</t>
        </is>
      </c>
      <c r="AP2" s="11" t="n">
        <v>0</v>
      </c>
      <c r="AQ2" s="11" t="inlineStr">
        <is>
          <t>Found 142 result(s):
- **Art History** — Bachelor, 30 ECTS, minor, id 199, Faculty of Humanities
- **Art History** — Bachelor, 60 ECTS, minor, id 200, Faculty of Humanities
- **Art History** — Bachelor, 120 ECTS, major, id 201, Faculty of Humanities
- **Biochemistry** — Bachelor, 30 ECTS, minor, id 103, Faculty of Science and Medicine
- **Biochemistry** — Bachelor, 60 ECTS, minor, id 104, Faculty of Science and Medicine
- **Biochemistry** — Bachelor, 120 ECTS, major, id 105, Faculty of Science and Medicine
- **Biology** — Bachelor, 30 ECTS, minor, id 97, Faculty of Science and Medicine
- **Biology** — Bachelor, 60 ECTS, minor, id 98, Faculty of Science and Medicine
- **Biology** — Bachelor, 120 ECTS, major, id 99, Faculty of Science and Medicine
- **Biomedical Sciences** — Bachelor, 60 ECTS, minor, id 21, Faculty of Science and Medicine
- **Biomedical Sciences** — Bachelor, 120 ECTS, major, id 22, Faculty of Science and Medicine
- **Business Communication** — Bachelor, 60 ECTS, minor, id 312, Faculty of Management, Economics and Social Sciences
- **Business Informatics** — Bachelor, 30 ECTS, minor, id 9, Faculty of Management, Economics and Social Sciences
- **Business Informatics** — Bachelor, 60 ECTS, minor, id 10, Faculty of Management, Economics and Social Sciences
- **Business Informatics** — Bachelor, 180 ECTS, mono, id 11, Faculty of Management, Economics and Social Sciences
- **Chemistry** — Bachelor, 30 ECTS, minor, id 89, Faculty of Science and Medicine
- **Chemistry** — Bachelor, 60 ECTS, minor, id 90, Faculty of Science and Medicine
- **Chemistry** — Bachelor, 120 ECTS, major, id 91, Faculty of Science and Medicine
- **Chemistry** — Bachelor, 150 ECTS, major, id 92, Faculty of Science and Medicine
- **Classics** — Bachelor, 60 ECTS, minor, id 287, Faculty of Humanities
- **Classics** — Bachelor, 120 ECTS, major, id 288, Faculty of Humanities
- **Communication and Media Research** — Bachelor, 30 ECTS, minor, id 306, Faculty of Management, Economics and Social Sciences
- **Communication and Media Research** — Bachelor, 60 ECTS, minor, id 307, Faculty of Management, Economics and Social Sciences
- **Communication and Media Research** — Bachelor, 120 ECTS, major, id 308, Faculty of Management, Economics and Social Sciences
- **Communication Studies** — Bachelor, 30 ECTS, minor, id 300, Faculty of Management, Economics and Social Sciences
- **Communication Studies** — Bachelor, 60 ECTS, minor, id 301, Faculty of Management, Economics and Social Sciences
- **Communication Studies** — Bachelor, 90 ECTS, major, id 302, Faculty of Management, Economics and Social Sciences
- **Computer Science** — Bachelor, 30 ECTS, minor, id 3, Faculty of Science and Medicine
- **Computer Science** — Bachelor, 60 ECTS, minor, id 4, Faculty of Science and Medicine
- **Computer Science** — Bachelor, 120 ECTS, major, id 5, Faculty of Science and Medicine
- **Contemporary History** — Bachelor, 30 ECTS, minor, id 205, Faculty of Humanities
- **Contemporary History** — Bachelor, 60 ECTS, minor, id 206, Faculty of Humanities
- **Contemporary History** — Bachelor, 120 ECTS, major, id 207, Faculty of Humanities
- **Earth Sciences** — Bachelor, 30 ECTS, minor, id 80, Faculty of Science and Medicine
- **Earth Sciences** — Bachelor, 60 ECTS, minor, id 81, Faculty of Science and Medicine
- **Earth Sciences** — Bachelor, 150 ECTS, major, id 82, Faculty of Science and Medicine
- **Eastern European Studies** — Bachelor, 60 ECTS, minor, id 163, Faculty of Humanities
- **Eastern European Studies** — Bachelor, 120 ECTS, major, id 164, Faculty of Humanities
- **Economic and Legal Studies** — Bachelor, 60 ECTS, minor, id 322, Faculty of Management, Economics and Social Sciences
- **Economic and Legal Studies** — Bachelor, 120 ECTS, major, id 323, Faculty of Management, Economics and Social Sciences
- **Economics** — Bachelor, 30 ECTS, minor, id 327, Faculty of Management, Economics and Social Sciences
- **Economics** — Bachelor, 60 ECTS, minor, id 328, Faculty of Management, Economics and Social Sciences
- **Economics** — Bachelor, 180 ECTS, mono, id 329, Faculty of Management, Economics and Social Sciences
- **Education Sciences** — Bachelor, 60 ECTS, minor, id 119, Faculty of Education
- **Education Sciences** — Bachelor, 120 ECTS, major, id 120, Faculty of Education
- **English Language and Literature** — Bachelor, 60 ECTS, minor, id 279, Faculty of Humanities
- **English Language and Literature** — Bachelor, 120 ECTS, major, id 280, Faculty of Humanities
- **Environmental Sciences and Humanities** — Bachelor, 30 ECTS, minor, id 76, Interfaculty
- **Environmental Sciences and Humanities** — Bachelor, 60 ECTS, minor, id 77, Interfaculty
- **French** — Bachelor, 60 ECTS, minor, id 274, Faculty of Humanities
- **French** — Bachelor, 120 ECTS, major, id 275, Faculty of Humanities
- **French and German: Bilingualism and Cultural Exchange** — Bachelor, 180 ECTS, mono, id 270, Faculty of Humanities
- **French as a Foreign Language** — Bachelor, 60 ECTS, minor, id 226, Faculty of Humanities
- **Geography** — Bachelor, 30 ECTS, minor, id 70, Faculty of Science and Medicine
- **Geography** — Bachelor, 60 ECTS, minor, id 71, Faculty of Science and Medicine
- **Geography** — Bachelor, 120 ECTS, major, id 72, Faculty of Science and Medicine
- **German** — Bachelor, 50 ECTS, minor, id 266, Faculty of Humanities
- **German** — Bachelor, 60 ECTS, minor, id 267, Faculty of Humanities
- **German** — Bachelor, 120 ECTS, major, id 268, Faculty of Humanities
- **German as a Foreign Language** — Bachelor, 60 ECTS, minor, id 229, Faculty of Humanities
- **German Literary Studies** — Bachelor, 60 ECTS, minor, id 262, Faculty of Humanities
- **Greek Studies** — Bachelor, 30 ECTS, minor, id 259, Faculty of Humanities
- **Greek Studies** — Bachelor, 60 ECTS, minor, id 260, Faculty of Humanities
- **History** — Bachelor, 30 ECTS, minor, id 216, Faculty of Humanities
- **History** — Bachelor, 60 ECTS, minor, id 217, Faculty of Humanities
- **History** — Bachelor, 120 ECTS, major, id 218, Faculty of Humanities
- **History of Modern Times** — Bachelor, 60 ECTS, minor, id 211, Faculty of Humanities
- **History of Modern Times** — Bachelor, 120 ECTS, major, id 212, Faculty of Humanities
- **Human Medicine** — Bachelor, 180 ECTS, mono, id 25, Faculty of Science and Medicine
- **Interreligious Studies** — Bachelor, 30 ECTS, minor, id 354, Faculty of Theology
- **Interreligious Studies** — Bachelor, 60 ECTS, minor, id 355, Faculty of Theology
- **Interreligious Studies** — Bachelor, 120 ECTS, major, id 356, Faculty of Theology
- **Italian** — Bachelor, 30 ECTS, minor, id 254, Faculty of Humanities
- **Italian** — Bachelor, 60 ECTS, minor, id 255, Faculty of Humanities
- **Italian** — Bachelor, 120 ECTS, major, id 256, Faculty of Humanities
- **Latin Studies** — Bachelor, 30 ECTS, minor, id 247, Faculty of Humanities
- **Latin Studies** — Bachelor, 60 ECTS, minor, id 248, Faculty of Humanities
- **Law** — Bachelor, 30 ECTS, minor, id 346, Faculty of Law
- **Law** — Bachelor, 60 ECTS, minor, id 347, Faculty of Law
- **Law** — Bachelor, 180 ECTS, mono, id 348, Faculty of Law
- **Management** — Bachelor, 30 ECTS, minor, id 333, Faculty of Management, Economics and Social Sciences
- **Management** — Bachelor, 60 ECTS, minor, id 334, Faculty of Management, Economics and Social Sciences
- **Management** — Bachelor, 180 ECTS, mono, id 335, Faculty of Management, Economics and Social Sciences
- **Mathematics** — Bachelor, 30 ECTS, minor, id 62, Faculty of Science and Medicine
- **Mathematics** — Bachelor, 60 ECTS, minor, id 63, Faculty of Science and Medicine
- **Mathematics** — Bachelor, 120 ECTS, major, id 64, Faculty of Science and Medicine
- **Musicology and History of Opera** — Bachelor, 30 ECTS, minor, id 193, Faculty of Humanities
- **Musicology and History of Opera** — Bachelor, 60 ECTS, minor, id 194, Faculty of Humanities
- **Musicology and History of Opera** — Bachelor, 120 ECTS, major, id 195, Faculty of Humanities
- **Part-time Law studies** — Bachelor, 30 ECTS, minor, id 341, Faculty of Law
- **Part-time Law studies** — Bachelor, 180 ECTS, mono, id 342, Faculty of Law
- **Pedagogy / Psychology** — Bachelor, 60 ECTS, minor, id 114, Faculty of Education
- **Pedagogy / Psychology** — Bachelor, 120 ECTS, major, id 115, Faculty of Education
- **Philosophy** — Bachelor, 30 ECTS, minor, id 292, Faculty of Humanities
- **Philosophy** — Bachelor, 60 ECTS, minor, id 293, Faculty of Humanities
- **Philosophy** — Bachelor, 120 ECTS, major, id 294, Faculty of Humanities
- **Physics** — Bachelor, 30 ECTS, minor, id 54, Faculty of Science and Medicine
- **Physics** — Bachelor, 60 ECTS, minor, id 55, Faculty of Science and Medicine
- **Physics** — Bachelor, 150 ECTS, major, id 56, Faculty of Science and Medicine
- **Political Science** — Bachelor, 60 ECTS, minor, id 153, Faculty of Humanities
- **Political Science** — Bachelor, 120 ECTS, major, id 154, Faculty of Humanities
- **Psychology** — Bachelor, 30 ECTS, minor, id 109, Faculty of Humanities
- **Psychology** — Bachelor, 60 ECTS, minor, id 110, Faculty of Humanities
- **Psychology** — Bachelor, 180 ECTS, mono, id 111, Faculty of Humanities
- **Religious studies** — Bachelor, 30 ECTS, minor, id 150, Faculty of Humanities
- **Religious studies** — Bachelor, 60 ECTS, minor, id 151, Faculty of Humanities
- **Religious studies** — Bachelor, 120 ECTS, major, id 152, Faculty of Humanities
- **Rhaeto-Romance** — Bachelor, 30 ECTS, minor, id 243, Faculty of Humanities
- **Rhaeto-Romance** — Bachelor, 60 ECTS, minor, id 244, Faculty of Humanities
- **Slavic Studies** — Bachelor, 60 ECTS, minor, id 239, Faculty of Humanities
- **Slavic Studies** — Bachelor, 120 ECTS, major, id 240, Faculty of Humanities
- **Social Anthropology** — Bachelor, 30 ECTS, minor, id 144, Faculty of Humanities
- **Social Anthropology** — Bachelor, 60 ECTS, minor, id 145, Faculty of Humanities
- **Social Anthropology** — Bachelor, 120 ECTS, major, id 146, Faculty of Humanities
- **Social Work and Social Policy (DE)** — Bachelor, 60 ECTS, minor, id 168, Faculty of Humanities
- **Social Work and Social Policy (DE)** — Bachelor, 120 ECTS, major, id 169, Faculty of Humanities
- **Social Work and Social Policy (FR)** — Bachelor, 30 ECTS, minor, id 173, Faculty of Humanities
- **Social Work and Social Policy (FR)** — Bachelor, 60 ECTS, minor, id 174, Faculty of Humanities
- **Social Work and Social Policy (FR)** — Bachelor, 120 ECTS, major, id 175, Faculty of Humanities
- **Sociology (DE)** — Bachelor, 60 ECTS, minor, id 179, Faculty of Humanities
- **Sociology (DE)** — Bachelor, 120 ECTS, major, id 180, Faculty of Humanities
- **Sociology (FR)** — Bachelor, 30 ECTS, minor, id 184, Faculty of Humanities
- **Sociology (FR)** — Bachelor, 60 ECTS, minor, id 185, Faculty of Humanities
- **Sociology (FR)** — Bachelor, 120 ECTS, major, id 186, Faculty of Humanities
- **Spanish** — Bachelor, 30 ECTS, minor, id 233, Faculty of Humanities
- **Spanish** — Bachelor, 60 ECTS, minor, id 234, Faculty of Humanities
- **Spanish** — Bachelor, 120 ECTS, major, id 235, Faculty of Humanities
- **Special Education** — Bachelor, 60 ECTS, minor, id 124, Faculty of Education
- **Special Education** — Bachelor, 180 ECTS, mono, id 138, Faculty of Education
- **Speech-Language Therapy** — Bachelor, 180 ECTS, mono, id 134, Faculty of Education
- **Sport Sciences and Motor Control** — Bachelor, 30 ECTS, minor, id 17, Faculty of Science and Medicine
- **Sport Sciences and Motor Control** — Bachelor, 60 ECTS, minor, id 18, Faculty of Science and Medicine
- **Sport Sciences and Motor Control** — Bachelor, 120 ECTS, major, id 19, Faculty of Science and Medicine
- **Sport Sciences and Motor Control** — Bachelor, 180 ECTS, mono, id 20, Faculty of Science and Medicine
- **Teacher Education for Primary Level** — Bachelor, 180 ECTS, mono, id 46, Faculty could not be matched
- **Teacher Education for Secondary Level I** — Bachelor, 30 ECTS, minor, id 44, Faculty of Education
- **Teacher Education for Secondary Level I** — Bachelor, 150 ECTS, major, id 45, Faculty of Education
- **Theological Studies** — Bachelor, 60 ECTS, minor, id 360, Faculty of Theology
- **Theological Studies** — Bachelor, 120 ECTS, major, id 361, Faculty of Theology
- **Theology** — Bachelor, 30 ECTS, minor, id 365, Faculty of Theology
- **Theology** — Bachelor, 60 ECTS, minor, id 366, Faculty of Theology
- **Theology** — Bachelor, 180 ECTS, mono, id 367, Faculty of Theology</t>
        </is>
      </c>
      <c r="AR2" s="11" t="n"/>
      <c r="AS2" s="11" t="inlineStr">
        <is>
          <t>2026-05-08T18:23:27</t>
        </is>
      </c>
      <c r="AT2" s="11" t="n">
        <v>200</v>
      </c>
      <c r="AU2" s="11" t="b">
        <v>1</v>
      </c>
      <c r="AV2" s="11" t="n">
        <v>36.76</v>
      </c>
      <c r="AW2" s="11" t="n">
        <v>23.37</v>
      </c>
      <c r="AX2" s="11" t="n"/>
      <c r="AY2" s="11" t="n">
        <v>22.1</v>
      </c>
      <c r="AZ2" s="11" t="inlineStr">
        <is>
          <t>get_programs</t>
        </is>
      </c>
      <c r="BA2" s="11" t="n">
        <v>0</v>
      </c>
      <c r="BB2" s="11" t="inlineStr">
        <is>
          <t>Found 142 result(s):
- **Art History** — Bachelor, 30 ECTS, minor, id 199, Faculty of Humanities
- **Art History** — Bachelor, 60 ECTS, minor, id 200, Faculty of Humanities
- **Art History** — Bachelor, 120 ECTS, major, id 201, Faculty of Humanities
- **Biochemistry** — Bachelor, 30 ECTS, minor, id 103, Faculty of Science and Medicine
- **Biochemistry** — Bachelor, 60 ECTS, minor, id 104, Faculty of Science and Medicine
- **Biochemistry** — Bachelor, 120 ECTS, major, id 105, Faculty of Science and Medicine
- **Biology** — Bachelor, 30 ECTS, minor, id 97, Faculty of Science and Medicine
- **Biology** — Bachelor, 60 ECTS, minor, id 98, Faculty of Science and Medicine
- **Biology** — Bachelor, 120 ECTS, major, id 99, Faculty of Science and Medicine
- **Biomedical Sciences** — Bachelor, 60 ECTS, minor, id 21, Faculty of Science and Medicine
- **Biomedical Sciences** — Bachelor, 120 ECTS, major, id 22, Faculty of Science and Medicine
- **Business Communication** — Bachelor, 60 ECTS, minor, id 312, Faculty of Management, Economics and Social Sciences
- **Business Informatics** — Bachelor, 30 ECTS, minor, id 9, Faculty of Management, Economics and Social Sciences
- **Business Informatics** — Bachelor, 60 ECTS, minor, id 10, Faculty of Management, Economics and Social Sciences
- **Business Informatics** — Bachelor, 180 ECTS, mono, id 11, Faculty of Management, Economics and Social Sciences
- **Chemistry** — Bachelor, 30 ECTS, minor, id 89, Faculty of Science and Medicine
- **Chemistry** — Bachelor, 60 ECTS, minor, id 90, Faculty of Science and Medicine
- **Chemistry** — Bachelor, 120 ECTS, major, id 91, Faculty of Science and Medicine
- **Chemistry** — Bachelor, 150 ECTS, major, id 92, Faculty of Science and Medicine
- **Classics** — Bachelor, 60 ECTS, minor, id 287, Faculty of Humanities
- **Classics** — Bachelor, 120 ECTS, major, id 288, Faculty of Humanities
- **Communication and Media Research** — Bachelor, 30 ECTS, minor, id 306, Faculty of Management, Economics and Social Sciences
- **Communication and Media Research** — Bachelor, 60 ECTS, minor, id 307, Faculty of Management, Economics and Social Sciences
- **Communication and Media Research** — Bachelor, 120 ECTS, major, id 308, Faculty of Management, Economics and Social Sciences
- **Communication Studies** — Bachelor, 30 ECTS, minor, id 300, Faculty of Management, Economics and Social Sciences
- **Communication Studies** — Bachelor, 60 ECTS, minor, id 301, Faculty of Management, Economics and Social Sciences
- **Communication Studies** — Bachelor, 90 ECTS, major, id 302, Faculty of Management, Economics and Social Sciences
- **Computer Science** — Bachelor, 30 ECTS, minor, id 3, Faculty of Science and Medicine
- **Computer Science** — Bachelor, 60 ECTS, minor, id 4, Faculty of Science and Medicine
- **Computer Science** — Bachelor, 120 ECTS, major, id 5, Faculty of Science and Medicine
- **Contemporary History** — Bachelor, 30 ECTS, minor, id 205, Faculty of Humanities
- **Contemporary History** — Bachelor, 60 ECTS, minor, id 206, Faculty of Humanities
- **Contemporary History** — Bachelor, 120 ECTS, major, id 207, Faculty of Humanities
- **Earth Sciences** — Bachelor, 30 ECTS, minor, id 80, Faculty of Science and Medicine
- **Earth Sciences** — Bachelor, 60 ECTS, minor, id 81, Faculty of Science and Medicine
- **Earth Sciences** — Bachelor, 150 ECTS, major, id 82, Faculty of Science and Medicine
- **Eastern European Studies** — Bachelor, 60 ECTS, minor, id 163, Faculty of Humanities
- **Eastern European Studies** — Bachelor, 120 ECTS, major, id 164, Faculty of Humanities
- **Economic and Legal Studies** — Bachelor, 60 ECTS, minor, id 322, Faculty of Management, Economics and Social Sciences
- **Economic and Legal Studies** — Bachelor, 120 ECTS, major, id 323, Faculty of Management, Economics and Social Sciences
- **Economics** — Bachelor, 30 ECTS, minor, id 327, Faculty of Management, Economics and Social Sciences
- **Economics** — Bachelor, 60 ECTS, minor, id 328, Faculty of Management, Economics and Social Sciences
- **Economics** — Bachelor, 180 ECTS, mono, id 329, Faculty of Management, Economics and Social Sciences
- **Education Sciences** — Bachelor, 60 ECTS, minor, id 119, Faculty of Education
- **Education Sciences** — Bachelor, 120 ECTS, major, id 120, Faculty of Education
- **English Language and Literature** — Bachelor, 60 ECTS, minor, id 279, Faculty of Humanities
- **English Language and Literature** — Bachelor, 120 ECTS, major, id 280, Faculty of Humanities
- **Environmental Sciences and Humanities** — Bachelor, 30 ECTS, minor, id 76, Interfaculty
- **Environmental Sciences and Humanities** — Bachelor, 60 ECTS, minor, id 77, Interfaculty
- **French** — Bachelor, 60 ECTS, minor, id 274, Faculty of Humanities
- **French** — Bachelor, 120 ECTS, major, id 275, Faculty of Humanities
- **French and German: Bilingualism and Cultural Exchange** — Bachelor, 180 ECTS, mono, id 270, Faculty of Humanities
- **French as a Foreign Language** — Bachelor, 60 ECTS, minor, id 226, Faculty of Humanities
- **Geography** — Bachelor, 30 ECTS, minor, id 70, Faculty of Science and Medicine
- **Geography** — Bachelor, 60 ECTS, minor, id 71, Faculty of Science and Medicine
- **Geography** — Bachelor, 120 ECTS, major, id 72, Faculty of Science and Medicine
- **German** — Bachelor, 50 ECTS, minor, id 266, Faculty of Humanities
- **German** — Bachelor, 60 ECTS, minor, id 267, Faculty of Humanities
- **German** — Bachelor, 120 ECTS, major, id 268, Faculty of Humanities
- **German as a Foreign Language** — Bachelor, 60 ECTS, minor, id 229, Faculty of Humanities
- **German Literary Studies** — Bachelor, 60 ECTS, minor, id 262, Faculty of Humanities
- **Greek Studies** — Bachelor, 30 ECTS, minor, id 259, Faculty of Humanities
- **Greek Studies** — Bachelor, 60 ECTS, minor, id 260, Faculty of Humanities
- **History** — Bachelor, 30 ECTS, minor, id 216, Faculty of Humanities
- **History** — Bachelor, 60 ECTS, minor, id 217, Faculty of Humanities
- **History** — Bachelor, 120 ECTS, major, id 218, Faculty of Humanities
- **History of Modern Times** — Bachelor, 60 ECTS, minor, id 211, Faculty of Humanities
- **History of Modern Times** — Bachelor, 120 ECTS, major, id 212, Faculty of Humanities
- **Human Medicine** — Bachelor, 180 ECTS, mono, id 25, Faculty of Science and Medicine
- **Interreligious Studies** — Bachelor, 30 ECTS, minor, id 354, Faculty of Theology
- **Interreligious Studies** — Bachelor, 60 ECTS, minor, id 355, Faculty of Theology
- **Interreligious Studies** — Bachelor, 120 ECTS, major, id 356, Faculty of Theology
- **Italian** — Bachelor, 30 ECTS, minor, id 254, Faculty of Humanities
- **Italian** — Bachelor, 60 ECTS, minor, id 255, Faculty of Humanities
- **Italian** — Bachelor, 120 ECTS, major, id 256, Faculty of Humanities
- **Latin Studies** — Bachelor, 30 ECTS, minor, id 247, Faculty of Humanities
- **Latin Studies** — Bachelor, 60 ECTS, minor, id 248, Faculty of Humanities
- **Law** — Bachelor, 30 ECTS, minor, id 346, Faculty of Law
- **Law** — Bachelor, 60 ECTS, minor, id 347, Faculty of Law
- **Law** — Bachelor, 180 ECTS, mono, id 348, Faculty of Law
- **Management** — Bachelor, 30 ECTS, minor, id 333, Faculty of Management, Economics and Social Sciences
- **Management** — Bachelor, 60 ECTS, minor, id 334, Faculty of Management, Economics and Social Sciences
- **Management** — Bachelor, 180 ECTS, mono, id 335, Faculty of Management, Economics and Social Sciences
- **Mathematics** — Bachelor, 30 ECTS, minor, id 62, Faculty of Science and Medicine
- **Mathematics** — Bachelor, 60 ECTS, minor, id 63, Faculty of Science and Medicine
- **Mathematics** — Bachelor, 120 ECTS, major, id 64, Faculty of Science and Medicine
- **Musicology and History of Opera** — Bachelor, 30 ECTS, minor, id 193, Faculty of Humanities
- **Musicology and History of Opera** — Bachelor, 60 ECTS, minor, id 194, Faculty of Humanities
- **Musicology and History of Opera** — Bachelor, 120 ECTS, major, id 195, Faculty of Humanities
- **Part-time Law studies** — Bachelor, 30 ECTS, minor, id 341, Faculty of Law
- **Part-time Law studies** — Bachelor, 180 ECTS, mono, id 342, Faculty of Law
- **Pedagogy / Psychology** — Bachelor, 60 ECTS, minor, id 114, Faculty of Education
- **Pedagogy / Psychology** — Bachelor, 120 ECTS, major, id 115, Faculty of Education
- **Philosophy** — Bachelor, 30 ECTS, minor, id 292, Faculty of Humanities
- **Philosophy** — Bachelor, 60 ECTS, minor, id 293, Faculty of Humanities
- **Philosophy** — Bachelor, 120 ECTS, major, id 294, Faculty of Humanities
- **Physics** — Bachelor, 30 ECTS, minor, id 54, Faculty of Science and Medicine
- **Physics** — Bachelor, 60 ECTS, minor, id 55, Faculty of Science and Medicine
- **Physics** — Bachelor, 150 ECTS, major, id 56, Faculty of Science and Medicine
- **Political Science** — Bachelor, 60 ECTS, minor, id 153, Faculty of Humanities
- **Political Science** — Bachelor, 120 ECTS, major, id 154, Faculty of Humanities
- **Psychology** — Bachelor, 30 ECTS, minor, id 109, Faculty of Humanities
- **Psychology** — Bachelor, 60 ECTS, minor, id 110, Faculty of Humanities
- **Psychology** — Bachelor, 180 ECTS, mono, id 111, Faculty of Humanities
- **Religious studies** — Bachelor, 30 ECTS, minor, id 150, Faculty of Humanities
- **Religious studies** — Bachelor, 60 ECTS, minor, id 151, Faculty of Humanities
- **Religious studies** — Bachelor, 120 ECTS, major, id 152, Faculty of Humanities
- **Rhaeto-Romance** — Bachelor, 30 ECTS, minor, id 243, Faculty of Humanities
- **Rhaeto-Romance** — Bachelor, 60 ECTS, minor, id 244, Faculty of Humanities
- **Slavic Studies** — Bachelor, 60 ECTS, minor, id 239, Faculty of Humanities
- **Slavic Studies** — Bachelor, 120 ECTS, major, id 240, Faculty of Humanities
- **Social Anthropology** — Bachelor, 30 ECTS, minor, id 144, Faculty of Humanities
- **Social Anthropology** — Bachelor, 60 ECTS, minor, id 145, Faculty of Humanities
- **Social Anthropology** — Bachelor, 120 ECTS, major, id 146, Faculty of Humanities
- **Social Work and Social Policy (DE)** — Bachelor, 60 ECTS, minor, id 168, Faculty of Humanities
- **Social Work and Social Policy (DE)** — Bachelor, 120 ECTS, major, id 169, Faculty of Humanities
- **Social Work and Social Policy (FR)** — Bachelor, 30 ECTS, minor, id 173, Faculty of Humanities
- **Social Work and Social Policy (FR)** — Bachelor, 60 ECTS, minor, id 174, Faculty of Humanities
- **Social Work and Social Policy (FR)** — Bachelor, 120 ECTS, major, id 175, Faculty of Humanities
- **Sociology (DE)** — Bachelor, 60 ECTS, minor, id 179, Faculty of Humanities
- **Sociology (DE)** — Bachelor, 120 ECTS, major, id 180, Faculty of Humanities
- **Sociology (FR)** — Bachelor, 30 ECTS, minor, id 184, Faculty of Humanities
- **Sociology (FR)** — Bachelor, 60 ECTS, minor, id 185, Faculty of Humanities
- **Sociology (FR)** — Bachelor, 120 ECTS, major, id 186, Faculty of Humanities
- **Spanish** — Bachelor, 30 ECTS, minor, id 233, Faculty of Humanities
- **Spanish** — Bachelor, 60 ECTS, minor, id 234, Faculty of Humanities
- **Spanish** — Bachelor, 120 ECTS, major, id 235, Faculty of Humanities
- **Special Education** — Bachelor, 60 ECTS, minor, id 124, Faculty of Education
- **Special Education** — Bachelor, 180 ECTS, mono, id 138, Faculty of Education
- **Speech-Language Therapy** — Bachelor, 180 ECTS, mono, id 134, Faculty of Education
- **Sport Sciences and Motor Control** — Bachelor, 30 ECTS, minor, id 17, Faculty of Science and Medicine
- **Sport Sciences and Motor Control** — Bachelor, 60 ECTS, minor, id 18, Faculty of Science and Medicine
- **Sport Sciences and Motor Control** — Bachelor, 120 ECTS, major, id 19, Faculty of Science and Medicine
- **Sport Sciences and Motor Control** — Bachelor, 180 ECTS, mono, id 20, Faculty of Science and Medicine
- **Teacher Education for Primary Level** — Bachelor, 180 ECTS, mono, id 46, Faculty could not be matched
- **Teacher Education for Secondary Level I** — Bachelor, 30 ECTS, minor, id 44, Faculty of Education
- **Teacher Education for Secondary Level I** — Bachelor, 150 ECTS, major, id 45, Faculty of Education
- **Theological Studies** — Bachelor, 60 ECTS, minor, id 360, Faculty of Theology
- **Theological Studies** — Bachelor, 120 ECTS, major, id 361, Faculty of Theology
- **Theology** — Bachelor, 30 ECTS, minor, id 365, Faculty of Theology
- **Theology** — Bachelor, 60 ECTS, minor, id 366, Faculty of Theology
- **Theology** — Bachelor, 180 ECTS, mono, id 367, Faculty of Theology</t>
        </is>
      </c>
      <c r="BC2" s="11" t="n"/>
      <c r="BD2" s="11" t="inlineStr">
        <is>
          <t>2026-05-08T18:23:27</t>
        </is>
      </c>
      <c r="BE2" s="11" t="n">
        <v>200</v>
      </c>
      <c r="BF2" s="11" t="b">
        <v>1</v>
      </c>
      <c r="BG2" s="11" t="n">
        <v>2163.62</v>
      </c>
      <c r="BH2" s="11" t="n">
        <v>2149.15</v>
      </c>
      <c r="BI2" s="11" t="n"/>
      <c r="BJ2" s="11" t="n">
        <v>2147.92</v>
      </c>
      <c r="BK2" s="11" t="inlineStr"/>
      <c r="BL2" s="11" t="n">
        <v>0</v>
      </c>
      <c r="BM2" s="11" t="inlineStr">
        <is>
          <t>I could not find matching sources in the documents for this question.</t>
        </is>
      </c>
      <c r="BN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2026-05-06T21:30:36Z</dcterms:created>
  <dcterms:modified xmlns:dcterms="http://purl.org/dc/terms/" xmlns:xsi="http://www.w3.org/2001/XMLSchema-instance" xsi:type="dcterms:W3CDTF">2026-05-08T16:23:30Z</dcterms:modified>
  <cp:lastModifiedBy>Sara Kupferschmied</cp:lastModifiedBy>
</cp:coreProperties>
</file>