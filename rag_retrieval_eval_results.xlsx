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G_Retrieval_Test" sheetId="1" state="visible" r:id="rId1"/>
    <sheet name="RAG_Retrieval_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pane ySplit="1" topLeftCell="A2" activePane="bottomLeft" state="frozen"/>
      <selection pane="bottomLeft" activeCell="A1" sqref="A1"/>
    </sheetView>
  </sheetViews>
  <sheetFormatPr baseColWidth="8" defaultRowHeight="15" outlineLevelCol="0"/>
  <cols>
    <col width="16" customWidth="1" min="1" max="1"/>
    <col width="28" customWidth="1" min="2" max="2"/>
    <col width="18" customWidth="1" min="3" max="3"/>
    <col width="18" customWidth="1" min="4" max="4"/>
    <col width="18" customWidth="1" min="5" max="5"/>
    <col width="18" customWidth="1" min="6" max="6"/>
    <col width="55" customWidth="1" min="7" max="7"/>
    <col width="55" customWidth="1" min="8" max="8"/>
    <col width="28" customWidth="1" min="9" max="9"/>
    <col width="18" customWidth="1" min="10" max="10"/>
    <col width="28" customWidth="1" min="11" max="11"/>
    <col width="18" customWidth="1" min="12" max="12"/>
    <col width="28" customWidth="1" min="13" max="13"/>
    <col width="18" customWidth="1" min="14" max="14"/>
    <col width="18" customWidth="1" min="15" max="15"/>
    <col width="18" customWidth="1" min="16" max="16"/>
    <col width="16" customWidth="1" min="17" max="17"/>
    <col width="16" customWidth="1" min="18" max="18"/>
    <col width="16" customWidth="1" min="19" max="19"/>
    <col width="28" customWidth="1" min="20" max="20"/>
    <col width="28" customWidth="1" min="21" max="21"/>
    <col width="55" customWidth="1" min="22" max="22"/>
    <col width="18" customWidth="1" min="23" max="23"/>
    <col width="28" customWidth="1" min="24" max="24"/>
    <col width="28" customWidth="1" min="25" max="25"/>
    <col width="28" customWidth="1" min="26" max="26"/>
    <col width="55" customWidth="1" min="27" max="27"/>
    <col width="45" customWidth="1" min="28" max="28"/>
    <col width="28" customWidth="1" min="29" max="29"/>
    <col width="28" customWidth="1" min="30" max="30"/>
    <col width="28" customWidth="1" min="31" max="31"/>
    <col width="55"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s>
  <sheetData>
    <row r="1">
      <c r="A1" s="1" t="inlineStr">
        <is>
          <t>run_timestamp</t>
        </is>
      </c>
      <c r="B1" s="1" t="inlineStr">
        <is>
          <t>source_row</t>
        </is>
      </c>
      <c r="C1" s="1" t="inlineStr">
        <is>
          <t>id</t>
        </is>
      </c>
      <c r="D1" s="1" t="inlineStr">
        <is>
          <t>category</t>
        </is>
      </c>
      <c r="E1" s="1" t="inlineStr">
        <is>
          <t>difficulty</t>
        </is>
      </c>
      <c r="F1" s="1" t="inlineStr">
        <is>
          <t>language</t>
        </is>
      </c>
      <c r="G1" s="1" t="inlineStr">
        <is>
          <t>question</t>
        </is>
      </c>
      <c r="H1" s="1" t="inlineStr">
        <is>
          <t>expected_answer</t>
        </is>
      </c>
      <c r="I1" s="1" t="inlineStr">
        <is>
          <t>source_of_truth</t>
        </is>
      </c>
      <c r="J1" s="1" t="inlineStr">
        <is>
          <t>expected_flow</t>
        </is>
      </c>
      <c r="K1" s="1" t="inlineStr">
        <is>
          <t>gold_source</t>
        </is>
      </c>
      <c r="L1" s="1" t="inlineStr">
        <is>
          <t>required_fields</t>
        </is>
      </c>
      <c r="M1" s="1" t="inlineStr">
        <is>
          <t>expected_source_category</t>
        </is>
      </c>
      <c r="N1" s="1" t="inlineStr">
        <is>
          <t>debug_http_status</t>
        </is>
      </c>
      <c r="O1" s="1" t="inlineStr">
        <is>
          <t>ask_http_status</t>
        </is>
      </c>
      <c r="P1" s="1" t="inlineStr">
        <is>
          <t>success</t>
        </is>
      </c>
      <c r="Q1" s="1" t="inlineStr">
        <is>
          <t>debug_time_ms</t>
        </is>
      </c>
      <c r="R1" s="1" t="inlineStr">
        <is>
          <t>ask_time_ms</t>
        </is>
      </c>
      <c r="S1" s="1" t="inlineStr">
        <is>
          <t>server_elapsed_ms</t>
        </is>
      </c>
      <c r="T1" s="1" t="inlineStr">
        <is>
          <t>sources_count_debug</t>
        </is>
      </c>
      <c r="U1" s="1" t="inlineStr">
        <is>
          <t>sources_count_ask</t>
        </is>
      </c>
      <c r="V1" s="1" t="inlineStr">
        <is>
          <t>answer</t>
        </is>
      </c>
      <c r="W1" s="1" t="inlineStr">
        <is>
          <t>error</t>
        </is>
      </c>
      <c r="X1" s="1" t="inlineStr">
        <is>
          <t>retrieved_source_keys</t>
        </is>
      </c>
      <c r="Y1" s="1" t="inlineStr">
        <is>
          <t>retrieved_source_categories</t>
        </is>
      </c>
      <c r="Z1" s="1" t="inlineStr">
        <is>
          <t>retrieved_source_pages</t>
        </is>
      </c>
      <c r="AA1" s="1" t="inlineStr">
        <is>
          <t>retrieved_sources_ranked</t>
        </is>
      </c>
      <c r="AB1" s="1" t="inlineStr">
        <is>
          <t>retrieved_sources_json</t>
        </is>
      </c>
      <c r="AC1" s="1" t="inlineStr">
        <is>
          <t>top1_source_key</t>
        </is>
      </c>
      <c r="AD1" s="1" t="inlineStr">
        <is>
          <t>top1_source_category</t>
        </is>
      </c>
      <c r="AE1" s="1" t="inlineStr">
        <is>
          <t>top1_source_page</t>
        </is>
      </c>
      <c r="AF1" s="1" t="inlineStr">
        <is>
          <t>top1_source_snippet</t>
        </is>
      </c>
      <c r="AG1" s="1" t="inlineStr">
        <is>
          <t>category_recall_at_1</t>
        </is>
      </c>
      <c r="AH1" s="1" t="inlineStr">
        <is>
          <t>category_recall_at_3</t>
        </is>
      </c>
      <c r="AI1" s="1" t="inlineStr">
        <is>
          <t>category_recall_at_5</t>
        </is>
      </c>
      <c r="AJ1" s="1" t="inlineStr">
        <is>
          <t>category_precision_at_5</t>
        </is>
      </c>
      <c r="AK1" s="1" t="inlineStr">
        <is>
          <t>category_mrr</t>
        </is>
      </c>
      <c r="AL1" s="1" t="inlineStr">
        <is>
          <t>manual_relevant_ranks</t>
        </is>
      </c>
      <c r="AM1" s="1" t="inlineStr">
        <is>
          <t>manual_recall_at_1</t>
        </is>
      </c>
      <c r="AN1" s="1" t="inlineStr">
        <is>
          <t>manual_recall_at_3</t>
        </is>
      </c>
      <c r="AO1" s="1" t="inlineStr">
        <is>
          <t>manual_recall_at_5</t>
        </is>
      </c>
      <c r="AP1" s="1" t="inlineStr">
        <is>
          <t>manual_precision_at_5</t>
        </is>
      </c>
      <c r="AQ1" s="1" t="inlineStr">
        <is>
          <t>manual_mrr</t>
        </is>
      </c>
      <c r="AR1" s="1" t="inlineStr">
        <is>
          <t>notes</t>
        </is>
      </c>
    </row>
    <row r="2">
      <c r="A2" s="2" t="inlineStr">
        <is>
          <t>2026-05-16T01:28:06</t>
        </is>
      </c>
      <c r="B2" s="2" t="n">
        <v>5</v>
      </c>
      <c r="C2" s="2" t="n">
        <v>4</v>
      </c>
      <c r="D2" s="2" t="inlineStr">
        <is>
          <t>program_requirements</t>
        </is>
      </c>
      <c r="E2" s="2" t="inlineStr">
        <is>
          <t>medium</t>
        </is>
      </c>
      <c r="F2" s="2" t="inlineStr">
        <is>
          <t>en</t>
        </is>
      </c>
      <c r="G2" s="2" t="inlineStr">
        <is>
          <t>How long does the bachelor program usually take?</t>
        </is>
      </c>
      <c r="H2" s="2" t="inlineStr">
        <is>
          <t>rag answer from base data</t>
        </is>
      </c>
      <c r="I2" s="2" t="inlineStr">
        <is>
          <t>RAG</t>
        </is>
      </c>
      <c r="J2" s="2" t="inlineStr">
        <is>
          <t>API first, RAG fallback</t>
        </is>
      </c>
      <c r="K2" s="2" t="inlineStr">
        <is>
          <t>StudyProgram table or regulation document</t>
        </is>
      </c>
      <c r="L2" s="2" t="inlineStr">
        <is>
          <t>duration semesters</t>
        </is>
      </c>
      <c r="M2" s="2" t="inlineStr">
        <is>
          <t>base_data</t>
        </is>
      </c>
      <c r="N2" s="2" t="n">
        <v>200</v>
      </c>
      <c r="O2" s="2" t="n">
        <v>200</v>
      </c>
      <c r="P2" s="2" t="n">
        <v>1</v>
      </c>
      <c r="Q2" s="2" t="n">
        <v>1307.84</v>
      </c>
      <c r="R2" s="2" t="n">
        <v>605815.27</v>
      </c>
      <c r="S2" s="2" t="n">
        <v>605872.25</v>
      </c>
      <c r="T2" s="2" t="n">
        <v>10</v>
      </c>
      <c r="U2" s="2" t="n">
        <v>8</v>
      </c>
      <c r="V2" s="2" t="inlineStr">
        <is>
          <t>I cannot find information about the duration of the Bachelor program in the provided documents. The documents appear to be related to submission, archiving, and publication requirements for various degrees (Bachelor, Master, Diplom, Kan. Lizentiat, Doktorat, Habilitation), but do not mention the typical duration of the Bachelor program.
However, based on the metadata of the documents, it is clear that they are all related to the same degree program (Theology) and have a total ECTS value of 60.</t>
        </is>
      </c>
      <c r="W2" s="2" t="inlineStr"/>
      <c r="X2" s="2" t="inlineStr">
        <is>
          <t>Bachelor_60_1d036b4e5f656b65bcfa7a6121fb5095582bb706.txt; Bachelor_60_1d036b4e5f656b65bcfa7a6121fb5095582bb706.txt;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t>
        </is>
      </c>
      <c r="Y2" s="2" t="inlineStr">
        <is>
          <t>studyplans; studyplans; studyplans; studyplans; studyplans; studyplans; studyplans; studyplans; studyplans; studyplans</t>
        </is>
      </c>
      <c r="Z2" s="2" t="inlineStr">
        <is>
          <t>1; 1; 1; 1; 1; 1; 1; 1; 1; 1</t>
        </is>
      </c>
      <c r="AA2" s="2" t="inlineStr">
        <is>
          <t>1. [studyplans] Bachelor_60_1d036b4e5f656b65bcfa7a6121fb5095582bb706.txt p.1 - Section: TABLE OF CONTENTS Table rows: - PREFACE: CONDITIONSANDMEASURESTO FACILITATE DOCTORAL JOURNEY; 3: 4 - PREFACE: INDIVIDUAL CHARACTERISTICS AND CONTEXTUAL FACTORS; 3: 5 - PREFACE: Individual characteristics; 3: 5 -
2. [studyplans] Bachelor_60_1d036b4e5f656b65bcfa7a6121fb5095582bb706.txt p.1 - ocuments; 3: 22 - PREFACE: Tools; 3: 23 - PREFACE: NOTES; 3: 24 Raw table: | PREFACE | 3 | |--------------------------------------------------------------|-----| | CONDITIONSANDMEASURESTO FACILITATE DOCTORAL JOURNEY | 4 
3. [studyplans] Bachelor_60_474591eeaefa6c5efdc21f30ddab4db20843f774.txt p.1 - Section: Abgabe - Archivierung - Veröffentlichung der wissenschaftlichen Abschlussarbeiten Table rows: - Bachelor: Abgabe; column_2: 1 PDF über MyUnifr 1 ; 3 gebundene Exemplare in Papierform an das Dekanat (davon je 1 E
4. [studyplans] Bachelor_60_474591eeaefa6c5efdc21f30ddab4db20843f774.txt p.1 - Section: Abgabe - Archivierung - Veröffentlichung der wissenschaftlichen Abschlussarbeiten Table rows: - Master, Diplom, Kan. Lizentiat: Abgabe; column_2: 1 PDF über MyUnifr 1 ; 3 gebundene Exemplare in Papierform an das
5. [studyplans] Bachelor_60_474591eeaefa6c5efdc21f30ddab4db20843f774.txt p.1 - Section: Abgabe - Archivierung - Veröffentlichung der wissenschaftlichen Abschlussarbeiten Table rows: - Doktorat: Abgabe; column_2: 1 PDF über MyUnifr 1 ; 5 gebundene (oder broschierte) Exemplare an das Dekanat (vgl. Re
6. [studyplans] Bachelor_60_474591eeaefa6c5efdc21f30ddab4db20843f774.txt p.1 - ----------------------------------------------------------------------------------------------------------------------------------------------------------------------------------------------------------------------------
7. [studyplans] Bachelor_60_474591eeaefa6c5efdc21f30ddab4db20843f774.txt p.1 - Section: Abgabe - Archivierung - Veröffentlichung der wissenschaftlichen Abschlussarbeiten &gt; 2 Gemäss Fakultätsbeschluss vom 11.12.2018 Table rows: - Habilitation: Abgabe; column_2: 1 elektronisches Dokument PDF 1 ; 4 ge
8. [studyplans] Bachelor_60_474591eeaefa6c5efdc21f30ddab4db20843f774.txt p.1 - ichtexemplare 3 | a) bei Veröffentlichung über einen Verlag : 8 Ex des gedruckten Buches an die Kantons- und Universitätsbibliothek https://www3.unifr.ch/biblio/de/ (davon sind: 3 Ex. für die Mitglieder der Jury, 1 Ex. f
9. [studyplans] Bachelor_60_474591eeaefa6c5efdc21f30ddab4db20843f774.txt p.1 - Section: Abgabe - Archivierung - Veröffentlichung der wissenschaftlichen Abschlussarbeiten &gt; 2 Gemäss Fakultätsbeschluss vom 11.12.2018 | Einband | Grundsätzlich gilt: Die zur Archivierung bestimmten Exemplare dürfen kei
10. [studyplans] Bachelor_60_474591eeaefa6c5efdc21f30ddab4db20843f774.txt p.1 - Section: Ehrenwörtliche Erklärung Table rows: - Prüfungs- und Diplomgebühren 4: Prüfungs- und Diplomgebühren 4; fällig bei der Abgabe der schriftlichen Arbeit, per Banküberweisung zu bezahlen (direkt über MyUnifr): Vollp</t>
        </is>
      </c>
      <c r="AB2" s="2" t="inlineStr">
        <is>
          <t>[{"source": "Bachelor_60_1d036b4e5f656b65bcfa7a6121fb5095582bb706.txt", "page": 1, "snippet": "Section: TABLE OF CONTENTS\n\nTable rows:\n- PREFACE: CONDITIONSANDMEASURESTO FACILITATE DOCTORAL JOURNEY; 3: 4\n- PREFACE: INDIVIDUAL CHARACTERISTICS AND CONTEXTUAL FACTORS; 3: 5\n- PREFACE: Individual characteristics; 3: 5\n- PREFACE: Organizational context; 3: 6\n- PREFACE: Socio-professional environment; 3: 6\n- PREFACE: Personal circle; 3: 7\n- PREFACE: Variable configurations; 3: 7\n- PREFACE: ACTING AND INTERACTING IN SITU; 3: 8\n- PREFACE: Progressing by managing instability; 3: 8\n- PREFACE: Having", "metadata": {"parsed_at": "2026-04-10T17:34:31.316Z", "pages": 1, "parser": "docling", "doc_key": "1d036b4e5f656b65bcfa7a6121fb5095582bb706", "degree_level": "Bachelor", "total_ects": 60, "program_name": "Theology", "doc_label": "Concrete avenues for doctoral students and those supervising them", "source_url": "https://www.unifr.ch/theo/fr/assets/public/doc%2520etudes/Booklet_ConditionsPhD_2020.pdf", "source_type": "pdf", "curriculum_url": "http://studies.unifr.ch/go/llH5R", "fetched_at": "2026-04-03T11:31:55.476Z", "source_file": "Bachelor_60_1d036b4e5f656b65bcfa7a6121fb5095582bb706.txt", "index_variant": "table_semantic_v1", "chunk_id": "1d036b4e5f656b65bcfa7a6121fb5095582bb706::semantic_table::chunk::0002", "chunk_type": "table", "section": "TABLE OF CONTENTS", "page_start": 1, "page_end": 1, "chunk_pages": [1], "contains_table": true, "block_kinds": ["table"], "prev_chunk_id": "1d036b4e5f656b65bcfa7a6121fb5095582bb706::semantic_table::chunk::0001", "next_chunk_id": "1d036b4e5f656b65bcfa7a6121fb5095582bb706::semantic_table::chunk::0003",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"Bachelor_60_1d036b4e5f656b65bcfa7a6121fb5095582bb706.txt", "page": 1, "snippet": "ocuments; 3: 22\n- PREFACE: Tools; 3: 23\n- PREFACE: NOTES; 3: 24\n\nRaw table:\n| PREFACE | 3 |\n|--------------------------------------------------------------|-----|\n| CONDITIONSANDMEASURESTO FACILITATE DOCTORAL JOURNEY | 4 |\n| INDIVIDUAL CHARACTERISTICS AND CONTEXTUAL FACTORS | 5 |\n| Individual characteristics | 5 |\n| Organizational context | 6 |\n| Socio-professional environment | 6 |\n| Personal circle | 7 |\n| Variable configurations | 7 |\n| ACTING AND INTERACTING IN SITU | 8 |\n| Progressing by ma", "metadata": {"parsed_at": "2026-04-10T17:34:31.316Z", "pages": 1, "parser": "docling", "doc_key": "1d036b4e5f656b65bcfa7a6121fb5095582bb706", "degree_level": "Bachelor", "total_ects": 60, "program_name": "Theology", "doc_label": "Concrete avenues for doctoral students and those supervising them", "source_url": "https://www.unifr.ch/theo/fr/assets/public/doc%2520etudes/Booklet_ConditionsPhD_2020.pdf", "source_type": "pdf", "curriculum_url": "http://studies.unifr.ch/go/llH5R", "fetched_at": "2026-04-03T11:31:55.476Z", "source_file": "Bachelor_60_1d036b4e5f656b65bcfa7a6121fb5095582bb706.txt", "index_variant": "table_semantic_v1", "chunk_id": "1d036b4e5f656b65bcfa7a6121fb5095582bb706::semantic_table::chunk::0003", "chunk_type": "table", "section": "TABLE OF CONTENTS", "page_start": 1, "page_end": 1, "chunk_pages": [1], "contains_table": true, "block_kinds": ["table"], "prev_chunk_id": "1d036b4e5f656b65bcfa7a6121fb5095582bb706::semantic_table::chunk::0002", "next_chunk_id": "1d036b4e5f656b65bcfa7a6121fb5095582bb706::semantic_table::chunk::0004",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"Bachelor_60_474591eeaefa6c5efdc21f30ddab4db20843f774.txt", "page": 1, "snippet": "Section: Abgabe - Archivierung - Veröffentlichung der wissenschaftlichen Abschlussarbeiten\n\nTable rows:\n- Bachelor: Abgabe; column_2: 1 PDF über MyUnifr 1 ; 3 gebundene Exemplare in Papierform an das Dekanat (davon je 1 Ex. für die zwei Zensoren); keine Spiralbindung\n- Bachelor: Archivierung; column_2: 1 Exemplar im Archiv der Fakultät\n\nRaw table:\n| Bachelor | |\n|--------------|-----------------------------------------------------------------------------------------------------------------------",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"474591eeaefa6c5efdc21f30ddab4db20843f774::semantic_table::chunk::0001", "chunk_type": "table", "section": "Abgabe - Archivierung - Veröffentlichung der wissenschaftlichen Abschlussarbeiten", "page_start": 1, "page_end": 1, "chunk_pages": [1], "contains_table": true, "block_kinds": ["table"], "prev_chunk_id": null, "next_chunk_id": "474591eeaefa6c5efdc21f30ddab4db20843f774::semantic_table::chunk::0002",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"Bachelor_60_474591eeaefa6c5efdc21f30ddab4db20843f774.txt", "page": 1, "snippet": "Section: Abgabe - Archivierung - Veröffentlichung der wissenschaftlichen Abschlussarbeiten\n\nTable rows:\n- Master, Diplom, Kan. Lizentiat: Abgabe; column_2: 1 PDF über MyUnifr 1 ; 3 gebundene Exemplare in Papierform an das Dekanat (davon je 1 Ex. für die zwei Zensoren); keine Spiralbindung\n- Master, Diplom, Kan. Lizentiat: Archivierung; column_2: 1 Exemplar in der Kantons- und Universitätsbibliothek (KUB)\n- Master, Diplom, Kan. Lizentiat: Veröffentlichung; column_2: Wenn die Arbeit mit der Mindes",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"474591eeaefa6c5efdc21f30ddab4db20843f774::semantic_table::chunk::0002", "chunk_type": "table", "section": "Abgabe - Archivierung - Veröffentlichung der wissenschaftlichen Abschlussarbeiten", "page_start": 1, "page_end": 1, "chunk_pages": [1], "contains_table": true, "block_kinds": ["table"], "prev_chunk_id": "474591eeaefa6c5efdc21f30ddab4db20843f774::semantic_table::chunk::0001", "next_chunk_id": "474591eeaefa6c5efdc21f30ddab4db20843f774::semantic_table::chunk::0003",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"Bachelor_60_474591eeaefa6c5efdc21f30ddab4db20843f774.txt", "page": 1, "snippet": "Section: Abgabe - Archivierung - Veröffentlichung der wissenschaftlichen Abschlussarbeiten\n\nTable rows:\n- Doktorat: Abgabe; column_2: 1 PDF über MyUnifr 1 ; 5 gebundene (oder broschierte) Exemplare an das Dekanat (vgl. Reglement vom 17.12.1996), recto-verso gedruckt; keine Spiralbindung\n- Doktorat: Umfang; column_2: 200-300 Seiten mit 2'500 Zeichen/Seite; d.h. insges. 500'000-750'000 Zeichen (ohne Leerschläge)\n- Doktorat: Veröffentlichung; column_2: als gedrucktes Buch oder durch rero-doc oder i",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"474591eeaefa6c5efdc21f30ddab4db20843f774::semantic_table::chunk::0003", "chunk_type": "table", "section": "Abgabe - Archivierung - Veröffentlichung der wissenschaftlichen Abschlussarbeiten", "page_start": 1, "page_end": 1, "chunk_pages": [1], "contains_table": true, "block_kinds": ["table"], "prev_chunk_id": "474591eeaefa6c5efdc21f30ddab4db20843f774::semantic_table::chunk::0002", "next_chunk_id": "474591eeaefa6c5efdc21f30ddab4db20843f774::semantic_table::chunk::0004",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"Bachelor_60_474591eeaefa6c5efdc21f30ddab4db20843f774.txt", "page": 1, "snippet": "----------------------------------------------------------------------------------------------------------------------------------------------------------------------------------------------------------------------------------------------------------------------------------------------------------------------------------------------------------------------------|\n| Abgabe | 1 PDF über MyUnifr 1 ; 5 gebundene (oder broschierte) Exemplare an das Dekanat (vgl. Reglement vom 17.12.1996), recto-verso",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"474591eeaefa6c5efdc21f30ddab4db20843f774::semantic_table::chunk::0004", "chunk_type": "table", "section": "Abgabe - Archivierung - Veröffentlichung der wissenschaftlichen Abschlussarbeiten", "page_start": 1, "page_end": 1, "chunk_pages": [1], "contains_table": true, "block_kinds": ["table"], "prev_chunk_id": "474591eeaefa6c5efdc21f30ddab4db20843f774::semantic_table::chunk::0003", "next_chunk_id": "474591eeaefa6c5efdc21f30ddab4db20843f774::semantic_table::chunk::0005",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"Bachelor_60_474591eeaefa6c5efdc21f30ddab4db20843f774.txt", "page": 1, "snippet": "Section: Abgabe - Archivierung - Veröffentlichung der wissenschaftlichen Abschlussarbeiten &gt; 2 Gemäss Fakultätsbeschluss vom 11.12.2018\n\nTable rows:\n- Habilitation: Abgabe; column_2: 1 elektronisches Dokument PDF 1 ; 4 gebundene (oder broschierte) Exemplare an das Dekanat (vgl. geltendes Habilitationsreglement); keine Spiralbindung\n- Habilitation: Veröffentlichung; column_2: als gedrucktes Buch\n- Habilitation: Pflichtexemplare 3; column_2: a) bei Veröffentlichung über einen Verlag : 8 Ex des ged",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"474591eeaefa6c5efdc21f30ddab4db20843f774::semantic_table::chunk::0007", "chunk_type": "table", "section": "Abgabe - Archivierung - Veröffentlichung der wissenschaftlichen Abschlussarbeiten &gt; 2 Gemäss Fakultätsbeschluss vom 11.12.2018", "page_start": 1, "page_end": 1, "chunk_pages": [1], "contains_table": true, "block_kinds": ["table"], "prev_chunk_id": "474591eeaefa6c5efdc21f30ddab4db20843f774::semantic_table::chunk::0006", "next_chunk_id": "474591eeaefa6c5efdc21f30ddab4db20843f774::semantic_table::chunk::0008",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"Bachelor_60_474591eeaefa6c5efdc21f30ddab4db20843f774.txt", "page": 1, "snippet": "ichtexemplare 3 | a) bei Veröffentlichung über einen Verlag : 8 Ex des gedruckten Buches an die Kantons- und Universitätsbibliothek https://www3.unifr.ch/biblio/de/ (davon sind: 3 Ex. für die Mitglieder der Jury, 1 Ex. für das Archiv der Fakultät, 2 Ex. für die KUB, 1 Ex. für die BHT, 1 Ex. für die Nationalbibliothek Bern); b) bei einer Veröffentlichung im Selbstverlag : 15 Ex. an die KUB (davon 8 Ex. wie unter a), die weiteren Exemplare zum Tausch unter Bibliotheken |",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"474591eeaefa6c5efdc21f30ddab4db20843f774::semantic_table::chunk::0008", "chunk_type": "table", "section": "Abgabe - Archivierung - Veröffentlichung der wissenschaftlichen Abschlussarbeiten &gt; 2 Gemäss Fakultätsbeschluss vom 11.12.2018", "page_start": 1, "page_end": 1, "chunk_pages": [1], "contains_table": true, "block_kinds": ["table"], "prev_chunk_id": "474591eeaefa6c5efdc21f30ddab4db20843f774::semantic_table::chunk::0007", "next_chunk_id": "474591eeaefa6c5efdc21f30ddab4db20843f774::semantic_table::chunk::0009",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"Bachelor_60_474591eeaefa6c5efdc21f30ddab4db20843f774.txt", "page": 1, "snippet": "Section: Abgabe - Archivierung - Veröffentlichung der wissenschaftlichen Abschlussarbeiten &gt; 2 Gemäss Fakultätsbeschluss vom 11.12.2018\n\n| Einband | Grundsätzlich gilt: Die zur Archivierung bestimmten Exemplare dürfen keine Spiralbindung haben. |\n|-----------|---------------------------------------------------------------------------------------------------|",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"474591eeaefa6c5efdc21f30ddab4db20843f774::semantic_table::chunk::0009", "chunk_type": "table", "section": "Abgabe - Archivierung - Veröffentlichung der wissenschaftlichen Abschlussarbeiten &gt; 2 Gemäss Fakultätsbeschluss vom 11.12.2018", "page_start": 1, "page_end": 1, "chunk_pages": [1], "contains_table": true, "block_kinds": ["table"], "prev_chunk_id": "474591eeaefa6c5efdc21f30ddab4db20843f774::semantic_table::chunk::0008", "next_chunk_id": "474591eeaefa6c5efdc21f30ddab4db20843f774::semantic_table::chunk::0010",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"Bachelor_60_474591eeaefa6c5efdc21f30ddab4db20843f774.txt", "page": 1, "snippet": "Section: Ehrenwörtliche Erklärung\n\nTable rows:\n- Prüfungs- und Diplomgebühren 4: Prüfungs- und Diplomgebühren 4; fällig bei der Abgabe der schriftlichen Arbeit, per Banküberweisung zu bezahlen (direkt über MyUnifr): Vollprogramm; fällig bei der Abgabe der schriftlichen Arbeit, per Banküberweisung zu bezahlen (direkt über MyUnifr): Hauptprogramm; fällig bei der Abgabe der schriftlichen Arbeit, per Banküberweisung zu bezahlen (direkt über MyUnifr): Nebenprogramm\n- Prüfungs- und Diplomgebühren 4: B",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"474591eeaefa6c5efdc21f30ddab4db20843f774::semantic_table::chunk::0011", "chunk_type": "table", "section": "Ehrenwörtliche Erklärung", "page_start": 1, "page_end": 1, "chunk_pages": [1], "contains_table": true, "block_kinds": ["table"], "prev_chunk_id": "474591eeaefa6c5efdc21f30ddab4db20843f774::semantic_table::chunk::0010", "next_chunk_id": "474591eeaefa6c5efdc21f30ddab4db20843f774::semantic_table::chunk::0012",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t>
        </is>
      </c>
      <c r="AC2" s="2" t="inlineStr">
        <is>
          <t>Bachelor_60_1d036b4e5f656b65bcfa7a6121fb5095582bb706.txt</t>
        </is>
      </c>
      <c r="AD2" s="2" t="inlineStr">
        <is>
          <t>studyplans</t>
        </is>
      </c>
      <c r="AE2" s="2" t="n">
        <v>1</v>
      </c>
      <c r="AF2" s="2" t="inlineStr">
        <is>
          <t>Section: TABLE OF CONTENTS Table rows: - PREFACE: CONDITIONSANDMEASURESTO FACILITATE DOCTORAL JOURNEY; 3: 4 - PREFACE: INDIVIDUAL CHARACTERISTICS AND CONTEXTUAL FACTORS; 3: 5 - PREFACE: Individual characteristics; 3: 5 - PREFACE: Organizational context; 3: 6 - PREFACE: Socio-professional environment; 3: 6 - PREFACE: Personal circle; 3: 7 - PREFACE:</t>
        </is>
      </c>
      <c r="AG2" s="2" t="n">
        <v>0</v>
      </c>
      <c r="AH2" s="2" t="n">
        <v>0</v>
      </c>
      <c r="AI2" s="2" t="n">
        <v>0</v>
      </c>
      <c r="AJ2" s="2" t="n">
        <v>0</v>
      </c>
      <c r="AK2" s="2" t="n">
        <v>0</v>
      </c>
      <c r="AL2" s="2" t="inlineStr"/>
      <c r="AM2" s="2" t="inlineStr"/>
      <c r="AN2" s="2" t="inlineStr"/>
      <c r="AO2" s="2" t="inlineStr"/>
      <c r="AP2" s="2" t="inlineStr"/>
      <c r="AQ2" s="2" t="inlineStr"/>
      <c r="AR2" s="2" t="inlineStr">
        <is>
          <t>Fill manual_relevant_ranks after reviewing retrieved_sources_ranked, e.g. 1,3,5.</t>
        </is>
      </c>
    </row>
    <row r="3">
      <c r="A3" s="2" t="inlineStr">
        <is>
          <t>2026-05-16T01:28:06</t>
        </is>
      </c>
      <c r="B3" s="2" t="n">
        <v>6</v>
      </c>
      <c r="C3" s="2" t="n">
        <v>5</v>
      </c>
      <c r="D3" s="2" t="inlineStr">
        <is>
          <t>program_courses</t>
        </is>
      </c>
      <c r="E3" s="2" t="inlineStr">
        <is>
          <t>hard</t>
        </is>
      </c>
      <c r="F3" s="2" t="inlineStr">
        <is>
          <t>en</t>
        </is>
      </c>
      <c r="G3" s="2" t="inlineStr">
        <is>
          <t>What courses does the Bachelor in Economics with 180 ECTS include in the first study year?</t>
        </is>
      </c>
      <c r="H3" s="2" t="inlineStr">
        <is>
          <t>List of first-year courses if the study plan provides this structure, otherwise reasoning from rag</t>
        </is>
      </c>
      <c r="I3" s="2" t="inlineStr">
        <is>
          <t>Mixed</t>
        </is>
      </c>
      <c r="J3" s="2" t="inlineStr">
        <is>
          <t>RAG over study plan documents</t>
        </is>
      </c>
      <c r="K3" s="2" t="inlineStr">
        <is>
          <t>study plan PDF</t>
        </is>
      </c>
      <c r="L3" s="2" t="inlineStr">
        <is>
          <t>course titles/codes, first-year context</t>
        </is>
      </c>
      <c r="M3" s="2" t="inlineStr">
        <is>
          <t>studyplans</t>
        </is>
      </c>
      <c r="N3" s="2" t="n">
        <v>200</v>
      </c>
      <c r="O3" s="2" t="n"/>
      <c r="P3" s="2" t="n">
        <v>0</v>
      </c>
      <c r="Q3" s="2" t="n">
        <v>1199.42</v>
      </c>
      <c r="R3" s="2" t="n">
        <v>2046978</v>
      </c>
      <c r="S3" s="2" t="n"/>
      <c r="T3" s="2" t="n">
        <v>10</v>
      </c>
      <c r="U3" s="2" t="n">
        <v>0</v>
      </c>
      <c r="V3" s="2" t="inlineStr"/>
      <c r="W3" s="2" t="inlineStr">
        <is>
          <t>HTTPConnectionPool(host='localhost', port=8000): Read timed out. (read timeout=1800)</t>
        </is>
      </c>
      <c r="X3" s="2" t="inlineStr">
        <is>
          <t>Bachelor_180_41450504d325032f6be1d07dced427aa31d74fd1.txt; Bachelor_180_41450504d325032f6be1d07dced427aa31d74fd1.txt; Bachelor_180_41450504d325032f6be1d07dced427aa31d74fd1.txt; Bachelor_180_41450504d325032f6be1d07dced427aa31d74fd1.txt; Bachelor_180_41450504d325032f6be1d07dced427aa31d74fd1.txt; Bachelor_180_41450504d325032f6be1d07dced427aa31d74fd1.txt; Bachelor_180_41450504d325032f6be1d07dced427aa31d74fd1.txt; Bachelor_180_41450504d325032f6be1d07dced427aa31d74fd1.txt; Bachelor_180_41450504d325032f6be1d07dced427aa31d74fd1.txt; Bachelor_180_41450504d325032f6be1d07dced427aa31d74fd1.txt</t>
        </is>
      </c>
      <c r="Y3" s="2" t="inlineStr">
        <is>
          <t>studyplans; studyplans; studyplans; studyplans; studyplans; studyplans; studyplans; studyplans; studyplans; studyplans</t>
        </is>
      </c>
      <c r="Z3" s="2" t="inlineStr">
        <is>
          <t>1; 1; 1; 1; 1; 1; 1; 1; 1; 1</t>
        </is>
      </c>
      <c r="AA3" s="2" t="inlineStr">
        <is>
          <t>1. [studyplans] Bachelor_180_41450504d325032f6be1d07dced427aa31d74fd1.txt p.1 - Section: 1. Jahr 60 ECTS Table rows: - Code: EGE.00136; Lehreinheit: Einführung in die Betriebswirtschaftslehre; Lehrer(innen): Barmettler, Milosavljevic; Semester: HS-2025; Niveau: BA; Sprache: de; Bewertung: Schriftlic
2. [studyplans] Bachelor_180_41450504d325032f6be1d07dced427aa31d74fd1.txt p.1 - atik I; Lehrer(innen): Fill; Semester: HS-2025; Niveau: BA; Sprache: de; Bewertung: Schriftliche Prüfung; ECTS: 6 - Code: EIG.00038; Lehreinheit: Informatique de gestion II; Lehrer(innen): Fischer; Semester: FS-2026; Niv
3. [studyplans] Bachelor_180_41450504d325032f6be1d07dced427aa31d74fd1.txt p.1 - ion (d); Lehrer(innen): Gmür; Semester: FS-2026; Niveau: BA; Sprache: de; Bewertung: Schriftliche Prüfung; ECTS: 6 - Code: ESE.00028; Lehreinheit: Einführung in die Statistik II; Lehrer(innen): Huber; Semester: FS-2026; 
4. [studyplans] Bachelor_180_41450504d325032f6be1d07dced427aa31d74fd1.txt p.1 - he Prüfung | 6 | | EIG.00037 | Wirtschaftsinformatik I | Fill | HS-2025 | BA | de | Schriftliche Prüfung | 6 | | EIG.00038 | Informatique de gestion II | Fischer | FS-2026 | BA | fr | Schriftliche Prüfung | 6 | | EIG.000
5. [studyplans] Bachelor_180_41450504d325032f6be1d07dced427aa31d74fd1.txt p.1 - Section: Pflichtkurse 54 ECTS Table rows: - EEP.00220: EEP.00221; Macroéconomie I: Makroökonomie I; Massonnet: Grossmann; HS-2025: HS-2025; BA: BA; fr: de; Mündliche Prüfung: Schriftliche Prüfung; 6: 6 - EEP.00220: EEP.0
6. [studyplans] Bachelor_180_41450504d325032f6be1d07dced427aa31d74fd1.txt p.1 - 00220 | Macroéconomie I | Massonnet | HS-2025 | BA | fr | Mündliche Prüfung | 6 | |-------------|------------------------------------------------|-----------------|-----------|------|------|----------------------|-----| 
7. [studyplans] Bachelor_180_41450504d325032f6be1d07dced427aa31d74fd1.txt p.1 - Section: Pflichtkurse 54 ECTS Table rows: - Code: EEP.00229; Lehreinheit: Macroéconomie II; Lehrer(innen): Rossi-Pedruzzi; Semester: FS-2026; Niveau: BA; Sprache: fr; Bewertung: Mündliche Prüfung; ECTS: 6 - Code: EEP.002
8. [studyplans] Bachelor_180_41450504d325032f6be1d07dced427aa31d74fd1.txt p.1 - ESE.00030; Lehreinheit: Vertiefungskurs Statistik; Lehrer(innen): Leuenberger; Semester: FS-2026; Niveau: BA; Sprache: de; Bewertung: Schriftliche Prüfung; ECTS: 4.5 Raw table: | Code | Lehreinheit | Lehrer(innen) | Seme
9. [studyplans] Bachelor_180_41450504d325032f6be1d07dced427aa31d74fd1.txt p.1 - Section: Seminararbeit oder Wahlkurse min. 6 ECTS Table rows: - ESE.00001: ESE.00001; Travail de séminaire: Travail de séminaire; Travail de séminaire: Travail de séminaire; HS-2025: FS-2026; BA: BA; fr: fr; Fortlaufende
10. [studyplans] Bachelor_180_41450504d325032f6be1d07dced427aa31d74fd1.txt p.1 - EGE.00282; Travail de séminaire: MAN05D: Human Resource Management; Travail de séminaire: Gmür; HS-2025: HS-2025; BA: BA; fr: de; Fortlaufende Evaluation: Schriftliche Prüfung; 6: 4.5 - ESE.00001: EGE.00263; Travail de s</t>
        </is>
      </c>
      <c r="AB3" s="2" t="inlineStr">
        <is>
          <t>[{"source": "Bachelor_180_41450504d325032f6be1d07dced427aa31d74fd1.txt", "page": 1, "snippet": "Section: 1. Jahr 60 ECTS\n\nTable rows:\n- Code: EGE.00136; Lehreinheit: Einführung in die Betriebswirtschaftslehre; Lehrer(innen): Barmettler, Milosavljevic; Semester: HS-2025; Niveau: BA; Sprache: de; Bewertung: Schriftliche Prüfung; ECTS: 6\n- Code: EGE.00135; Lehreinheit: Introduction à la gestion d'entreprise; Lehrer(innen): Davoine; Semester: HS-2025; Niveau: BA; Sprache: fr; Bewertung: Schriftliche Prüfung; ECTS: 6\n- Code: EGE.00137; Lehreinheit: Introduction à la comptabilité; Lehrer(innen):",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"41450504d325032f6be1d07dced427aa31d74fd1::semantic_table::chunk::0009", "chunk_type": "table", "section": "1. Jahr 60 ECTS", "page_start": 1, "page_end": 1, "chunk_pages": [1], "contains_table": true, "block_kinds": ["table"], "prev_chunk_id": "41450504d325032f6be1d07dced427aa31d74fd1::semantic_table::chunk::0008", "next_chunk_id": "41450504d325032f6be1d07dced427aa31d74fd1::semantic_table::chunk::0010",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"atik I; Lehrer(innen): Fill; Semester: HS-2025; Niveau: BA; Sprache: de; Bewertung: Schriftliche Prüfung; ECTS: 6\n- Code: EIG.00038; Lehreinheit: Informatique de gestion II; Lehrer(innen): Fischer; Semester: FS-2026; Niveau: BA; Sprache: fr; Bewertung: Schriftliche Prüfung; ECTS: 6\n- Code: EIG.00039; Lehreinheit: Wirtschaftsinformatik II; Lehrer(innen): Fill; Semester: FS-2026; Niveau: BA; Sprache: de; Bewertung: Schriftliche Prüfung; ECTS: 6\n- Code: ESE.00048; Lehreinheit: Mathematik I; Lehrer(",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"41450504d325032f6be1d07dced427aa31d74fd1::semantic_table::chunk::0010", "chunk_type": "table", "section": "1. Jahr 60 ECTS", "page_start": 1, "page_end": 1, "chunk_pages": [1], "contains_table": true, "block_kinds": ["table"], "prev_chunk_id": "41450504d325032f6be1d07dced427aa31d74fd1::semantic_table::chunk::0009", "next_chunk_id": "41450504d325032f6be1d07dced427aa31d74fd1::semantic_table::chunk::0011",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"ion (d); Lehrer(innen): Gmür; Semester: FS-2026; Niveau: BA; Sprache: de; Bewertung: Schriftliche Prüfung; ECTS: 6\n- Code: ESE.00028; Lehreinheit: Einführung in die Statistik II; Lehrer(innen): Huber; Semester: FS-2026; Niveau: BA; Sprache: de; Bewertung: Schriftliche Prüfung; ECTS: 4.5\n- Code: ESE.00027; Lehreinheit: Introduction à la statistique II; Lehrer(innen): Kauth, Kauth; Semester: FS-2026; Niveau: BA; Sprache: fr; Bewertung: Schriftliche Prüfung; ECTS: 4.5\n\nRaw table:\n| Code | Lehreinhe",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"41450504d325032f6be1d07dced427aa31d74fd1::semantic_table::chunk::0011", "chunk_type": "table", "section": "1. Jahr 60 ECTS", "page_start": 1, "page_end": 1, "chunk_pages": [1], "contains_table": true, "block_kinds": ["table"], "prev_chunk_id": "41450504d325032f6be1d07dced427aa31d74fd1::semantic_table::chunk::0010", "next_chunk_id": "41450504d325032f6be1d07dced427aa31d74fd1::semantic_table::chunk::0012",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"he Prüfung | 6 |\n| EIG.00037 | Wirtschaftsinformatik I | Fill | HS-2025 | BA | de | Schriftliche Prüfung | 6 |\n| EIG.00038 | Informatique de gestion II | Fischer | FS-2026 | BA | fr | Schriftliche Prüfung | 6 |\n| EIG.00039 | Wirtschaftsinformatik II | Fill | FS-2026 | BA | de | Schriftliche Prüfung | 6 |\n| ESE.00048 | Mathematik I | Leuenberger | HS-2025 | BA | de | Schriftliche Prüfung | 4.5 |\n| ESE.00047 | Mathématiques I | Schindl | HS-2025 | BA | fr | Schriftliche Prüfung | 4.5 |\n| ESE.00052",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"41450504d325032f6be1d07dced427aa31d74fd1::semantic_table::chunk::0012", "chunk_type": "table", "section": "1. Jahr 60 ECTS", "page_start": 1, "page_end": 1, "chunk_pages": [1], "contains_table": true, "block_kinds": ["table"], "prev_chunk_id": "41450504d325032f6be1d07dced427aa31d74fd1::semantic_table::chunk::0011", "next_chunk_id": "41450504d325032f6be1d07dced427aa31d74fd1::semantic_table::chunk::0013",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"Section: Pflichtkurse 54 ECTS\n\nTable rows:\n- EEP.00220: EEP.00221; Macroéconomie I: Makroökonomie I; Massonnet: Grossmann; HS-2025: HS-2025; BA: BA; fr: de; Mündliche Prüfung: Schriftliche Prüfung; 6: 6\n- EEP.00220: EEP.00355; Macroéconomie I: ECO01F: Histoire des faits économiques; Massonnet: Dumas, Schrey; HS-2025: HS-2025; BA: BA; fr: fr; Mündliche Prüfung: Schriftliche Prüfung; 6: 6\n- EEP.00220: EEP.00356; Macroéconomie I: ECO01D: Wirtschaftsgeschichte; Massonnet: Herz; HS-2025: HS-2025; BA:",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"41450504d325032f6be1d07dced427aa31d74fd1::semantic_table::chunk::0014", "chunk_type": "table", "section": "Pflichtkurse 54 ECTS", "page_start": 1, "page_end": 1, "chunk_pages": [1], "contains_table": true, "block_kinds": ["table"], "prev_chunk_id": "41450504d325032f6be1d07dced427aa31d74fd1::semantic_table::chunk::0013", "next_chunk_id": "41450504d325032f6be1d07dced427aa31d74fd1::semantic_table::chunk::0015",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"00220 | Macroéconomie I | Massonnet | HS-2025 | BA | fr | Mündliche Prüfung | 6 |\n|-------------|------------------------------------------------|-----------------|-----------|------|------|----------------------|-----|\n| EEP.00221 | Makroökonomie I | Grossmann | HS-2025 | BA | de | Schriftliche Prüfung | 6 |\n| EEP.00355 | ECO01F: Histoire des faits économiques | Dumas, Schrey | HS-2025 | BA | fr | Schriftliche Prüfung | 6 |\n| EEP.00356 | ECO01D: Wirtschaftsgeschichte | Herz | HS-2025 | BA | de ",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"41450504d325032f6be1d07dced427aa31d74fd1::semantic_table::chunk::0015", "chunk_type": "table", "section": "Pflichtkurse 54 ECTS", "page_start": 1, "page_end": 1, "chunk_pages": [1], "contains_table": true, "block_kinds": ["table"], "prev_chunk_id": "41450504d325032f6be1d07dced427aa31d74fd1::semantic_table::chunk::0014", "next_chunk_id": "41450504d325032f6be1d07dced427aa31d74fd1::semantic_table::chunk::0016",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"Section: Pflichtkurse 54 ECTS\n\nTable rows:\n- Code: EEP.00229; Lehreinheit: Macroéconomie II; Lehrer(innen): Rossi-Pedruzzi; Semester: FS-2026; Niveau: BA; Sprache: fr; Bewertung: Mündliche Prüfung; ECTS: 6\n- Code: EEP.00230; Lehreinheit: Makroökonomie II; Lehrer(innen): Grossmann; Semester: FS-2026; Niveau: BA; Sprache: de; Bewertung: Schriftliche Prüfung; ECTS: 6\n- Code: EEP.00336; Lehreinheit: ECO02F: Économie publique; Lehrer(innen): Schelker; Semester: FS-2026; Niveau: BA; Sprache: fr; Bewer",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"41450504d325032f6be1d07dced427aa31d74fd1::semantic_table::chunk::0016", "chunk_type": "table", "section": "Pflichtkurse 54 ECTS", "page_start": 1, "page_end": 1, "chunk_pages": [1], "contains_table": true, "block_kinds": ["table"], "prev_chunk_id": "41450504d325032f6be1d07dced427aa31d74fd1::semantic_table::chunk::0015", "next_chunk_id": "41450504d325032f6be1d07dced427aa31d74fd1::semantic_table::chunk::0017",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"ESE.00030; Lehreinheit: Vertiefungskurs Statistik; Lehrer(innen): Leuenberger; Semester: FS-2026; Niveau: BA; Sprache: de; Bewertung: Schriftliche Prüfung; ECTS: 4.5\n\nRaw table:\n| Code | Lehreinheit | Lehrer(innen) | Semester | Niveau | Sprache | Bewertung | ECTS |\n|-----------|----------------------------------------|-----------------|------------|----------|-----------|--------------------------------------------------|--------|\n| EEP.00229 | Macroéconomie II | Rossi-Pedruzzi | FS-2026 | BA | ",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"41450504d325032f6be1d07dced427aa31d74fd1::semantic_table::chunk::0017", "chunk_type": "table", "section": "Pflichtkurse 54 ECTS", "page_start": 1, "page_end": 1, "chunk_pages": [1], "contains_table": true, "block_kinds": ["table"], "prev_chunk_id": "41450504d325032f6be1d07dced427aa31d74fd1::semantic_table::chunk::0016", "next_chunk_id": "41450504d325032f6be1d07dced427aa31d74fd1::semantic_table::chunk::0018",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"Section: Seminararbeit oder Wahlkurse min. 6 ECTS\n\nTable rows:\n- ESE.00001: ESE.00001; Travail de séminaire: Travail de séminaire; Travail de séminaire: Travail de séminaire; HS-2025: FS-2026; BA: BA; fr: fr; Fortlaufende Evaluation: Fortlaufende Evaluation; 6: 6\n- ESE.00001: ESE.00003; Travail de séminaire: Seminar Paper; Travail de séminaire: Seminar Paper; HS-2025: HS-2025; BA: BA; fr: en; Fortlaufende Evaluation: Fortlaufende Evaluation; 6: 6\n- ESE.00001: ESE.00003; Travail de séminaire: Sem",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"41450504d325032f6be1d07dced427aa31d74fd1::semantic_table::chunk::0019", "chunk_type": "table", "section": "Seminararbeit oder Wahlkurse min. 6 ECTS", "page_start": 1, "page_end": 1, "chunk_pages": [1], "contains_table": true, "block_kinds": ["table"], "prev_chunk_id": "41450504d325032f6be1d07dced427aa31d74fd1::semantic_table::chunk::0018", "next_chunk_id": "41450504d325032f6be1d07dced427aa31d74fd1::semantic_table::chunk::0020",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"EGE.00282; Travail de séminaire: MAN05D: Human Resource Management; Travail de séminaire: Gmür; HS-2025: HS-2025; BA: BA; fr: de; Fortlaufende Evaluation: Schriftliche Prüfung; 6: 4.5\n- ESE.00001: EGE.00263; Travail de séminaire: MAN06E: Introductory course in Entrepreneurship; Travail de séminaire: Fauchart; HS-2025: HS-2025; BA: BA; fr: en; Fortlaufende Evaluation: Fortlaufende Evaluation; 6: 4.5\n- ESE.00001: EGE.00283; Travail de séminaire: MAN08F: Management stratégique; Travail de séminaire",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"41450504d325032f6be1d07dced427aa31d74fd1::semantic_table::chunk::0020", "chunk_type": "table", "section": "Seminararbeit oder Wahlkurse min. 6 ECTS", "page_start": 1, "page_end": 1, "chunk_pages": [1], "contains_table": true, "block_kinds": ["table"], "prev_chunk_id": "41450504d325032f6be1d07dced427aa31d74fd1::semantic_table::chunk::0019", "next_chunk_id": "41450504d325032f6be1d07dced427aa31d74fd1::semantic_table::chunk::0021",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t>
        </is>
      </c>
      <c r="AC3" s="2" t="inlineStr">
        <is>
          <t>Bachelor_180_41450504d325032f6be1d07dced427aa31d74fd1.txt</t>
        </is>
      </c>
      <c r="AD3" s="2" t="inlineStr">
        <is>
          <t>studyplans</t>
        </is>
      </c>
      <c r="AE3" s="2" t="n">
        <v>1</v>
      </c>
      <c r="AF3" s="2" t="inlineStr">
        <is>
          <t>Section: 1. Jahr 60 ECTS Table rows: - Code: EGE.00136; Lehreinheit: Einführung in die Betriebswirtschaftslehre; Lehrer(innen): Barmettler, Milosavljevic; Semester: HS-2025; Niveau: BA; Sprache: de; Bewertung: Schriftliche Prüfung; ECTS: 6 - Code: EGE.00135; Lehreinheit: Introduction à la gestion d'entreprise; Lehrer(innen): Davoine; Semester: HS-2</t>
        </is>
      </c>
      <c r="AG3" s="2" t="n">
        <v>1</v>
      </c>
      <c r="AH3" s="2" t="n">
        <v>1</v>
      </c>
      <c r="AI3" s="2" t="n">
        <v>1</v>
      </c>
      <c r="AJ3" s="2" t="n">
        <v>1</v>
      </c>
      <c r="AK3" s="2" t="n">
        <v>1</v>
      </c>
      <c r="AL3" s="2" t="inlineStr"/>
      <c r="AM3" s="2" t="inlineStr"/>
      <c r="AN3" s="2" t="inlineStr"/>
      <c r="AO3" s="2" t="inlineStr"/>
      <c r="AP3" s="2" t="inlineStr"/>
      <c r="AQ3" s="2" t="inlineStr"/>
      <c r="AR3" s="2" t="inlineStr">
        <is>
          <t>Fill manual_relevant_ranks after reviewing retrieved_sources_ranked, e.g. 1,3,5.</t>
        </is>
      </c>
    </row>
    <row r="4">
      <c r="A4" s="2" t="inlineStr">
        <is>
          <t>2026-05-16T01:28:06</t>
        </is>
      </c>
      <c r="B4" s="2" t="n">
        <v>15</v>
      </c>
      <c r="C4" s="2" t="n">
        <v>14</v>
      </c>
      <c r="D4" s="2" t="inlineStr">
        <is>
          <t>program_courses</t>
        </is>
      </c>
      <c r="E4" s="2" t="inlineStr">
        <is>
          <t>hard</t>
        </is>
      </c>
      <c r="F4" s="2" t="inlineStr">
        <is>
          <t>en</t>
        </is>
      </c>
      <c r="G4" s="2" t="inlineStr">
        <is>
          <t>Can you create a Studyplan with all mandatory courses and 5 electives for the Bachelor in Business Informatics?</t>
        </is>
      </c>
      <c r="H4" s="2" t="inlineStr">
        <is>
          <t>Planning route from DB with inputs chosen by chatbot.</t>
        </is>
      </c>
      <c r="I4" s="2" t="inlineStr">
        <is>
          <t>DB</t>
        </is>
      </c>
      <c r="J4" s="2" t="inlineStr"/>
      <c r="K4" s="2" t="inlineStr"/>
      <c r="L4" s="2" t="inlineStr"/>
      <c r="M4" s="2" t="inlineStr">
        <is>
          <t>studyplans</t>
        </is>
      </c>
      <c r="N4" s="2" t="n"/>
      <c r="O4" s="2" t="n"/>
      <c r="P4" s="2" t="n">
        <v>0</v>
      </c>
      <c r="Q4" s="2" t="n">
        <v>3889952.22</v>
      </c>
      <c r="R4" s="2" t="n">
        <v>5076245.56</v>
      </c>
      <c r="S4" s="2" t="n"/>
      <c r="T4" s="2" t="n">
        <v>0</v>
      </c>
      <c r="U4" s="2" t="n">
        <v>0</v>
      </c>
      <c r="V4" s="2" t="inlineStr"/>
      <c r="W4" s="2" t="inlineStr">
        <is>
          <t>HTTPConnectionPool(host='localhost', port=8000): Read timed out. (read timeout=1800) | HTTPConnectionPool(host='localhost', port=8000): Read timed out. (read timeout=1800)</t>
        </is>
      </c>
      <c r="X4" s="2" t="inlineStr"/>
      <c r="Y4" s="2" t="inlineStr"/>
      <c r="Z4" s="2" t="inlineStr"/>
      <c r="AA4" s="2" t="inlineStr"/>
      <c r="AB4" s="2" t="inlineStr">
        <is>
          <t>[]</t>
        </is>
      </c>
      <c r="AC4" s="2" t="inlineStr"/>
      <c r="AD4" s="2" t="inlineStr"/>
      <c r="AE4" s="2" t="inlineStr"/>
      <c r="AF4" s="2" t="inlineStr"/>
      <c r="AG4" s="2" t="n">
        <v>0</v>
      </c>
      <c r="AH4" s="2" t="n">
        <v>0</v>
      </c>
      <c r="AI4" s="2" t="n">
        <v>0</v>
      </c>
      <c r="AJ4" s="2" t="n">
        <v>0</v>
      </c>
      <c r="AK4" s="2" t="n">
        <v>0</v>
      </c>
      <c r="AL4" s="2" t="inlineStr"/>
      <c r="AM4" s="2" t="inlineStr"/>
      <c r="AN4" s="2" t="inlineStr"/>
      <c r="AO4" s="2" t="inlineStr"/>
      <c r="AP4" s="2" t="inlineStr"/>
      <c r="AQ4" s="2" t="inlineStr"/>
      <c r="AR4" s="2" t="inlineStr">
        <is>
          <t>Fill manual_relevant_ranks after reviewing retrieved_sources_ranked, e.g. 1,3,5.</t>
        </is>
      </c>
    </row>
    <row r="5">
      <c r="A5" s="2" t="inlineStr">
        <is>
          <t>2026-05-16T01:28:06</t>
        </is>
      </c>
      <c r="B5" s="2" t="n">
        <v>20</v>
      </c>
      <c r="C5" s="2" t="n">
        <v>19</v>
      </c>
      <c r="D5" s="2" t="inlineStr">
        <is>
          <t>rag_document</t>
        </is>
      </c>
      <c r="E5" s="2" t="inlineStr">
        <is>
          <t>hard</t>
        </is>
      </c>
      <c r="F5" s="2" t="inlineStr">
        <is>
          <t>en</t>
        </is>
      </c>
      <c r="G5" s="2" t="inlineStr">
        <is>
          <t>What does the study plan of History say about electives?</t>
        </is>
      </c>
      <c r="H5" s="2" t="inlineStr">
        <is>
          <t>Answer grounded in retrieved document text with correct source attribution.</t>
        </is>
      </c>
      <c r="I5" s="2" t="inlineStr">
        <is>
          <t>RAG</t>
        </is>
      </c>
      <c r="J5" s="2" t="inlineStr">
        <is>
          <t>RAG over study plan/regulation documents</t>
        </is>
      </c>
      <c r="K5" s="2" t="inlineStr">
        <is>
          <t>PDF/study plan/regulation</t>
        </is>
      </c>
      <c r="L5" s="2" t="inlineStr">
        <is>
          <t>elective rules</t>
        </is>
      </c>
      <c r="M5" s="2" t="inlineStr">
        <is>
          <t>studyplans</t>
        </is>
      </c>
      <c r="N5" s="2" t="n"/>
      <c r="O5" s="2" t="n"/>
      <c r="P5" s="2" t="n">
        <v>0</v>
      </c>
      <c r="Q5" s="2" t="n">
        <v>14239143.58</v>
      </c>
      <c r="R5" s="2" t="n">
        <v>2004204.73</v>
      </c>
      <c r="S5" s="2" t="n"/>
      <c r="T5" s="2" t="n">
        <v>0</v>
      </c>
      <c r="U5" s="2" t="n">
        <v>0</v>
      </c>
      <c r="V5" s="2" t="inlineStr"/>
      <c r="W5" s="2" t="inlineStr">
        <is>
          <t>HTTPConnectionPool(host='localhost', port=8000): Read timed out. (read timeout=1800) | HTTPConnectionPool(host='localhost', port=8000): Read timed out. (read timeout=1800)</t>
        </is>
      </c>
      <c r="X5" s="2" t="inlineStr"/>
      <c r="Y5" s="2" t="inlineStr"/>
      <c r="Z5" s="2" t="inlineStr"/>
      <c r="AA5" s="2" t="inlineStr"/>
      <c r="AB5" s="2" t="inlineStr">
        <is>
          <t>[]</t>
        </is>
      </c>
      <c r="AC5" s="2" t="inlineStr"/>
      <c r="AD5" s="2" t="inlineStr"/>
      <c r="AE5" s="2" t="inlineStr"/>
      <c r="AF5" s="2" t="inlineStr"/>
      <c r="AG5" s="2" t="n">
        <v>0</v>
      </c>
      <c r="AH5" s="2" t="n">
        <v>0</v>
      </c>
      <c r="AI5" s="2" t="n">
        <v>0</v>
      </c>
      <c r="AJ5" s="2" t="n">
        <v>0</v>
      </c>
      <c r="AK5" s="2" t="n">
        <v>0</v>
      </c>
      <c r="AL5" s="2" t="inlineStr"/>
      <c r="AM5" s="2" t="inlineStr"/>
      <c r="AN5" s="2" t="inlineStr"/>
      <c r="AO5" s="2" t="inlineStr"/>
      <c r="AP5" s="2" t="inlineStr"/>
      <c r="AQ5" s="2" t="inlineStr"/>
      <c r="AR5" s="2" t="inlineStr">
        <is>
          <t>Fill manual_relevant_ranks after reviewing retrieved_sources_ranked, e.g. 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c r="A1" s="1" t="inlineStr">
        <is>
          <t>Metric</t>
        </is>
      </c>
      <c r="B1" s="1" t="inlineStr">
        <is>
          <t>Formula / Meaning</t>
        </is>
      </c>
      <c r="C1" s="1" t="inlineStr">
        <is>
          <t>Value</t>
        </is>
      </c>
    </row>
    <row r="2">
      <c r="A2" s="2" t="inlineStr">
        <is>
          <t>Questions evaluated</t>
        </is>
      </c>
      <c r="B2" s="2" t="inlineStr">
        <is>
          <t>Number of rows in RAG_Retrieval_Test</t>
        </is>
      </c>
      <c r="C2" s="2">
        <f>COUNTA('RAG_Retrieval_Test'!G:G)-1</f>
        <v/>
      </c>
    </row>
    <row r="3">
      <c r="A3" s="2" t="inlineStr">
        <is>
          <t>Success rate</t>
        </is>
      </c>
      <c r="B3" s="2" t="inlineStr">
        <is>
          <t>Successful / all</t>
        </is>
      </c>
      <c r="C3" s="2">
        <f>AVERAGE('RAG_Retrieval_Test'!P:P)</f>
        <v/>
      </c>
    </row>
    <row r="4">
      <c r="A4" s="2" t="inlineStr">
        <is>
          <t>Mean debug retrieval time ms</t>
        </is>
      </c>
      <c r="B4" s="2" t="inlineStr">
        <is>
          <t>Average /debug/retrieve client time</t>
        </is>
      </c>
      <c r="C4" s="2">
        <f>AVERAGE('RAG_Retrieval_Test'!Q:Q)</f>
        <v/>
      </c>
    </row>
    <row r="5">
      <c r="A5" s="2" t="inlineStr">
        <is>
          <t>Mean ask time ms</t>
        </is>
      </c>
      <c r="B5" s="2" t="inlineStr">
        <is>
          <t>Average /ask client time</t>
        </is>
      </c>
      <c r="C5" s="2">
        <f>AVERAGE('RAG_Retrieval_Test'!R:R)</f>
        <v/>
      </c>
    </row>
    <row r="6">
      <c r="A6" s="2" t="inlineStr">
        <is>
          <t>Mean debug sources count</t>
        </is>
      </c>
      <c r="B6" s="2" t="inlineStr">
        <is>
          <t>Average retrieved chunks from /debug/retrieve</t>
        </is>
      </c>
      <c r="C6" s="2">
        <f>AVERAGE('RAG_Retrieval_Test'!T:T)</f>
        <v/>
      </c>
    </row>
    <row r="7">
      <c r="A7" s="2" t="inlineStr">
        <is>
          <t>Category Recall@1</t>
        </is>
      </c>
      <c r="B7" s="2" t="inlineStr">
        <is>
          <t>Expected source category appears at rank 1</t>
        </is>
      </c>
      <c r="C7" s="2">
        <f>AVERAGE('RAG_Retrieval_Test'!AF:AF)</f>
        <v/>
      </c>
    </row>
    <row r="8">
      <c r="A8" s="2" t="inlineStr">
        <is>
          <t>Category Recall@3</t>
        </is>
      </c>
      <c r="B8" s="2" t="inlineStr">
        <is>
          <t>Expected source category appears in top 3</t>
        </is>
      </c>
      <c r="C8" s="2">
        <f>AVERAGE('RAG_Retrieval_Test'!AG:AG)</f>
        <v/>
      </c>
    </row>
    <row r="9">
      <c r="A9" s="2" t="inlineStr">
        <is>
          <t>Category Recall@5</t>
        </is>
      </c>
      <c r="B9" s="2" t="inlineStr">
        <is>
          <t>Expected source category appears in top 5</t>
        </is>
      </c>
      <c r="C9" s="2">
        <f>AVERAGE('RAG_Retrieval_Test'!AH:AH)</f>
        <v/>
      </c>
    </row>
    <row r="10">
      <c r="A10" s="2" t="inlineStr">
        <is>
          <t>Category Precision@5</t>
        </is>
      </c>
      <c r="B10" s="2" t="inlineStr">
        <is>
          <t>Share of top 5 with expected source category</t>
        </is>
      </c>
      <c r="C10" s="2">
        <f>AVERAGE('RAG_Retrieval_Test'!AI:AI)</f>
        <v/>
      </c>
    </row>
    <row r="11">
      <c r="A11" s="2" t="inlineStr">
        <is>
          <t>Category MRR</t>
        </is>
      </c>
      <c r="B11" s="2" t="inlineStr">
        <is>
          <t>Reciprocal rank of first expected-category source</t>
        </is>
      </c>
      <c r="C11" s="2">
        <f>AVERAGE('RAG_Retrieval_Test'!AJ:AJ)</f>
        <v/>
      </c>
    </row>
    <row r="12">
      <c r="A12" s="2" t="inlineStr">
        <is>
          <t>Manual Recall@1</t>
        </is>
      </c>
      <c r="B12" s="2" t="inlineStr">
        <is>
          <t>Uses manual_relevant_ranks column</t>
        </is>
      </c>
      <c r="C12" s="2">
        <f>AVERAGE('RAG_Retrieval_Test'!AL:AL)</f>
        <v/>
      </c>
    </row>
    <row r="13">
      <c r="A13" s="2" t="inlineStr">
        <is>
          <t>Manual Recall@3</t>
        </is>
      </c>
      <c r="B13" s="2" t="inlineStr">
        <is>
          <t>Uses manual_relevant_ranks column</t>
        </is>
      </c>
      <c r="C13" s="2">
        <f>AVERAGE('RAG_Retrieval_Test'!AM:AM)</f>
        <v/>
      </c>
    </row>
    <row r="14">
      <c r="A14" s="2" t="inlineStr">
        <is>
          <t>Manual Recall@5</t>
        </is>
      </c>
      <c r="B14" s="2" t="inlineStr">
        <is>
          <t>Uses manual_relevant_ranks column</t>
        </is>
      </c>
      <c r="C14" s="2">
        <f>AVERAGE('RAG_Retrieval_Test'!AN:AN)</f>
        <v/>
      </c>
    </row>
    <row r="15">
      <c r="A15" s="2" t="inlineStr">
        <is>
          <t>Manual Precision@5</t>
        </is>
      </c>
      <c r="B15" s="2" t="inlineStr">
        <is>
          <t>Uses manual_relevant_ranks column</t>
        </is>
      </c>
      <c r="C15" s="2">
        <f>AVERAGE('RAG_Retrieval_Test'!AO:AO)</f>
        <v/>
      </c>
    </row>
    <row r="16">
      <c r="A16" s="2" t="inlineStr">
        <is>
          <t>Manual MRR</t>
        </is>
      </c>
      <c r="B16" s="2" t="inlineStr">
        <is>
          <t>Uses manual_relevant_ranks column</t>
        </is>
      </c>
      <c r="C16" s="2">
        <f>AVERAGE('RAG_Retrieval_Test'!AP:AP)</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2026-05-15T23:28:06Z</dcterms:created>
  <dcterms:modified xsi:type="dcterms:W3CDTF">2026-05-16T07:12:32Z</dcterms:modified>
</cp:coreProperties>
</file>