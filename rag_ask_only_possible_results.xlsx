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k_Answer_Eval" sheetId="1" state="visible" r:id="rId1"/>
    <sheet name="Ask_Answer_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2"/>
  <sheetViews>
    <sheetView workbookViewId="0">
      <pane ySplit="1" topLeftCell="A2" activePane="bottomLeft" state="frozen"/>
      <selection pane="bottomLeft" activeCell="A1" sqref="A1"/>
    </sheetView>
  </sheetViews>
  <sheetFormatPr baseColWidth="8" defaultRowHeight="15" outlineLevelCol="0"/>
  <cols>
    <col width="16" customWidth="1" min="1" max="1"/>
    <col width="28" customWidth="1" min="2" max="2"/>
    <col width="18" customWidth="1" min="3" max="3"/>
    <col width="18" customWidth="1" min="4" max="4"/>
    <col width="18" customWidth="1" min="5" max="5"/>
    <col width="18" customWidth="1" min="6" max="6"/>
    <col width="60" customWidth="1" min="7" max="7"/>
    <col width="60" customWidth="1" min="8" max="8"/>
    <col width="28" customWidth="1" min="9" max="9"/>
    <col width="18" customWidth="1" min="10" max="10"/>
    <col width="28" customWidth="1" min="11" max="11"/>
    <col width="18" customWidth="1" min="12" max="12"/>
    <col width="28" customWidth="1" min="13" max="13"/>
    <col width="18" customWidth="1" min="14" max="14"/>
    <col width="18" customWidth="1" min="15" max="15"/>
    <col width="16" customWidth="1" min="16" max="16"/>
    <col width="16" customWidth="1" min="17" max="17"/>
    <col width="60" customWidth="1" min="18" max="18"/>
    <col width="60" customWidth="1" min="19" max="19"/>
    <col width="28" customWidth="1" min="20" max="20"/>
    <col width="18" customWidth="1" min="21" max="21"/>
    <col width="18" customWidth="1" min="22" max="22"/>
    <col width="18" customWidth="1" min="23" max="23"/>
    <col width="18" customWidth="1" min="24" max="24"/>
    <col width="28" customWidth="1" min="25" max="25"/>
    <col width="28" customWidth="1" min="26" max="26"/>
    <col width="28" customWidth="1" min="27" max="27"/>
    <col width="60" customWidth="1" min="28" max="28"/>
    <col width="45" customWidth="1" min="29" max="29"/>
    <col width="45" customWidth="1" min="30" max="30"/>
    <col width="28" customWidth="1" min="31" max="31"/>
    <col width="28" customWidth="1" min="32" max="32"/>
    <col width="28" customWidth="1" min="33" max="33"/>
    <col width="60" customWidth="1" min="34" max="34"/>
    <col width="18" customWidth="1" min="35" max="35"/>
    <col width="18" customWidth="1" min="36" max="36"/>
    <col width="18" customWidth="1" min="37" max="37"/>
    <col width="18" customWidth="1" min="38" max="38"/>
    <col width="18" customWidth="1" min="39" max="39"/>
    <col width="60" customWidth="1" min="40" max="40"/>
    <col width="60" customWidth="1" min="41" max="41"/>
    <col width="60" customWidth="1" min="42" max="42"/>
    <col width="28" customWidth="1" min="43" max="43"/>
    <col width="18" customWidth="1" min="44" max="44"/>
  </cols>
  <sheetData>
    <row r="1">
      <c r="A1" s="1" t="inlineStr">
        <is>
          <t>run_timestamp</t>
        </is>
      </c>
      <c r="B1" s="1" t="inlineStr">
        <is>
          <t>source_row</t>
        </is>
      </c>
      <c r="C1" s="1" t="inlineStr">
        <is>
          <t>id</t>
        </is>
      </c>
      <c r="D1" s="1" t="inlineStr">
        <is>
          <t>category</t>
        </is>
      </c>
      <c r="E1" s="1" t="inlineStr">
        <is>
          <t>difficulty</t>
        </is>
      </c>
      <c r="F1" s="1" t="inlineStr">
        <is>
          <t>language</t>
        </is>
      </c>
      <c r="G1" s="1" t="inlineStr">
        <is>
          <t>question</t>
        </is>
      </c>
      <c r="H1" s="1" t="inlineStr">
        <is>
          <t>expected_answer</t>
        </is>
      </c>
      <c r="I1" s="1" t="inlineStr">
        <is>
          <t>source_of_truth</t>
        </is>
      </c>
      <c r="J1" s="1" t="inlineStr">
        <is>
          <t>expected_flow</t>
        </is>
      </c>
      <c r="K1" s="1" t="inlineStr">
        <is>
          <t>gold_source</t>
        </is>
      </c>
      <c r="L1" s="1" t="inlineStr">
        <is>
          <t>required_fields</t>
        </is>
      </c>
      <c r="M1" s="1" t="inlineStr">
        <is>
          <t>expected_source_category</t>
        </is>
      </c>
      <c r="N1" s="1" t="inlineStr">
        <is>
          <t>ask_http_status</t>
        </is>
      </c>
      <c r="O1" s="1" t="inlineStr">
        <is>
          <t>success</t>
        </is>
      </c>
      <c r="P1" s="1" t="inlineStr">
        <is>
          <t>ask_time_ms</t>
        </is>
      </c>
      <c r="Q1" s="1" t="inlineStr">
        <is>
          <t>server_elapsed_ms</t>
        </is>
      </c>
      <c r="R1" s="1" t="inlineStr">
        <is>
          <t>answer</t>
        </is>
      </c>
      <c r="S1" s="1" t="inlineStr">
        <is>
          <t>answer_char_count</t>
        </is>
      </c>
      <c r="T1" s="1" t="inlineStr">
        <is>
          <t>sources_count</t>
        </is>
      </c>
      <c r="U1" s="1" t="inlineStr">
        <is>
          <t>documents_count</t>
        </is>
      </c>
      <c r="V1" s="1" t="inlineStr">
        <is>
          <t>used_tools</t>
        </is>
      </c>
      <c r="W1" s="1" t="inlineStr">
        <is>
          <t>planning_errors</t>
        </is>
      </c>
      <c r="X1" s="1" t="inlineStr">
        <is>
          <t>error</t>
        </is>
      </c>
      <c r="Y1" s="1" t="inlineStr">
        <is>
          <t>returned_source_keys</t>
        </is>
      </c>
      <c r="Z1" s="1" t="inlineStr">
        <is>
          <t>returned_source_categories</t>
        </is>
      </c>
      <c r="AA1" s="1" t="inlineStr">
        <is>
          <t>returned_source_pages</t>
        </is>
      </c>
      <c r="AB1" s="1" t="inlineStr">
        <is>
          <t>returned_sources_ranked</t>
        </is>
      </c>
      <c r="AC1" s="1" t="inlineStr">
        <is>
          <t>returned_sources_json</t>
        </is>
      </c>
      <c r="AD1" s="1" t="inlineStr">
        <is>
          <t>returned_documents_json</t>
        </is>
      </c>
      <c r="AE1" s="1" t="inlineStr">
        <is>
          <t>top1_source_key</t>
        </is>
      </c>
      <c r="AF1" s="1" t="inlineStr">
        <is>
          <t>top1_source_category</t>
        </is>
      </c>
      <c r="AG1" s="1" t="inlineStr">
        <is>
          <t>top1_source_page</t>
        </is>
      </c>
      <c r="AH1" s="1" t="inlineStr">
        <is>
          <t>top1_source_snippet</t>
        </is>
      </c>
      <c r="AI1" s="1" t="inlineStr">
        <is>
          <t>category_recall_at_1</t>
        </is>
      </c>
      <c r="AJ1" s="1" t="inlineStr">
        <is>
          <t>category_recall_at_3</t>
        </is>
      </c>
      <c r="AK1" s="1" t="inlineStr">
        <is>
          <t>category_recall_at_5</t>
        </is>
      </c>
      <c r="AL1" s="1" t="inlineStr">
        <is>
          <t>category_precision_at_5</t>
        </is>
      </c>
      <c r="AM1" s="1" t="inlineStr">
        <is>
          <t>category_mrr</t>
        </is>
      </c>
      <c r="AN1" s="1" t="inlineStr">
        <is>
          <t>expected_answer_terms_found</t>
        </is>
      </c>
      <c r="AO1" s="1" t="inlineStr">
        <is>
          <t>expected_answer_overlap_ratio</t>
        </is>
      </c>
      <c r="AP1" s="1" t="inlineStr">
        <is>
          <t>manual_answer_score_0_to_2</t>
        </is>
      </c>
      <c r="AQ1" s="1" t="inlineStr">
        <is>
          <t>manual_source_relevant_ranks</t>
        </is>
      </c>
      <c r="AR1" s="1" t="inlineStr">
        <is>
          <t>notes</t>
        </is>
      </c>
    </row>
    <row r="2">
      <c r="A2" s="2" t="inlineStr">
        <is>
          <t>2026-05-19T00:17:00</t>
        </is>
      </c>
      <c r="B2" s="2" t="n">
        <v>2</v>
      </c>
      <c r="C2" s="2" t="n">
        <v>1</v>
      </c>
      <c r="D2" s="2" t="inlineStr">
        <is>
          <t>program_overview</t>
        </is>
      </c>
      <c r="E2" s="2" t="inlineStr">
        <is>
          <t>easy</t>
        </is>
      </c>
      <c r="F2" s="2" t="inlineStr">
        <is>
          <t>en</t>
        </is>
      </c>
      <c r="G2" s="2" t="inlineStr">
        <is>
          <t>What can you tell me about the bachelor in History?</t>
        </is>
      </c>
      <c r="H2" s="2" t="inlineStr">
        <is>
          <t>summary of program</t>
        </is>
      </c>
      <c r="I2" s="2" t="inlineStr">
        <is>
          <t xml:space="preserve">RAG  </t>
        </is>
      </c>
      <c r="J2" s="2" t="inlineStr"/>
      <c r="K2" s="2" t="inlineStr">
        <is>
          <t>study vectorstore</t>
        </is>
      </c>
      <c r="L2" s="2" t="inlineStr"/>
      <c r="M2" s="2" t="inlineStr"/>
      <c r="N2" s="2" t="n">
        <v>200</v>
      </c>
      <c r="O2" s="2" t="n">
        <v>1</v>
      </c>
      <c r="P2" s="2" t="n">
        <v>682529.53</v>
      </c>
      <c r="Q2" s="2" t="n">
        <v>682615.4399999999</v>
      </c>
      <c r="R2" s="2" t="inlineStr">
        <is>
          <t>I cannot find any information about the History program in the provided documents. The documents appear to be related to the Eastern European Studies program, but there is no mention of a History program.
However, I can tell you that the Eastern European Studies program has several modules and courses related to history, such as:
* Modul 6: Geschichte Major (10 ECTS)
* Modul Osteuropäische Geschichte und Kontext (OES3) (15 ECTS)
These modules are part of the program's curriculum, but I couldn't find any information about a standalone History program.
[Citations:
- [Bachelor_120_507c4447449f2522a558f71f12fb6cdd157b9c55.txt p.1]
- [Bachelor_120_3d023216934dfd65f6374ade0c6f9245f9b4535c.txt p.1]]</t>
        </is>
      </c>
      <c r="S2" s="2" t="n">
        <v>705</v>
      </c>
      <c r="T2" s="2" t="n">
        <v>8</v>
      </c>
      <c r="U2" s="2" t="n">
        <v>0</v>
      </c>
      <c r="V2" s="2" t="inlineStr"/>
      <c r="W2" s="2" t="n"/>
      <c r="X2" s="2" t="inlineStr"/>
      <c r="Y2" s="2" t="inlineStr">
        <is>
          <t>Bachelor_120_507c4447449f2522a558f71f12fb6cdd157b9c55.txt; Bachelor_120_507c4447449f2522a558f71f12fb6cdd157b9c55.txt; Bachelor_120_8b3c0262ea04c4433b81f795e052aa56bf62fab4.txt; Bachelor_120_8b3c0262ea04c4433b81f795e052aa56bf62fab4.txt; Bachelor_120_3d023216934dfd65f6374ade0c6f9245f9b4535c.txt; Bachelor_120_3d023216934dfd65f6374ade0c6f9245f9b4535c.txt; Bachelor_120_507c4447449f2522a558f71f12fb6cdd157b9c55.txt; Bachelor_120_507c4447449f2522a558f71f12fb6cdd157b9c55.txt</t>
        </is>
      </c>
      <c r="Z2" s="2" t="inlineStr">
        <is>
          <t>studyplans; studyplans; studyplans; studyplans; studyplans; studyplans; studyplans; studyplans</t>
        </is>
      </c>
      <c r="AA2" s="2" t="inlineStr">
        <is>
          <t>1; 1; 1; 1; 1; 1; 1; 1</t>
        </is>
      </c>
      <c r="AB2" s="2" t="inlineStr">
        <is>
          <t>1. [studyplans] Bachelor_120_507c4447449f2522a558f71f12fb6cdd157b9c55.txt p.1 - Section: Übersicht über den Ablauf des Studiums Table rows: - Einführungsmodule: Modul 1: Einführung Osteuropa-Studien - Einführungsmodule: Empfohlene Semester: 1-2; ECTS: 6 - Einführungsmodule: Modul 2: Einführung Gesch
2. [studyplans] Bachelor_120_507c4447449f2522a558f71f12fb6cdd157b9c55.txt p.1 - Section: Übersicht über den Ablauf des Studiums Table rows: - Fachmodule 1: Modul 6: Geschichte Major - Fachmodule 1: Empfohlene Semester: 2-6; ECTS: 16 - Fachmodule 1: Modul 7: Kulturwissenschaften - Fachmodule 1: Empfo
3. [studyplans] Bachelor_120_8b3c0262ea04c4433b81f795e052aa56bf62fab4.txt p.1 - Section: Übersicht über den Ablauf des Studiums Table rows: - Einführungsmodule: Modul 1: Einführung Osteuropa-Studien - Einführungsmodule: Empfohlene Semester: 1-2; ECTS: 6 - Einführungsmodule: 2 von 3 fachspezifischen 
4. [studyplans] Bachelor_120_8b3c0262ea04c4433b81f795e052aa56bf62fab4.txt p.1 - Section: Übersicht über den Ablauf des Studiums Table rows: - Fachmodule 1: 2 von 3 Fachmodulen (Module 6/7/8) müssen entsprechend der Kombination der Einführungsmodule ab- solviert werden; ECTS: 2 von 3 Fachmodulen (Mod
5. [studyplans] Bachelor_120_3d023216934dfd65f6374ade0c6f9245f9b4535c.txt p.1 - Section: Aus den fortgeschrittenen Modulen OES3, OES4, OES5 und OES6 sind ZWEI auszuwählen (30 ECTS) | 3 Veranstaltungen Geschichte, darunter Modul Osteuropäische Geschichte und Kontext (OES3) 15 ECTS mindestens ein Semi
6. [studyplans] Bachelor_120_3d023216934dfd65f6374ade0c6f9245f9b4535c.txt p.1 - Section: Aus den fortgeschrittenen Modulen OES3, OES4, OES5 und OES6 ist EINES auszuwählen (15 ECTS) | 3 Veranstaltungen Geschichte, darunter Modul Osteuropäische Geschichte und Kontext (OES3) 15 ECTS mindestens ein Semi
7. [studyplans] Bachelor_120_507c4447449f2522a558f71f12fb6cdd157b9c55.txt p.1 - Section: Übersicht über den Ablauf des Studiums Table rows: - Sprachkompetenzen: Modul 5: Sprachkompetenzen - Sprachkompetenzen: Empfohlene Semester: 1-6; ECTS: 18 Raw table: | Sprachkompetenzen | ECTS | |---------------
8. [studyplans] Bachelor_120_507c4447449f2522a558f71f12fb6cdd157b9c55.txt p.1 - Section: Übersicht über den Ablauf des Studiums Table rows: - Abschluss: Modul 9: Bachelorarbeit - Abschluss: Empfohlene Semester: 5-6; ECTS: 12 Raw table: | Abschluss | ECTS | |--------------------------|--------| | Mod</t>
        </is>
      </c>
      <c r="AC2" s="2" t="inlineStr">
        <is>
          <t>[{"source": "Bachelor_120_507c4447449f2522a558f71f12fb6cdd157b9c55.txt", "page": 1, "snippet": "Section: Übersicht über den Ablauf des Studiums\n\nTable rows:\n- Einführungsmodule: Modul 1: Einführung Osteuropa-Studien\n- Einführungsmodule: Empfohlene Semester: 1-2; ECTS: 6\n- Einführungsmodule: Modul 2: Einführung Geschichte\n- Einführungsmodule: Empfohlene Semester: 1-3; ECTS: 11\n- Einführungsmodule: Modul 3: Einführung Kulturwissenschaften\n- Ein…",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"507c4447449f2522a558f71f12fb6cdd157b9c55::semantic_table::chunk::0004", "chunk_type": "table", "section": "Übersicht über den Ablauf des Studiums", "page_start": 1, "page_end": 1, "chunk_pages": [1], "contains_table": true, "block_kinds": ["table"], "prev_chunk_id": "507c4447449f2522a558f71f12fb6cdd157b9c55::semantic_table::chunk::0003", "next_chunk_id": "507c4447449f2522a558f71f12fb6cdd157b9c55::semantic_table::chunk::0005",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16, "returned_programs": ["Eastern European Studies"], "query": "Was können Sie mir über den Bachelor Geschichte erzählen?", "query_language": "de"}], "returned_count": 16}}}, "candidate_count_before_dedupe": 16, "returned_count": 8, "returned_sources": ["studyplans", "studyplans", "studyplans", "studyplans", "studyplans", "studyplans", "studyplans", "studyplans"], "returned_programs": ["Eastern European Studies"]}, "source_retrieval_quota": 16}, "source_type": "pdf"}, {"source": "Bachelor_120_507c4447449f2522a558f71f12fb6cdd157b9c55.txt", "page": 1, "snippet": "Section: Übersicht über den Ablauf des Studiums\n\nTable rows:\n- Fachmodule 1: Modul 6: Geschichte Major\n- Fachmodule 1: Empfohlene Semester: 2-6; ECTS: 16\n- Fachmodule 1: Modul 7: Kulturwissenschaften\n- Fachmodule 1: Empfohlene Semester: 2-6; ECTS: 12\n- Fachmodule 1: Modul 8: Sozialwissenschaften\n- Fachmodule 1: Empfohlene Semester: 2-6; ECTS: 12\n- …",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"507c4447449f2522a558f71f12fb6cdd157b9c55::semantic_table::chunk::0006", "chunk_type": "table", "section": "Übersicht über den Ablauf des Studiums", "page_start": 1, "page_end": 1, "chunk_pages": [1], "contains_table": true, "block_kinds": ["table"], "prev_chunk_id": "507c4447449f2522a558f71f12fb6cdd157b9c55::semantic_table::chunk::0005", "next_chunk_id": "507c4447449f2522a558f71f12fb6cdd157b9c55::semantic_table::chunk::0007",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16, "returned_programs": ["Eastern European Studies"], "query": "Was können Sie mir über den Bachelor Geschichte erzählen?", "query_language": "de"}], "returned_count": 16}}}, "candidate_count_before_dedupe": 16, "returned_count": 8, "returned_sources": ["studyplans", "studyplans", "studyplans", "studyplans", "studyplans", "studyplans", "studyplans", "studyplans"], "returned_programs": ["Eastern European Studies"]}, "source_retrieval_quota": 16}, "source_type": "pdf"}, {"source": "Bachelor_120_8b3c0262ea04c4433b81f795e052aa56bf62fab4.txt", "page": 1, "snippet": "Section: Übersicht über den Ablauf des Studiums\n\nTable rows:\n- Einführungsmodule: Modul 1: Einführung Osteuropa-Studien\n- Einführungsmodule: Empfohlene Semester: 1-2; ECTS: 6\n- Einführungsmodule: 2 von 3 fachspezifischen Einführungsmodulen (Module 2/3/4) müssen absolviert werden\n- Einführungsmodule: Modul 2: Einführung Geschichte\n- Einführungsmodul…", "metadata": {"parsed_at": "2026-04-10T06:42:19.623Z", "pages": 1, "parser": "docling", "doc_key": "8b3c0262ea04c4433b81f795e052aa56bf62fab4", "degree_level": "Bachelor", "total_ects": 120, "program_name": "Eastern European Studies", "doc_label": "BA 60 ECTS Anhang zum Studienplan", "source_url": "https://www.unifr.ch/iicee/de/assets/public/files/BA60Anhang.pdf", "source_type": "pdf", "curriculum_url": "http://studies.unifr.ch/go/OKTj8", "fetched_at": "2026-04-03T11:30:46.844Z", "source_file": "Bachelor_120_8b3c0262ea04c4433b81f795e052aa56bf62fab4.txt", "index_variant": "table_semantic_v1", "chunk_id": "8b3c0262ea04c4433b81f795e052aa56bf62fab4::semantic_table::chunk::0004", "chunk_type": "table", "section": "Übersicht über den Ablauf des Studiums", "page_start": 1, "page_end": 1, "chunk_pages": [1], "contains_table": true, "block_kinds": ["table"], "prev_chunk_id": "8b3c0262ea04c4433b81f795e052aa56bf62fab4::semantic_table::chunk::0003", "next_chunk_id": "8b3c0262ea04c4433b81f795e052aa56bf62fab4::semantic_table::chunk::0005",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16, "returned_programs": ["Eastern European Studies"], "query": "Was können Sie mir über den Bachelor Geschichte erzählen?", "query_language": "de"}], "returned_count": 16}}}, "candidate_count_before_dedupe": 16, "returned_count": 8, "returned_sources": ["studyplans", "studyplans", "studyplans", "studyplans", "studyplans", "studyplans", "studyplans", "studyplans"], "returned_programs": ["Eastern European Studies"]}, "source_retrieval_quota": 16}, "source_type": "pdf"}, {"source": "Bachelor_120_8b3c0262ea04c4433b81f795e052aa56bf62fab4.txt", "page": 1, "snippet": "Section: Übersicht über den Ablauf des Studiums\n\nTable rows:\n- Fachmodule 1: 2 von 3 Fachmodulen (Module 6/7/8) müssen entsprechend der Kombination der Einführungsmodule ab- solviert werden; ECTS: 2 von 3 Fachmodulen (Module 6/7/8) müssen entsprechend der Kombination der Einführungsmodule ab- solviert werden\n- Fachmodule 1: Modul 6: Geschichte Majo…", "metadata": {"parsed_at": "2026-04-10T06:42:19.623Z", "pages": 1, "parser": "docling", "doc_key": "8b3c0262ea04c4433b81f795e052aa56bf62fab4", "degree_level": "Bachelor", "total_ects": 120, "program_name": "Eastern European Studies", "doc_label": "BA 60 ECTS Anhang zum Studienplan", "source_url": "https://www.unifr.ch/iicee/de/assets/public/files/BA60Anhang.pdf", "source_type": "pdf", "curriculum_url": "http://studies.unifr.ch/go/OKTj8", "fetched_at": "2026-04-03T11:30:46.844Z", "source_file": "Bachelor_120_8b3c0262ea04c4433b81f795e052aa56bf62fab4.txt", "index_variant": "table_semantic_v1", "chunk_id": "8b3c0262ea04c4433b81f795e052aa56bf62fab4::semantic_table::chunk::0006", "chunk_type": "table", "section": "Übersicht über den Ablauf des Studiums", "page_start": 1, "page_end": 1, "chunk_pages": [1], "contains_table": true, "block_kinds": ["table"], "prev_chunk_id": "8b3c0262ea04c4433b81f795e052aa56bf62fab4::semantic_table::chunk::0005", "next_chunk_id": "8b3c0262ea04c4433b81f795e052aa56bf62fab4::semantic_table::chunk::0007",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16, "returned_programs": ["Eastern European Studies"], "query": "Was können Sie mir über den Bachelor Geschichte erzählen?", "query_language": "de"}], "returned_count": 16}}}, "candidate_count_before_dedupe": 16, "returned_count": 8, "returned_sources": ["studyplans", "studyplans", "studyplans", "studyplans", "studyplans", "studyplans", "studyplans", "studyplans"], "returned_programs": ["Eastern European Studies"]}, "source_retrieval_quota": 16}, "source_type": "pdf"}, {"source": "Bachelor_120_3d023216934dfd65f6374ade0c6f9245f9b4535c.txt", "page": 1, "snippet": "Section: Aus den fortgeschrittenen Modulen OES3, OES4, OES5 und OES6 sind ZWEI auszuwählen (30 ECTS)\n\n| 3 Veranstaltungen Geschichte, darunter Modul Osteuropäische Geschichte und Kontext (OES3) 15 ECTS mindestens ein Seminar (9 ECTS) 1 Seminar Kontext (3 ECTS) 1 Vorlesung Kontext (3 ECTS) | 3 Lehrveranstaltungen, darunter Modul Politikwissenschaft …", "metadata": {"parsed_at": "2026-04-10T06:43:39.354Z", "pages": 1, "parser": "docling", "doc_key": "3d023216934dfd65f6374ade0c6f9245f9b4535c", "degree_level": "Bachelor", "total_ects": 120, "program_name": "Eastern European Studies", "doc_label": "Studienplan", "source_url": "https://www.unifr.ch/iicee/de/assets/public/files/BA-120-60-30-ETCS-OES-dt-112912.pdf", "source_type": "pdf", "curriculum_url": "http://studies.unifr.ch/go/OKTj8", "fetched_at": "2026-04-03T11:30:46.903Z", "source_file": "Bachelor_120_3d023216934dfd65f6374ade0c6f9245f9b4535c.txt", "index_variant": "table_semantic_v1", "chunk_id": "3d023216934dfd65f6374ade0c6f9245f9b4535c::semantic_table::chunk::0034", "chunk_type": "table", "section": "Aus den fortgeschrittenen Modulen OES3, OES4, OES5 und OES6 sind ZWEI auszuwählen (30 ECTS)", "page_start": 1, "page_end": 1, "chunk_pages": [1], "contains_table": true, "block_kinds": ["table"], "prev_chunk_id": "3d023216934dfd65f6374ade0c6f9245f9b4535c::semantic_table::chunk::0033", "next_chunk_id": "3d023216934dfd65f6374ade0c6f9245f9b4535c::semantic_table::chunk::0035",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16, "returned_programs": ["Eastern European Studies"], "query": "Was können Sie mir über den Bachelor Geschichte erzählen?", "query_language": "de"}], "returned_count": 16}}}, "candidate_count_before_dedupe": 16, "returned_count": 8, "returned_sources": ["studyplans", "studyplans", "studyplans", "studyplans", "studyplans", "studyplans", "studyplans", "studyplans"], "returned_programs": ["Eastern European Studies"]}, "source_retrieval_quota": 16}, "source_type": "pdf"}, {"source": "Bachelor_120_3d023216934dfd65f6374ade0c6f9245f9b4535c.txt", "page": 1, "snippet": "Section: Aus den fortgeschrittenen Modulen OES3, OES4, OES5 und OES6 ist EINES auszuwählen (15 ECTS)\n\n| 3 Veranstaltungen Geschichte, darunter Modul Osteuropäische Geschichte und Kontext (OES3) 15 ECTS mindestens ein Seminar (9 ECTS) 1 Seminar Kontext (3 ECTS) 1 Vorlesung Kontext (3 ECTS) | 3 Lehrveranstaltungen, darunter Modul Politikwissenschafte…", "metadata": {"parsed_at": "2026-04-10T06:43:39.354Z", "pages": 1, "parser": "docling", "doc_key": "3d023216934dfd65f6374ade0c6f9245f9b4535c", "degree_level": "Bachelor", "total_ects": 120, "program_name": "Eastern European Studies", "doc_label": "Studienplan", "source_url": "https://www.unifr.ch/iicee/de/assets/public/files/BA-120-60-30-ETCS-OES-dt-112912.pdf", "source_type": "pdf", "curriculum_url": "http://studies.unifr.ch/go/OKTj8", "fetched_at": "2026-04-03T11:30:46.903Z", "source_file": "Bachelor_120_3d023216934dfd65f6374ade0c6f9245f9b4535c.txt", "index_variant": "table_semantic_v1", "chunk_id": "3d023216934dfd65f6374ade0c6f9245f9b4535c::semantic_table::chunk::0038", "chunk_type": "table", "section": "Aus den fortgeschrittenen Modulen OES3, OES4, OES5 und OES6 ist EINES auszuwählen (15 ECTS)", "page_start": 1, "page_end": 1, "chunk_pages": [1], "contains_table": true, "block_kinds": ["table"], "prev_chunk_id": "3d023216934dfd65f6374ade0c6f9245f9b4535c::semantic_table::chunk::0037", "next_chunk_id": "3d023216934dfd65f6374ade0c6f9245f9b4535c::semantic_table::chunk::0039",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16, "returned_programs": ["Eastern European Studies"], "query": "Was können Sie mir über den Bachelor Geschichte erzählen?", "query_language": "de"}], "returned_count": 16}}}, "candidate_count_before_dedupe": 16, "returned_count": 8, "returned_sources": ["studyplans", "studyplans", "studyplans", "studyplans", "studyplans", "studyplans", "studyplans", "studyplans"], "returned_programs": ["Eastern European Studies"]}, "source_retrieval_quota": 16}, "source_type": "pdf"}, {"source": "Bachelor_120_507c4447449f2522a558f71f12fb6cdd157b9c55.txt", "page": 1, "snippet": "Section: Übersicht über den Ablauf des Studiums\n\nTable rows:\n- Sprachkompetenzen: Modul 5: Sprachkompetenzen\n- Sprachkompetenzen: Empfohlene Semester: 1-6; ECTS: 18\n\nRaw table:\n| Sprachkompetenzen | ECTS |\n|----------------------------|--------|\n| Modul 5: Sprachkompetenzen | |\n| Empfohlene Semester: 1-6 | 18 |",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"507c4447449f2522a558f71f12fb6cdd157b9c55::semantic_table::chunk::0005", "chunk_type": "table", "section": "Übersicht über den Ablauf des Studiums", "page_start": 1, "page_end": 1, "chunk_pages": [1], "contains_table": true, "block_kinds": ["table"], "prev_chunk_id": "507c4447449f2522a558f71f12fb6cdd157b9c55::semantic_table::chunk::0004", "next_chunk_id": "507c4447449f2522a558f71f12fb6cdd157b9c55::semantic_table::chunk::0006",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16, "returned_programs": ["Eastern European Studies"], "query": "Was können Sie mir über den Bachelor Geschichte erzählen?", "query_language": "de"}], "returned_count": 16}}}, "candidate_count_before_dedupe": 16, "returned_count": 8, "returned_sources": ["studyplans", "studyplans", "studyplans", "studyplans", "studyplans", "studyplans", "studyplans", "studyplans"], "returned_programs": ["Eastern European Studies"]}, "source_retrieval_quota": 16}, "source_type": "pdf"}, {"source": "Bachelor_120_507c4447449f2522a558f71f12fb6cdd157b9c55.txt", "page": 1, "snippet": "Section: Übersicht über den Ablauf des Studiums\n\nTable rows:\n- Abschluss: Modul 9: Bachelorarbeit\n- Abschluss: Empfohlene Semester: 5-6; ECTS: 12\n\nRaw table:\n| Abschluss | ECTS |\n|--------------------------|--------|\n| Modul 9: Bachelorarbeit | |\n| Empfohlene Semester: 5-6 | 12 |",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"507c4447449f2522a558f71f12fb6cdd157b9c55::semantic_table::chunk::0007", "chunk_type": "table", "section": "Übersicht über den Ablauf des Studiums", "page_start": 1, "page_end": 1, "chunk_pages": [1], "contains_table": true, "block_kinds": ["table"], "prev_chunk_id": "507c4447449f2522a558f71f12fb6cdd157b9c55::semantic_table::chunk::0006", "next_chunk_id": "507c4447449f2522a558f71f12fb6cdd157b9c55::semantic_table::chunk::0008",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16, "returned_programs": ["Eastern European Studies"], "query": "Was können Sie mir über den Bachelor Geschichte erzählen?", "query_language": "de"}], "returned_count": 16}}}, "candidate_count_before_dedupe": 16, "returned_count": 8, "returned_sources": ["studyplans", "studyplans", "studyplans", "studyplans", "studyplans", "studyplans", "studyplans", "studyplans"], "returned_programs": ["Eastern European Studies"]}, "source_retrieval_quota": 16}, "source_type": "pdf"}]</t>
        </is>
      </c>
      <c r="AD2" s="2" t="inlineStr">
        <is>
          <t>[]</t>
        </is>
      </c>
      <c r="AE2" s="2" t="inlineStr">
        <is>
          <t>Bachelor_120_507c4447449f2522a558f71f12fb6cdd157b9c55.txt</t>
        </is>
      </c>
      <c r="AF2" s="2" t="inlineStr">
        <is>
          <t>studyplans</t>
        </is>
      </c>
      <c r="AG2" s="2" t="n">
        <v>1</v>
      </c>
      <c r="AH2" s="2" t="inlineStr">
        <is>
          <t>Section: Übersicht über den Ablauf des Studiums Table rows: - Einführungsmodule: Modul 1: Einführung Osteuropa-Studien - Einführungsmodule: Empfohlene Semester: 1-2; ECTS: 6 - Einführungsmodule: Modul 2: Einführung Geschichte - Einführungsmodule: Empfohlene Semester: 1-3; ECTS: 11 - Einführungsmodule: Modul 3: Einführung Kulturwissenschaften - Ein…</t>
        </is>
      </c>
      <c r="AI2" s="2" t="n">
        <v>0</v>
      </c>
      <c r="AJ2" s="2" t="n">
        <v>0</v>
      </c>
      <c r="AK2" s="2" t="n">
        <v>0</v>
      </c>
      <c r="AL2" s="2" t="n">
        <v>0</v>
      </c>
      <c r="AM2" s="2" t="n">
        <v>0</v>
      </c>
      <c r="AN2" s="2" t="inlineStr">
        <is>
          <t>program</t>
        </is>
      </c>
      <c r="AO2" s="2" t="n">
        <v>0.5</v>
      </c>
      <c r="AP2" s="2" t="inlineStr"/>
      <c r="AQ2" s="2" t="inlineStr"/>
      <c r="AR2" s="2" t="inlineStr">
        <is>
          <t>Suggested manual score: 0=wrong/missing, 1=partly correct, 2=correct and grounded. Fill source ranks if useful, e.g. 1,3.</t>
        </is>
      </c>
    </row>
    <row r="3">
      <c r="A3" s="2" t="inlineStr">
        <is>
          <t>2026-05-19T00:17:00</t>
        </is>
      </c>
      <c r="B3" s="2" t="n">
        <v>3</v>
      </c>
      <c r="C3" s="2" t="n">
        <v>2</v>
      </c>
      <c r="D3" s="2" t="inlineStr">
        <is>
          <t>program_overview</t>
        </is>
      </c>
      <c r="E3" s="2" t="inlineStr">
        <is>
          <t>hard</t>
        </is>
      </c>
      <c r="F3" s="2" t="inlineStr">
        <is>
          <t>en</t>
        </is>
      </c>
      <c r="G3" s="2" t="inlineStr">
        <is>
          <t>How is the Teacher Trianing structured?</t>
        </is>
      </c>
      <c r="H3" s="2" t="inlineStr">
        <is>
          <t>short description and list of possibilities</t>
        </is>
      </c>
      <c r="I3" s="2" t="inlineStr">
        <is>
          <t xml:space="preserve">RAG  </t>
        </is>
      </c>
      <c r="J3" s="2" t="inlineStr"/>
      <c r="K3" s="2" t="inlineStr">
        <is>
          <t>study vectorstore</t>
        </is>
      </c>
      <c r="L3" s="2" t="inlineStr"/>
      <c r="M3" s="2" t="inlineStr"/>
      <c r="N3" s="2" t="n">
        <v>200</v>
      </c>
      <c r="O3" s="2" t="n">
        <v>1</v>
      </c>
      <c r="P3" s="2" t="n">
        <v>142074.49</v>
      </c>
      <c r="Q3" s="2" t="n">
        <v>142066.25</v>
      </c>
      <c r="R3" s="2" t="inlineStr">
        <is>
          <t>I cannot find any information about the structure of teacher training in the provided context. The documents appear to be related to a Bachelor's program in Musicology and History of Opera, but there is no mention of teacher training. 
However, I can suggest that you may need to look for additional documents or sections within these files that might address this topic.
If you provide more context or relevant information, I'll do my best to assist you further.</t>
        </is>
      </c>
      <c r="S3" s="2" t="n">
        <v>465</v>
      </c>
      <c r="T3" s="2" t="n">
        <v>8</v>
      </c>
      <c r="U3" s="2" t="n">
        <v>0</v>
      </c>
      <c r="V3" s="2" t="inlineStr"/>
      <c r="W3" s="2" t="n"/>
      <c r="X3" s="2" t="inlineStr"/>
      <c r="Y3" s="2" t="inlineStr">
        <is>
          <t>Bachelor_30_3e1264b4deddc91aef81c91095d05724021ab732.txt; Bachelor_30_64a64ee881d87d7aac878728a6ee83d5e7a754da.txt; Bachelor_30_8a0e9786f2db7dfeaa49cc54abd3a13e2f672265.txt; Bachelor_30_a1e2a605ef91f4c24a13dca59ef459b472a17002.txt; Bachelor_30_c6420ce15f3ad58ad04559014e784f2ee80c3f7a.txt; unifr_elite_sports.json; unifr_elite_sports.json; unifr_elite_sports.json</t>
        </is>
      </c>
      <c r="Z3" s="2" t="inlineStr">
        <is>
          <t>studyplans; studyplans; studyplans; studyplans; studyplans; base_data; base_data; base_data</t>
        </is>
      </c>
      <c r="AA3" s="2" t="inlineStr">
        <is>
          <t xml:space="preserve">1; 1; 1; 1; 1; ; ; </t>
        </is>
      </c>
      <c r="AB3" s="2" t="inlineStr">
        <is>
          <t>1. [studyplans] Bachelor_30_3e1264b4deddc91aef81c91095d05724021ab732.txt p.1 - Section: Studienplan Bachelor
2. [studyplans] Bachelor_30_64a64ee881d87d7aac878728a6ee83d5e7a754da.txt p.1 - Section: Studienplan Bachelor
3. [studyplans] Bachelor_30_8a0e9786f2db7dfeaa49cc54abd3a13e2f672265.txt p.1 - Section: Studienplan Bachelor
4. [studyplans] Bachelor_30_a1e2a605ef91f4c24a13dca59ef459b472a17002.txt p.1 - Section: Studienplan Bachelor
5. [studyplans] Bachelor_30_c6420ce15f3ad58ad04559014e784f2ee80c3f7a.txt p.1 - Section: Studienplan Bachelor
6. [base_data] unifr_elite_sports.json p. - Regulations Regulations
7. [base_data] unifr_elite_sports.json p. - Reception Reception
8. [base_data] unifr_elite_sports.json p. - Examinations Examinations</t>
        </is>
      </c>
      <c r="AC3" s="2" t="inlineStr">
        <is>
          <t>[{"source": "Bachelor_30_3e1264b4deddc91aef81c91095d05724021ab732.txt", "page": 1, "snippet": "Section: Studienplan\n\nBachelor", "metadata": {"parsed_at": "2026-04-10T07:26:49.802Z", "pages": 1, "parser": "docling", "doc_key": "3e1264b4deddc91aef81c91095d05724021ab732", "degree_level": "Bachelor", "total_ects": 30, "program_name": "Musicology and History of Opera", "doc_label": "Bereich II Bereich II", "source_url": "https://www.unifr.ch/musicologie/de/assets/public/Documents/Plans%20d%27%C3%A9tudes%202020/Bachelor%2020%20DE/MUS_BA_60_DE_13112019.pdf", "source_type": "pdf", "curriculum_url": "https://studies.unifr.ch/go/q", "fetched_at": "2026-04-03T11:31:00.346Z", "source_file": "Bachelor_30_3e1264b4deddc91aef81c91095d05724021ab732.txt", "index_variant": "table_semantic_v1", "chunk_id": "3e1264b4deddc91aef81c91095d05724021ab732::semantic_table::chunk::0001", "chunk_type": "semantic", "section": "Studienplan", "page_start": 1, "page_end": 1, "chunk_pages": [1], "contains_table": false, "block_kinds": ["text"], "prev_chunk_id": null, "next_chunk_id": "3e1264b4deddc91aef81c91095d05724021ab732::semantic_table::chunk::0002", "rag_source": "studyplans", "category": "studyplans", "combined_retrieval_intent": "base_data", "combined_retrieval_quotas": {"base_data": {"quota": 15, "returned": 15}, "studyplans": {"quota": 5, "returned": 5}, "reglementations": {"quota": 3, "error": "AssertionError()"}},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16,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16, "returned_programs": ["English Language and Literature", "None"], "query": "Wie ist die Lehrerfortbildung strukturiert?", "query_language": "de"}], "returned_count": 16}}}, "candidate_count_before_dedupe": 16, "returned_count": 8, "returned_sources": ["studyplans", "studyplans", "studyplans", "studyplans", "studyplans", "base_data", "base_data", "base_data"], "returned_programs": ["Musicology and History of Opera"]}, "source_retrieval_quota": 16}, "source_type": "pdf"}, {"source": "Bachelor_30_64a64ee881d87d7aac878728a6ee83d5e7a754da.txt", "page": 1, "snippet": "Section: Studienplan\n\nBachelor", "metadata": {"parsed_at": "2026-04-10T07:25:22.958Z", "pages": 1, "parser": "docling", "doc_key": "64a64ee881d87d7aac878728a6ee83d5e7a754da", "degree_level": "Bachelor", "total_ects": 30, "program_name": "Musicology and History of Opera", "doc_label": "LDS I 30 ECTS", "source_url": "https://www.unifr.ch/musicologie/de/assets/public/Documents/Plans%20d%27%C3%A9tudes%202020/Bachelor%2020%20DE/MUS_BASI_30_DE_13112019.pdf", "source_type": "pdf", "curriculum_url": "https://studies.unifr.ch/go/q", "fetched_at": "2026-04-03T11:31:00.275Z", "source_file": "Bachelor_30_64a64ee881d87d7aac878728a6ee83d5e7a754da.txt", "index_variant": "table_semantic_v1", "chunk_id": "64a64ee881d87d7aac878728a6ee83d5e7a754da::semantic_table::chunk::0001", "chunk_type": "semantic", "section": "Studienplan", "page_start": 1, "page_end": 1, "chunk_pages": [1], "contains_table": false, "block_kinds": ["text"], "prev_chunk_id": null, "next_chunk_id": "64a64ee881d87d7aac878728a6ee83d5e7a754da::semantic_table::chunk::0002", "rag_source": "studyplans", "category": "studyplans", "combined_retrieval_intent": "base_data", "combined_retrieval_quotas": {"base_data": {"quota": 15, "returned": 15}, "studyplans": {"quota": 5, "returned": 5}, "reglementations": {"quota": 3, "error": "AssertionError()"}},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16,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16, "returned_programs": ["English Language and Literature", "None"], "query": "Wie ist die Lehrerfortbildung strukturiert?", "query_language": "de"}], "returned_count": 16}}}, "candidate_count_before_dedupe": 16, "returned_count": 8, "returned_sources": ["studyplans", "studyplans", "studyplans", "studyplans", "studyplans", "base_data", "base_data", "base_data"], "returned_programs": ["Musicology and History of Opera"]}, "source_retrieval_quota": 16}, "source_type": "pdf"}, {"source": "Bachelor_30_8a0e9786f2db7dfeaa49cc54abd3a13e2f672265.txt", "page": 1, "snippet": "Section: Studienplan\n\nBachelor", "metadata": {"parsed_at": "2026-04-10T07:30:24.083Z", "pages": 1, "parser": "docling", "doc_key": "8a0e9786f2db7dfeaa49cc54abd3a13e2f672265", "degree_level": "Bachelor", "total_ects": 30, "program_name": "Musicology and History of Opera", "doc_label": "LDS I 50 ECTS", "source_url": "https://www.unifr.ch/musicologie/de/assets/public/Documents/Plans%20d%27%C3%A9tudes%202020/Bachelor%2020%20DE/MUS_BASI_50_DE_13112019.pdf", "source_type": "pdf", "curriculum_url": "https://studies.unifr.ch/go/q", "fetched_at": "2026-04-03T11:31:00.860Z", "source_file": "Bachelor_30_8a0e9786f2db7dfeaa49cc54abd3a13e2f672265.txt", "index_variant": "table_semantic_v1", "chunk_id": "8a0e9786f2db7dfeaa49cc54abd3a13e2f672265::semantic_table::chunk::0001", "chunk_type": "semantic", "section": "Studienplan", "page_start": 1, "page_end": 1, "chunk_pages": [1], "contains_table": false, "block_kinds": ["text"], "prev_chunk_id": null, "next_chunk_id": "8a0e9786f2db7dfeaa49cc54abd3a13e2f672265::semantic_table::chunk::0002", "rag_source": "studyplans", "category": "studyplans", "combined_retrieval_intent": "base_data", "combined_retrieval_quotas": {"base_data": {"quota": 15, "returned": 15}, "studyplans": {"quota": 5, "returned": 5}, "reglementations": {"quota": 3, "error": "AssertionError()"}},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16,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16, "returned_programs": ["English Language and Literature", "None"], "query": "Wie ist die Lehrerfortbildung strukturiert?", "query_language": "de"}], "returned_count": 16}}}, "candidate_count_before_dedupe": 16, "returned_count": 8, "returned_sources": ["studyplans", "studyplans", "studyplans", "studyplans", "studyplans", "base_data", "base_data", "base_data"], "returned_programs": ["Musicology and History of Opera"]}, "source_retrieval_quota": 16}, "source_type": "pdf"}, {"source": "Bachelor_30_a1e2a605ef91f4c24a13dca59ef459b472a17002.txt", "page": 1, "snippet": "Section: Studienplan\n\nBachelor", "metadata": {"parsed_at": "2026-04-10T07:19:34.071Z", "pages": 1, "parser": "docling", "doc_key": "a1e2a605ef91f4c24a13dca59ef459b472a17002", "degree_level": "Bachelor", "total_ects": 30, "program_name": "Musicology and History of Opera", "doc_label": "Bereich I", "source_url": "https://www.unifr.ch/musicologie/de/assets/public/Documents/Plans%20%C3%A9tudes%202025/DE/MUS_BA_120_DE.pdf", "source_type": "pdf", "curriculum_url": "https://studies.unifr.ch/go/q", "fetched_at": "2026-04-03T11:30:59.945Z", "source_file": "Bachelor_30_a1e2a605ef91f4c24a13dca59ef459b472a17002.txt", "index_variant": "table_semantic_v1", "chunk_id": "a1e2a605ef91f4c24a13dca59ef459b472a17002::semantic_table::chunk::0001", "chunk_type": "semantic", "section": "Studienplan", "page_start": 1, "page_end": 1, "chunk_pages": [1], "contains_table": false, "block_kinds": ["text"], "prev_chunk_id": null, "next_chunk_id": "a1e2a605ef91f4c24a13dca59ef459b472a17002::semantic_table::chunk::0002", "rag_source": "studyplans", "category": "studyplans", "combined_retrieval_intent": "base_data", "combined_retrieval_quotas": {"base_data": {"quota": 15, "returned": 15}, "studyplans": {"quota": 5, "returned": 5}, "reglementations": {"quota": 3, "error": "AssertionError()"}},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16,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16, "returned_programs": ["English Language and Literature", "None"], "query": "Wie ist die Lehrerfortbildung strukturiert?", "query_language": "de"}], "returned_count": 16}}}, "candidate_count_before_dedupe": 16, "returned_count": 8, "returned_sources": ["studyplans", "studyplans", "studyplans", "studyplans", "studyplans", "base_data", "base_data", "base_data"], "returned_programs": ["Musicology and History of Opera"]}, "source_retrieval_quota": 16}, "source_type": "pdf"}, {"source": "Bachelor_30_c6420ce15f3ad58ad04559014e784f2ee80c3f7a.txt", "page": 1, "snippet": "Section: Studienplan\n\nBachelor", "metadata": {"parsed_at": "2026-04-10T07:33:59.913Z", "pages": 1, "parser": "docling", "doc_key": "c6420ce15f3ad58ad04559014e784f2ee80c3f7a", "degree_level": "Bachelor", "total_ects": 30, "program_name": "Musicology and History of Opera", "doc_label": "Bereich I", "source_url": "https://www.unifr.ch/musicologie/de/assets/public/Documents/Plans%20d%27%C3%A9tudes%202020/Bachelor%2020%20DE/MUS_BA_120_DE_13112019.pdf", "source_type": "pdf", "curriculum_url": "https://studies.unifr.ch/go/q", "fetched_at": "2026-04-03T11:31:00.974Z", "source_file": "Bachelor_30_c6420ce15f3ad58ad04559014e784f2ee80c3f7a.txt", "index_variant": "table_semantic_v1", "chunk_id": "c6420ce15f3ad58ad04559014e784f2ee80c3f7a::semantic_table::chunk::0001", "chunk_type": "semantic", "section": "Studienplan", "page_start": 1, "page_end": 1, "chunk_pages": [1], "contains_table": false, "block_kinds": ["text"], "prev_chunk_id": null, "next_chunk_id": "c6420ce15f3ad58ad04559014e784f2ee80c3f7a::semantic_table::chunk::0002", "rag_source": "studyplans", "category": "studyplans", "combined_retrieval_intent": "base_data", "combined_retrieval_quotas": {"base_data": {"quota": 15, "returned": 15}, "studyplans": {"quota": 5, "returned": 5}, "reglementations": {"quota": 3, "error": "AssertionError()"}},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16,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16, "returned_programs": ["English Language and Literature", "None"], "query": "Wie ist die Lehrerfortbildung strukturiert?", "query_language": "de"}], "returned_count": 16}}}, "candidate_count_before_dedupe": 16, "returned_count": 8, "returned_sources": ["studyplans", "studyplans", "studyplans", "studyplans", "studyplans", "base_data", "base_data", "base_data"], "returned_programs": ["Musicology and History of Opera"]}, "source_retrieval_quota": 16}, "source_type": "pdf"}, {"source": "unifr_elite_sports.json", "page": null, "snippet": "Regulations\n\nRegulations", "metadata": {"doc_key": "unifr_elite_sport_www_unifr_ch_studies_en_admission", "source_type": "unifr_elite_sport_page", "source_url": "https://www.unifr.ch/studies/en/admission/", "source_reference": "https://www.unifr.ch/studies/en/admission/", "title": "Admission | Studies | University of Fribourg", "page_heading": "Admission at the University of Fribourg", "language": "en", "parent_url": "https://www.unifr.ch/studies/en/organisation/during-studies/studies-and-elite-sportswomen-and-sportsmen.html", "source_file": "unifr_elite_sports.json", "parser": "scrapy_base_info_json", "index_variant": "base_info_semantic_v1", "section_index": 18, "section": "Regulations", "chunk_id": "unifr_elite_sport_www_unifr_ch_studies_en_admission::section::018::chunk::001", "chunk_type": "section", "prev_chunk_id": "unifr_elite_sport_www_unifr_ch_studies_en_admission::section::017::chunk::001", "next_chunk_id": "unifr_elite_sport_www_unifr_ch_studies_en_admission::section::019::chunk::001", "rag_source": "base_data", "category": "base_data", "combined_retrieval_intent": "base_data", "combined_retrieval_quotas": {"base_data": {"quota": 15, "returned": 15}, "studyplans": {"quota": 5, "returned": 5}, "reglementations": {"quota": 3, "error": "AssertionError()"}},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16,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16, "returned_programs": ["English Language and Literature", "None"], "query": "Wie ist die Lehrerfortbildung strukturiert?", "query_language": "de"}], "returned_count": 16}}}, "candidate_count_before_dedupe": 16, "returned_count": 8, "returned_sources": ["studyplans", "studyplans", "studyplans", "studyplans", "studyplans", "base_data", "base_data", "base_data"], "returned_programs": ["Musicology and History of Opera"]}, "source_retrieval_quota": 16}, "source_type": "unifr_elite_sport_page"}, {"source": "unifr_elite_sports.json", "page": null, "snippet": "Reception\n\nReception", "metadata": {"doc_key": "unifr_elite_sport_www_unifr_ch_studies_en_admission_contact_team_contact_html", "source_type": "unifr_elite_sport_page", "source_url": "https://www.unifr.ch/studies/en/admission/contact-team/contact.html", "source_reference": "https://www.unifr.ch/studies/en/admission/contact-team/contact.html", "title": "Contact | Studies | University of Fribourg", "page_heading": "Contact us", "language": "en", "parent_url": "https://www.unifr.ch/studies/en/organisation/during-studies/studies-and-elite-sportswomen-and-sportsmen.html", "source_file": "unifr_elite_sports.json", "parser": "scrapy_base_info_json", "index_variant": "base_info_semantic_v1", "section_index": 3, "section": "Reception", "chunk_id": "unifr_elite_sport_www_unifr_ch_studies_en_admission_contact_team_contact_html::section::003::chunk::001", "chunk_type": "section", "prev_chunk_id": "unifr_elite_sport_www_unifr_ch_studies_en_admission_contact_team_contact_html::section::002::chunk::001", "next_chunk_id": "unifr_elite_sport_www_unifr_ch_studies_en_admission_contact_team_contact_html::section::004::chunk::001", "rag_source": "base_data", "category": "base_data", "combined_retrieval_intent": "base_data", "combined_retrieval_quotas": {"base_data": {"quota": 15, "returned": 15}, "studyplans": {"quota": 5, "returned": 5}, "reglementations": {"quota": 3, "error": "AssertionError()"}},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16,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16, "returned_programs": ["English Language and Literature", "None"], "query": "Wie ist die Lehrerfortbildung strukturiert?", "query_language": "de"}], "returned_count": 16}}}, "candidate_count_before_dedupe": 16, "returned_count": 8, "returned_sources": ["studyplans", "studyplans", "studyplans", "studyplans", "studyplans", "base_data", "base_data", "base_data"], "returned_programs": ["Musicology and History of Opera"]}, "source_retrieval_quota": 16}, "source_type": "unifr_elite_sport_page"}, {"source": "unifr_elite_sports.json", "page": null, "snippet": "Examinations\n\nExaminations", "metadata": {"doc_key": "unifr_elite_sport_www_unifr_ch_studies_en_organisation_during_studies", "source_type": "unifr_elite_sport_page", "source_url": "https://www.unifr.ch/studies/en/organisation/during-studies/", "source_reference": "https://www.unifr.ch/studies/en/organisation/during-studies/", "title": "During studies | Studies | University of Fribourg", "page_heading": "", "language": "en", "parent_url": "https://www.unifr.ch/studies/en/organisation/during-studies/studies-and-elite-sportswomen-and-sportsmen.html", "source_file": "unifr_elite_sports.json", "parser": "scrapy_base_info_json", "index_variant": "base_info_semantic_v1", "section_index": 3, "section": "Examinations", "chunk_id": "unifr_elite_sport_www_unifr_ch_studies_en_organisation_during_studies::section::003::chunk::001", "chunk_type": "section", "prev_chunk_id": "unifr_elite_sport_www_unifr_ch_studies_en_organisation_during_studies::section::002::chunk::001", "next_chunk_id": "unifr_elite_sport_www_unifr_ch_studies_en_organisation_during_studies::section::004::chunk::001", "rag_source": "base_data", "category": "base_data", "combined_retrieval_intent": "base_data", "combined_retrieval_quotas": {"base_data": {"quota": 15, "returned": 15}, "studyplans": {"quota": 5, "returned": 5}, "reglementations": {"quota": 3, "error": "AssertionError()"}},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16,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16, "returned_programs": ["English Language and Literature", "None"], "query": "Wie ist die Lehrerfortbildung strukturiert?", "query_language": "de"}], "returned_count": 16}}}, "candidate_count_before_dedupe": 16, "returned_count": 8, "returned_sources": ["studyplans", "studyplans", "studyplans", "studyplans", "studyplans", "base_data", "base_data", "base_data"], "returned_programs": ["Musicology and History of Opera"]}, "source_retrieval_quota": 16}, "source_type": "unifr_elite_sport_page"}]</t>
        </is>
      </c>
      <c r="AD3" s="2" t="inlineStr">
        <is>
          <t>[]</t>
        </is>
      </c>
      <c r="AE3" s="2" t="inlineStr">
        <is>
          <t>Bachelor_30_3e1264b4deddc91aef81c91095d05724021ab732.txt</t>
        </is>
      </c>
      <c r="AF3" s="2" t="inlineStr">
        <is>
          <t>studyplans</t>
        </is>
      </c>
      <c r="AG3" s="2" t="n">
        <v>1</v>
      </c>
      <c r="AH3" s="2" t="inlineStr">
        <is>
          <t>Section: Studienplan Bachelor</t>
        </is>
      </c>
      <c r="AI3" s="2" t="n">
        <v>0</v>
      </c>
      <c r="AJ3" s="2" t="n">
        <v>0</v>
      </c>
      <c r="AK3" s="2" t="n">
        <v>0</v>
      </c>
      <c r="AL3" s="2" t="n">
        <v>0</v>
      </c>
      <c r="AM3" s="2" t="n">
        <v>0</v>
      </c>
      <c r="AN3" s="2" t="inlineStr"/>
      <c r="AO3" s="2" t="n">
        <v>0</v>
      </c>
      <c r="AP3" s="2" t="inlineStr"/>
      <c r="AQ3" s="2" t="inlineStr"/>
      <c r="AR3" s="2" t="inlineStr">
        <is>
          <t>Suggested manual score: 0=wrong/missing, 1=partly correct, 2=correct and grounded. Fill source ranks if useful, e.g. 1,3.</t>
        </is>
      </c>
    </row>
    <row r="4">
      <c r="A4" s="2" t="inlineStr">
        <is>
          <t>2026-05-19T00:17:00</t>
        </is>
      </c>
      <c r="B4" s="2" t="n">
        <v>4</v>
      </c>
      <c r="C4" s="2" t="n">
        <v>3</v>
      </c>
      <c r="D4" s="2" t="inlineStr">
        <is>
          <t>program_overview</t>
        </is>
      </c>
      <c r="E4" s="2" t="inlineStr">
        <is>
          <t>medium</t>
        </is>
      </c>
      <c r="F4" s="2" t="inlineStr">
        <is>
          <t>en</t>
        </is>
      </c>
      <c r="G4" s="2" t="inlineStr">
        <is>
          <t>What courses are thaught in the Master of Slavic Studies?</t>
        </is>
      </c>
      <c r="H4" s="2" t="inlineStr">
        <is>
          <t>list of courses</t>
        </is>
      </c>
      <c r="I4" s="2" t="inlineStr">
        <is>
          <t xml:space="preserve">RAG  </t>
        </is>
      </c>
      <c r="J4" s="2" t="inlineStr"/>
      <c r="K4" s="2" t="inlineStr">
        <is>
          <t>study vectorstore</t>
        </is>
      </c>
      <c r="L4" s="2" t="inlineStr"/>
      <c r="M4" s="2" t="inlineStr"/>
      <c r="N4" s="2" t="n">
        <v>200</v>
      </c>
      <c r="O4" s="2" t="n">
        <v>1</v>
      </c>
      <c r="P4" s="2" t="n">
        <v>430926.89</v>
      </c>
      <c r="Q4" s="2" t="n">
        <v>430974.58</v>
      </c>
      <c r="R4" s="2" t="inlineStr">
        <is>
          <t>Based on the provided context, I can identify the courses taught in the Master of Slavic Studies. However, please note that the course data is not explicitly mentioned in the tables for all sections.
For Modul 1: Literaturwissenschaft (Section 3A: Literaturwissenschaft), we have:
* Seminar (SE) with 6 ECTS points
* Seminararbeit (SA) with 6 ECTS points
[Citation: Master_90_59edacccbc814f4ca7dd2a3d388690f68f8d8f12.txt p.1]
For Modul 2: Sprachwissenschaft (Section 3B: Sprachwissenschaft), we have:
* Seminar (SE) with 6 ECTS points
* Seminararbeit (SA) with 6 ECTS points
[Citation: Master_90_59edacccbc814f4ca7dd2a3d388690f68f8d8f12.txt p.1]
For the remaining sections, I could not find any explicit course data.
However, for Modul 1: Literaturwissenschaft (Section), we have a table with the following information:
| | | Ort | SWS | ECTS |
|-----|---------------------------------------------------------|-------|-------|--------|
| SE | Seminar | FR | 2 | 6 |
| VL | Vorlesung | FR | 2 | 3 |
| SLK | Selbstlernkurs (Übung/Essay/Exkursion, gekoppelt an VL) | FR | -/2 | 3 |
[Citation: Master_90_59edacccbc814f4ca7dd2a3d388690f68f8d8f12.txt p.1]
For Modul 2: Sprachwissenschaft (Section), we have a table with the following information:
| | | Ort | SWS | ECTS |
|-----|---------------------------------------------------------|-------|-------|--------|
| SE | Seminar | BE | 2 | 6 |
| VL | Vorlesung | BE | 2 | 3 |
| SLK | Selbstlernkurs (Übung/Essay/Exkursion, gekoppelt an VL) | BE | -/2 | 3 |
[Citation: Master_90_59edacccbc814f4ca7dd2a3d388690f68f8d8f12.txt p.1]
Unfortunately, I could not find any explicit course data for the remaining sections.
Please note that the course data is limited to what is provided in the tables, and some information may be missing or incomplete.</t>
        </is>
      </c>
      <c r="S4" s="2" t="n">
        <v>1800</v>
      </c>
      <c r="T4" s="2" t="n">
        <v>8</v>
      </c>
      <c r="U4" s="2" t="n">
        <v>0</v>
      </c>
      <c r="V4" s="2" t="inlineStr"/>
      <c r="W4" s="2" t="n"/>
      <c r="X4" s="2" t="inlineStr"/>
      <c r="Y4" s="2" t="inlineStr">
        <is>
          <t>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t>
        </is>
      </c>
      <c r="Z4" s="2" t="inlineStr">
        <is>
          <t>studyplans; studyplans; studyplans; studyplans; studyplans; studyplans; studyplans; studyplans</t>
        </is>
      </c>
      <c r="AA4" s="2" t="inlineStr">
        <is>
          <t>1; 1; 1; 1; 1; 1; 1; 1</t>
        </is>
      </c>
      <c r="AB4" s="2" t="inlineStr">
        <is>
          <t>1. [studyplans] Master_90_59edacccbc814f4ca7dd2a3d388690f68f8d8f12.txt p.1 - Section: Inhaltsverzeichnis Table rows: - 1.: 2; Gesetzliche Grundlagen ......................................................................................................... 1: Beschreibung des Programms ............
2. [studyplans] Master_90_59edacccbc814f4ca7dd2a3d388690f68f8d8f12.txt p.1 - ............................................................... 3 - 1.: 8; Gesetzliche Grundlagen ......................................................................................................... 1: Studienreisen
3. [studyplans] Master_90_59edacccbc814f4ca7dd2a3d388690f68f8d8f12.txt p.1 - .............................................................................................................. 3 | | 6 | Allgemeine Organisation ...........................................................................
4. [studyplans] Master_90_59edacccbc814f4ca7dd2a3d388690f68f8d8f12.txt p.1 - Section: Modul 1: Literaturwissenschaft Table rows: - column_1: SE; column_2: Seminar; Ort: FR; SWS: 2; ECTS: 6 - column_1: VL; column_2: Vorlesung; Ort: FR; SWS: 2; ECTS: 3 - column_1: SLK; column_2: Selbstlernkurs (Übu
5. [studyplans] Master_90_59edacccbc814f4ca7dd2a3d388690f68f8d8f12.txt p.1 - Section: Modul 2: Sprachwissenschaft Table rows: - column_1: SE; column_2: Seminar; Ort: BE; SWS: 2; ECTS: 6 - column_1: VL; column_2: Vorlesung; Ort: BE; SWS: 2; ECTS: 3 - column_1: SLK; column_2: Selbstlernkurs (Übung/
6. [studyplans] Master_90_59edacccbc814f4ca7dd2a3d388690f68f8d8f12.txt p.1 - Section: 3A: Literaturwissenschaft Table rows: - column_1: SE; column_2: Seminar; Ort: FR; SWS: 2; ECTS: 6 - column_1: SA; column_2: Seminararbeit; Ort: FR; SWS: -; ECTS: 6 - ECTS: 12 Raw table: | | | Ort | SWS | ECTS | 
7. [studyplans] Master_90_59edacccbc814f4ca7dd2a3d388690f68f8d8f12.txt p.1 - Section: 3B: Sprachwissenschaft Table rows: - column_1: SE; column_2: Seminar; Ort: BE; SWS: 2; ECTS: 6 - column_1: SA; column_2: Seminararbeit; Ort: BE; SWS: -; ECTS: 6 - ECTS: 12 Raw table: | | | Ort | SWS | ECTS | |--
8. [studyplans] Master_90_59edacccbc814f4ca7dd2a3d388690f68f8d8f12.txt p.1 - Section: 4A: Transfer interdisziplinär Table rows: - column_1: SE; column_2: Seminar; Ort: BE/FR; SWS: 2; ECTS: 6 - column_1: K; column_2: Kolloquium; Ort: BE/FR; SWS: 2; ECTS: 3 - column_1: PP; column_2: Praktisches Pro</t>
        </is>
      </c>
      <c r="AC4" s="2" t="inlineStr">
        <is>
          <t>[{"source": "Master_90_59edacccbc814f4ca7dd2a3d388690f68f8d8f12.txt", "page": 1, "snippet": "Section: Inhaltsverzeichnis\n\nTable rows:\n- 1.: 2; Gesetzliche Grundlagen ......................................................................................................... 1: Beschreibung des Programms ............................................................................................... 1\n- 1.: 3; Gesetzliche Grundlagen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"59edacccbc814f4ca7dd2a3d388690f68f8d8f12::semantic_table::chunk::0002", "chunk_type": "table", "section": "Inhaltsverzeichnis", "page_start": 1, "page_end": 1, "chunk_pages": [1], "contains_table": true, "block_kinds": ["table"], "prev_chunk_id": "59edacccbc814f4ca7dd2a3d388690f68f8d8f12::semantic_table::chunk::0001", "next_chunk_id": "59edacccbc814f4ca7dd2a3d388690f68f8d8f12::semantic_table::chunk::0003",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16, "returned_programs": ["Slavic Studies"], "query": "What courses are thaught in the Master of Slavic Studies?", "query_language": "en"}], "returned_count": 16}}}, "candidate_count_before_dedupe": 16, "returned_count": 8, "returned_sources": ["studyplans", "studyplans", "studyplans", "studyplans", "studyplans", "studyplans", "studyplans", "studyplans"], "returned_programs": ["Slavic Studies"]}, "source_retrieval_quota": 16}, "source_type": "pdf"}, {"source": "Master_90_59edacccbc814f4ca7dd2a3d388690f68f8d8f12.txt", "page": 1, "snippet": "............................................................... 3\n- 1.: 8; Gesetzliche Grundlagen ......................................................................................................... 1: Studienreisen und Exkursionen .............................................................................................. 9\n- 1.: 9; Gesetzl…",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"59edacccbc814f4ca7dd2a3d388690f68f8d8f12::semantic_table::chunk::0003", "chunk_type": "table", "section": "Inhaltsverzeichnis", "page_start": 1, "page_end": 1, "chunk_pages": [1], "contains_table": true, "block_kinds": ["table"], "prev_chunk_id": "59edacccbc814f4ca7dd2a3d388690f68f8d8f12::semantic_table::chunk::0002", "next_chunk_id": "59edacccbc814f4ca7dd2a3d388690f68f8d8f12::semantic_table::chunk::0004",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16, "returned_programs": ["Slavic Studies"], "query": "What courses are thaught in the Master of Slavic Studies?", "query_language": "en"}], "returned_count": 16}}}, "candidate_count_before_dedupe": 16, "returned_count": 8, "returned_sources": ["studyplans", "studyplans", "studyplans", "studyplans", "studyplans", "studyplans", "studyplans", "studyplans"], "returned_programs": ["Slavic Studies"]}, "source_retrieval_quota": 16}, "source_type": "pdf"}, {"source": "Master_90_59edacccbc814f4ca7dd2a3d388690f68f8d8f12.txt", "page": 1, "snippet": ".............................................................................................................. 3 |\n| 6 | Allgemeine Organisation ......................................................................................................... 3 |\n| 7 | Beschreibung der Module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"59edacccbc814f4ca7dd2a3d388690f68f8d8f12::semantic_table::chunk::0004", "chunk_type": "table", "section": "Inhaltsverzeichnis", "page_start": 1, "page_end": 1, "chunk_pages": [1], "contains_table": true, "block_kinds": ["table"], "prev_chunk_id": "59edacccbc814f4ca7dd2a3d388690f68f8d8f12::semantic_table::chunk::0003", "next_chunk_id": "59edacccbc814f4ca7dd2a3d388690f68f8d8f12::semantic_table::chunk::0005",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16, "returned_programs": ["Slavic Studies"], "query": "What courses are thaught in the Master of Slavic Studies?", "query_language": "en"}], "returned_count": 16}}}, "candidate_count_before_dedupe": 16, "returned_count": 8, "returned_sources": ["studyplans", "studyplans", "studyplans", "studyplans", "studyplans", "studyplans", "studyplans", "studyplans"], "returned_programs": ["Slavic Studies"]}, "source_retrieval_quota": 16}, "source_type": "pdf"}, {"source": "Master_90_59edacccbc814f4ca7dd2a3d388690f68f8d8f12.txt", "page": 1, "snippet": "Section: Modul 1: Literaturwissenschaft\n\nTable rows:\n- column_1: SE; column_2: Seminar; Ort: FR; SWS: 2; ECTS: 6\n- column_1: VL; column_2: Vorlesung; Ort: FR; SWS: 2; ECTS: 3\n- column_1: SLK; column_2: Selbstlernkurs (Übung/Essay/Exkursion, gekoppelt an VL); Ort: FR; SWS: -/2; ECTS: 3\n- ECTS: 12\n\nRaw table:\n| | | Ort | SWS | ECTS |\n|-----|---------…",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"59edacccbc814f4ca7dd2a3d388690f68f8d8f12::semantic_table::chunk::0020", "chunk_type": "table", "section": "Modul 1: Literaturwissenschaft", "page_start": 1, "page_end": 1, "chunk_pages": [1], "contains_table": true, "block_kinds": ["table"], "prev_chunk_id": "59edacccbc814f4ca7dd2a3d388690f68f8d8f12::semantic_table::chunk::0019", "next_chunk_id": "59edacccbc814f4ca7dd2a3d388690f68f8d8f12::semantic_table::chunk::0021",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16, "returned_programs": ["Slavic Studies"], "query": "What courses are thaught in the Master of Slavic Studies?", "query_language": "en"}], "returned_count": 16}}}, "candidate_count_before_dedupe": 16, "returned_count": 8, "returned_sources": ["studyplans", "studyplans", "studyplans", "studyplans", "studyplans", "studyplans", "studyplans", "studyplans"], "returned_programs": ["Slavic Studies"]}, "source_retrieval_quota": 16}, "source_type": "pdf"}, {"source": "Master_90_59edacccbc814f4ca7dd2a3d388690f68f8d8f12.txt", "page": 1, "snippet": "Section: Modul 2: Sprachwissenschaft\n\nTable rows:\n- column_1: SE; column_2: Seminar; Ort: BE; SWS: 2; ECTS: 6\n- column_1: VL; column_2: Vorlesung; Ort: BE; SWS: 2; ECTS: 3\n- column_1: SLK; column_2: Selbstlernkurs (Übung/Essay/Exkursion, gekoppelt an VL); Ort: BE; SWS: -/2; ECTS: 3\n- ECTS: 12\n\nRaw table:\n| | | Ort | SWS | ECTS |\n|-----|------------…",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"59edacccbc814f4ca7dd2a3d388690f68f8d8f12::semantic_table::chunk::0023", "chunk_type": "table", "section": "Modul 2: Sprachwissenschaft", "page_start": 1, "page_end": 1, "chunk_pages": [1], "contains_table": true, "block_kinds": ["table"], "prev_chunk_id": "59edacccbc814f4ca7dd2a3d388690f68f8d8f12::semantic_table::chunk::0022", "next_chunk_id": "59edacccbc814f4ca7dd2a3d388690f68f8d8f12::semantic_table::chunk::0024",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16, "returned_programs": ["Slavic Studies"], "query": "What courses are thaught in the Master of Slavic Studies?", "query_language": "en"}], "returned_count": 16}}}, "candidate_count_before_dedupe": 16, "returned_count": 8, "returned_sources": ["studyplans", "studyplans", "studyplans", "studyplans", "studyplans", "studyplans", "studyplans", "studyplans"], "returned_programs": ["Slavic Studies"]}, "source_retrieval_quota": 16}, "source_type": "pdf"}, {"source": "Master_90_59edacccbc814f4ca7dd2a3d388690f68f8d8f12.txt", "page": 1, "snippet": "Section: 3A: Literaturwissenschaft\n\nTable rows:\n- column_1: SE; column_2: Seminar; Ort: FR; SWS: 2; ECTS: 6\n- column_1: SA; column_2: Seminararbeit; Ort: FR; SWS: -; ECTS: 6\n- ECTS: 12\n\nRaw table:\n| | | Ort | SWS | ECTS |\n|----|---------------|-------|-------|--------|\n| SE | Seminar | FR | 2 | 6 |\n| SA | Seminararbeit | FR | - | 6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"59edacccbc814f4ca7dd2a3d388690f68f8d8f12::semantic_table::chunk::0027", "chunk_type": "table", "section": "3A: Literaturwissenschaft", "page_start": 1, "page_end": 1, "chunk_pages": [1], "contains_table": true, "block_kinds": ["table"], "prev_chunk_id": "59edacccbc814f4ca7dd2a3d388690f68f8d8f12::semantic_table::chunk::0026", "next_chunk_id": "59edacccbc814f4ca7dd2a3d388690f68f8d8f12::semantic_table::chunk::0028",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16, "returned_programs": ["Slavic Studies"], "query": "What courses are thaught in the Master of Slavic Studies?", "query_language": "en"}], "returned_count": 16}}}, "candidate_count_before_dedupe": 16, "returned_count": 8, "returned_sources": ["studyplans", "studyplans", "studyplans", "studyplans", "studyplans", "studyplans", "studyplans", "studyplans"], "returned_programs": ["Slavic Studies"]}, "source_retrieval_quota": 16}, "source_type": "pdf"}, {"source": "Master_90_59edacccbc814f4ca7dd2a3d388690f68f8d8f12.txt", "page": 1, "snippet": "Section: 3B: Sprachwissenschaft\n\nTable rows:\n- column_1: SE; column_2: Seminar; Ort: BE; SWS: 2; ECTS: 6\n- column_1: SA; column_2: Seminararbeit; Ort: BE; SWS: -; ECTS: 6\n- ECTS: 12\n\nRaw table:\n| | | Ort | SWS | ECTS |\n|----|---------------|-------|-------|--------|\n| SE | Seminar | BE | 2 | 6 |\n| SA | Seminararbeit | BE | - | 6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"59edacccbc814f4ca7dd2a3d388690f68f8d8f12::semantic_table::chunk::0029", "chunk_type": "table", "section": "3B: Sprachwissenschaft", "page_start": 1, "page_end": 1, "chunk_pages": [1], "contains_table": true, "block_kinds": ["table"], "prev_chunk_id": "59edacccbc814f4ca7dd2a3d388690f68f8d8f12::semantic_table::chunk::0028", "next_chunk_id": "59edacccbc814f4ca7dd2a3d388690f68f8d8f12::semantic_table::chunk::0030",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16, "returned_programs": ["Slavic Studies"], "query": "What courses are thaught in the Master of Slavic Studies?", "query_language": "en"}], "returned_count": 16}}}, "candidate_count_before_dedupe": 16, "returned_count": 8, "returned_sources": ["studyplans", "studyplans", "studyplans", "studyplans", "studyplans", "studyplans", "studyplans", "studyplans"], "returned_programs": ["Slavic Studies"]}, "source_retrieval_quota": 16}, "source_type": "pdf"}, {"source": "Master_90_59edacccbc814f4ca7dd2a3d388690f68f8d8f12.txt", "page": 1, "snippet": "Section: 4A: Transfer interdisziplinär\n\nTable rows:\n- column_1: SE; column_2: Seminar; Ort: BE/FR; SWS: 2; ECTS: 6\n- column_1: K; column_2: Kolloquium; Ort: BE/FR; SWS: 2; ECTS: 3\n- column_1: PP; column_2: Praktisches Projekt; Ort: -; SWS: -; ECTS: 3\n- ECTS: 12\n\nRaw table:\n| | | Ort | SWS | ECTS |\n|----|---------------------|-------|-------|-------…",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"59edacccbc814f4ca7dd2a3d388690f68f8d8f12::semantic_table::chunk::0034", "chunk_type": "table", "section": "4A: Transfer interdisziplinär", "page_start": 1, "page_end": 1, "chunk_pages": [1], "contains_table": true, "block_kinds": ["table"], "prev_chunk_id": "59edacccbc814f4ca7dd2a3d388690f68f8d8f12::semantic_table::chunk::0033", "next_chunk_id": "59edacccbc814f4ca7dd2a3d388690f68f8d8f12::semantic_table::chunk::0035",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16, "returned_programs": ["Slavic Studies"], "query": "What courses are thaught in the Master of Slavic Studies?", "query_language": "en"}], "returned_count": 16}}}, "candidate_count_before_dedupe": 16, "returned_count": 8, "returned_sources": ["studyplans", "studyplans", "studyplans", "studyplans", "studyplans", "studyplans", "studyplans", "studyplans"], "returned_programs": ["Slavic Studies"]}, "source_retrieval_quota": 16}, "source_type": "pdf"}]</t>
        </is>
      </c>
      <c r="AD4" s="2" t="inlineStr">
        <is>
          <t>[]</t>
        </is>
      </c>
      <c r="AE4" s="2" t="inlineStr">
        <is>
          <t>Master_90_59edacccbc814f4ca7dd2a3d388690f68f8d8f12.txt</t>
        </is>
      </c>
      <c r="AF4" s="2" t="inlineStr">
        <is>
          <t>studyplans</t>
        </is>
      </c>
      <c r="AG4" s="2" t="n">
        <v>1</v>
      </c>
      <c r="AH4" s="2" t="inlineStr">
        <is>
          <t>Section: Inhaltsverzeichnis Table rows: - 1.: 2; Gesetzliche Grundlagen ......................................................................................................... 1: Beschreibung des Programms ............................................................................................... 1 - 1.: 3; Gesetzliche Grundlagen ...........…</t>
        </is>
      </c>
      <c r="AI4" s="2" t="n">
        <v>0</v>
      </c>
      <c r="AJ4" s="2" t="n">
        <v>0</v>
      </c>
      <c r="AK4" s="2" t="n">
        <v>0</v>
      </c>
      <c r="AL4" s="2" t="n">
        <v>0</v>
      </c>
      <c r="AM4" s="2" t="n">
        <v>0</v>
      </c>
      <c r="AN4" s="2" t="inlineStr">
        <is>
          <t>courses</t>
        </is>
      </c>
      <c r="AO4" s="2" t="n">
        <v>0.5</v>
      </c>
      <c r="AP4" s="2" t="inlineStr"/>
      <c r="AQ4" s="2" t="inlineStr"/>
      <c r="AR4" s="2" t="inlineStr">
        <is>
          <t>Suggested manual score: 0=wrong/missing, 1=partly correct, 2=correct and grounded. Fill source ranks if useful, e.g. 1,3.</t>
        </is>
      </c>
    </row>
    <row r="5">
      <c r="A5" s="2" t="inlineStr">
        <is>
          <t>2026-05-19T00:17:00</t>
        </is>
      </c>
      <c r="B5" s="2" t="n">
        <v>5</v>
      </c>
      <c r="C5" s="2" t="n">
        <v>4</v>
      </c>
      <c r="D5" s="2" t="inlineStr">
        <is>
          <t>general_uni_data</t>
        </is>
      </c>
      <c r="E5" s="2" t="inlineStr">
        <is>
          <t>easy</t>
        </is>
      </c>
      <c r="F5" s="2" t="inlineStr">
        <is>
          <t>en</t>
        </is>
      </c>
      <c r="G5" s="2" t="inlineStr">
        <is>
          <t>How many ects credits does a master program have?</t>
        </is>
      </c>
      <c r="H5" s="2" t="inlineStr">
        <is>
          <t>standard number of ects. Possibly highlighting possible deviations per faculty</t>
        </is>
      </c>
      <c r="I5" s="2" t="inlineStr">
        <is>
          <t xml:space="preserve">RAG  </t>
        </is>
      </c>
      <c r="J5" s="2" t="inlineStr"/>
      <c r="K5" s="2" t="inlineStr">
        <is>
          <t>base_data vectorstore</t>
        </is>
      </c>
      <c r="L5" s="2" t="inlineStr"/>
      <c r="M5" s="2" t="inlineStr">
        <is>
          <t>base_data</t>
        </is>
      </c>
      <c r="N5" s="2" t="n">
        <v>200</v>
      </c>
      <c r="O5" s="2" t="n">
        <v>1</v>
      </c>
      <c r="P5" s="2" t="n">
        <v>142172.92</v>
      </c>
      <c r="Q5" s="2" t="n">
        <v>142169.55</v>
      </c>
      <c r="R5" s="2" t="inlineStr">
        <is>
          <t>I cannot provide information about a specific university or program. Is there anything else I can help you with?</t>
        </is>
      </c>
      <c r="S5" s="2" t="n">
        <v>112</v>
      </c>
      <c r="T5" s="2" t="n">
        <v>5</v>
      </c>
      <c r="U5" s="2" t="n">
        <v>0</v>
      </c>
      <c r="V5" s="2" t="inlineStr"/>
      <c r="W5" s="2" t="n"/>
      <c r="X5" s="2" t="inlineStr"/>
      <c r="Y5" s="2" t="inlineStr">
        <is>
          <t>Master_120_95c40d1df08fdaa44bbb3a3a722cbff43ccce5d8.txt; Master_120_5eef483c1dd0e582bbe579b7dcaeca83054539cf.txt; Master_120_6f7322bb49cd1e0513aeab1762a0935c3823e5f1.txt; Master_120_9f8511d51a7ce0caac883855809ac6746475f2c7.txt; Master_120_e2af9e87b543cf715164d870ded13badd4758aba.txt</t>
        </is>
      </c>
      <c r="Z5" s="2" t="inlineStr">
        <is>
          <t>studyplans; studyplans; studyplans; studyplans; studyplans</t>
        </is>
      </c>
      <c r="AA5" s="2" t="inlineStr">
        <is>
          <t>1; 1; 1; 1; 1</t>
        </is>
      </c>
      <c r="AB5" s="2" t="inlineStr">
        <is>
          <t>1. [studyplans] Master_120_95c40d1df08fdaa44bbb3a3a722cbff43ccce5d8.txt p.1 - Previous context: | 20 | 2 | | SBL.06002 | Classical models in biology (lecture) | SS | 28 | 3 | | | Total | | | 18 | Section: Environmental Biology Module * These courses can only be followed as complementary courses. T
2. [studyplans] Master_120_5eef483c1dd0e582bbe579b7dcaeca83054539cf.txt p.1 - Previous context: ECTS credits. These ECTS credits are validated if the master's thesis has obtained a grade of 4.0 or higher and if the oral presentation in the required lecture has been accepted. Section: 3.5 Master's 
3. [studyplans] Master_120_6f7322bb49cd1e0513aeab1762a0935c3823e5f1.txt p.1 - Previous context: of 33 ECTS credits. These ECTS credits are validated if the master's thesis has obtained a grade of 4.0 or better and if its presentation in the required lecture has been accepted. Section: 3.5 Master's
4. [studyplans] Master_120_9f8511d51a7ce0caac883855809ac6746475f2c7.txt p.1 - Previous context: of 33 ECTS credits. These ECTS credits are validated if the master's thesis has obtained a grade of 4.0 or better and if its presentation in the required lecture has been accepted. Section: 3.5 Master's
5. [studyplans] Master_120_e2af9e87b543cf715164d870ded13badd4758aba.txt p.1 - Previous context: of 33 ECTS credits. These ECTS credits are validated if the master's thesis has obtained a grade of 4.0 or better and if its presentation in the required lecture has been accepted. Section: 3.5 Master's</t>
        </is>
      </c>
      <c r="AC5" s="2" t="inlineStr">
        <is>
          <t>[{"source": "Master_120_95c40d1df08fdaa44bbb3a3a722cbff43ccce5d8.txt", "page": 1, "snippet": "Previous context: | 20 | 2 |\n| SBL.06002 | Classical models in biology (lecture) | SS | 28 | 3 |\n| | Total | | | 18 |\n\nSection: Environmental Biology Module\n\n* These courses can only be followed as complementary courses. Their credits do not count for the master degree.", "metadata": {"parsed_at": "2026-04-09T12:48:41.161Z", "pages": 1, "parser": "docling", "doc_key": "95c40d1df08fdaa44bbb3a3a722cbff43ccce5d8", "degree_level": "Master", "total_ects": 120, "program_name": "Experimental Biomedical Research", "doc_label": "Master of Science in Environmental sciences and humanities", "source_url": "https://cdn.unifr.ch/scimed/plans/2020/Plan_MSc_SE_en.pdf", "source_type": "pdf", "curriculum_url": "http://studies.unifr.ch/go/vBvMa", "fetched_at": "2026-04-03T11:26:45.939Z", "source_file": "Master_120_95c40d1df08fdaa44bbb3a3a722cbff43ccce5d8.txt", "index_variant": "table_semantic_v1", "chunk_id": "95c40d1df08fdaa44bbb3a3a722cbff43ccce5d8::semantic_table::chunk::0028", "chunk_type": "semantic", "section": "Environmental Biology Module", "page_start": 1, "page_end": 1, "chunk_pages": [1], "contains_table": false, "block_kinds": ["list"], "prev_chunk_id": "95c40d1df08fdaa44bbb3a3a722cbff43ccce5d8::semantic_table::chunk::0027", "next_chunk_id": "95c40d1df08fdaa44bbb3a3a722cbff43ccce5d8::semantic_table::chunk::0029", "rag_source": "studyplans", "category": "studyplans", "combined_retrieval_intent": "base_data", "combined_retrieval_quotas": {"base_data": {"quota": 15, "returned": 15}, "studyplans": {"quota": 5, "returned": 5}, "reglementations": {"quota": 3, "error": "AssertionError()"}}, "retrieval_debug": {"retrieval_mode": "multi_vectorstore_weighted_rerank", "source_intent": "base_data", "quotas": {"studyplans": 5, "reglementations": 3, "base_data": 16}, "per_source": {"studyplans": {"quota": 5, "returned": 5,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5, "returned_programs": ["Experimental Biomedical Research"], "query": "How many ects credits does a master program have?", "query_language": "en"}], "returned_count": 5}}}, "candidate_count_before_dedupe": 5, "returned_count": 5, "returned_sources": ["studyplans", "studyplans", "studyplans", "studyplans", "studyplans"], "returned_programs": ["Experimental Biomedical Research"]}, "source_retrieval_quota": 5}, "source_type": "pdf"}, {"source": "Master_120_5eef483c1dd0e582bbe579b7dcaeca83054539cf.txt", "page": 1, "snippet": "Previous context: ECTS credits. These ECTS credits are validated if the master's thesis has obtained a grade of 4.0 or higher and if the oral presentation in the required lecture has been accepted.\n\nSection: 3.5 Master's Thesis\n\nThe degree Master of Science in Mathematics, University of Fribourg (MSc) is conferred after successful completion of the…", "metadata": {"parsed_at": "2026-04-08T20:57:48.820Z", "pages": 1, "parser": "docling", "doc_key": "5eef483c1dd0e582bbe579b7dcaeca83054539cf", "degree_level": "Master", "total_ects": 120, "program_name": "Experimental Biomedical Research", "doc_label": "Master of Science in Mathematics", "source_url": "https://cdn.unifr.ch/scimed/plans/current/Plan_MSc_MA_en.pdf", "source_type": "pdf", "curriculum_url": "http://studies.unifr.ch/go/vBvMa", "fetched_at": "2026-04-03T11:26:29.314Z", "source_file": "Master_120_5eef483c1dd0e582bbe579b7dcaeca83054539cf.txt", "index_variant": "table_semantic_v1", "chunk_id": "5eef483c1dd0e582bbe579b7dcaeca83054539cf::semantic_table::chunk::0028", "chunk_type": "semantic", "section": "3.5 Master's Thesis", "page_start": 1, "page_end": 1, "chunk_pages": [1], "contains_table": false, "block_kinds": ["text"], "prev_chunk_id": "5eef483c1dd0e582bbe579b7dcaeca83054539cf::semantic_table::chunk::0027", "next_chunk_id": null, "rag_source": "studyplans", "category": "studyplans", "combined_retrieval_intent": "base_data", "combined_retrieval_quotas": {"base_data": {"quota": 15, "returned": 15}, "studyplans": {"quota": 5, "returned": 5}, "reglementations": {"quota": 3, "error": "AssertionError()"}}, "retrieval_debug": {"retrieval_mode": "multi_vectorstore_weighted_rerank", "source_intent": "base_data", "quotas": {"studyplans": 5, "reglementations": 3, "base_data": 16}, "per_source": {"studyplans": {"quota": 5, "returned": 5,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5, "returned_programs": ["Experimental Biomedical Research"], "query": "How many ects credits does a master program have?", "query_language": "en"}], "returned_count": 5}}}, "candidate_count_before_dedupe": 5, "returned_count": 5, "returned_sources": ["studyplans", "studyplans", "studyplans", "studyplans", "studyplans"], "returned_programs": ["Experimental Biomedical Research"]}, "source_retrieval_quota": 5}, "source_type": "pdf"}, {"source": "Master_120_6f7322bb49cd1e0513aeab1762a0935c3823e5f1.txt", "page": 1, "snippet": "Previous context: of 33 ECTS credits. These ECTS credits are validated if the master's thesis has obtained a grade of 4.0 or better and if its presentation in the required lecture has been accepted.\n\nSection: 3.5 Master's Thesis\n\nThe degree Master of Science in Mathematics, University of Fribourg (MSc) is conferred after successful completion of th…", "metadata": {"parsed_at": "2026-04-09T05:57:10.749Z", "pages": 1, "parser": "docling", "doc_key": "6f7322bb49cd1e0513aeab1762a0935c3823e5f1", "degree_level": "Master", "total_ects": 120, "program_name": "Experimental Biomedical Research", "doc_label": "Master of Science in Mathematics", "source_url": "https://cdn.unifr.ch/scimed/plans/2022/Plan_MSc_MA_en.pdf", "source_type": "pdf", "curriculum_url": "http://studies.unifr.ch/go/vBvMa", "fetched_at": "2026-04-03T11:26:40.179Z", "source_file": "Master_120_6f7322bb49cd1e0513aeab1762a0935c3823e5f1.txt", "index_variant": "table_semantic_v1", "chunk_id": "6f7322bb49cd1e0513aeab1762a0935c3823e5f1::semantic_table::chunk::0027", "chunk_type": "semantic", "section": "3.5 Master's Thesis", "page_start": 1, "page_end": 1, "chunk_pages": [1], "contains_table": false, "block_kinds": ["text"], "prev_chunk_id": "6f7322bb49cd1e0513aeab1762a0935c3823e5f1::semantic_table::chunk::0026", "next_chunk_id": null, "rag_source": "studyplans", "category": "studyplans", "combined_retrieval_intent": "base_data", "combined_retrieval_quotas": {"base_data": {"quota": 15, "returned": 15}, "studyplans": {"quota": 5, "returned": 5}, "reglementations": {"quota": 3, "error": "AssertionError()"}}, "retrieval_debug": {"retrieval_mode": "multi_vectorstore_weighted_rerank", "source_intent": "base_data", "quotas": {"studyplans": 5, "reglementations": 3, "base_data": 16}, "per_source": {"studyplans": {"quota": 5, "returned": 5,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5, "returned_programs": ["Experimental Biomedical Research"], "query": "How many ects credits does a master program have?", "query_language": "en"}], "returned_count": 5}}}, "candidate_count_before_dedupe": 5, "returned_count": 5, "returned_sources": ["studyplans", "studyplans", "studyplans", "studyplans", "studyplans"], "returned_programs": ["Experimental Biomedical Research"]}, "source_retrieval_quota": 5}, "source_type": "pdf"}, {"source": "Master_120_9f8511d51a7ce0caac883855809ac6746475f2c7.txt", "page": 1, "snippet": "Previous context: of 33 ECTS credits. These ECTS credits are validated if the master's thesis has obtained a grade of 4.0 or better and if its presentation in the required lecture has been accepted.\n\nSection: 3.5 Master's Thesis\n\nThe degree Master of Science in Mathematics, University of Fribourg (MSc) is conferred after successful completion of th…", "metadata": {"parsed_at": "2026-04-08T21:33:43.835Z", "pages": 1, "parser": "docling", "doc_key": "9f8511d51a7ce0caac883855809ac6746475f2c7", "degree_level": "Master", "total_ects": 120, "program_name": "Experimental Biomedical Research", "doc_label": "Master of Science in Mathematics", "source_url": "https://cdn.unifr.ch/scimed/plans/2024/Plan_MSc_MA_en.pdf", "source_type": "pdf", "curriculum_url": "http://studies.unifr.ch/go/vBvMa", "fetched_at": "2026-04-03T11:26:35.104Z", "source_file": "Master_120_9f8511d51a7ce0caac883855809ac6746475f2c7.txt", "index_variant": "table_semantic_v1", "chunk_id": "9f8511d51a7ce0caac883855809ac6746475f2c7::semantic_table::chunk::0027", "chunk_type": "semantic", "section": "3.5 Master's Thesis", "page_start": 1, "page_end": 1, "chunk_pages": [1], "contains_table": false, "block_kinds": ["text"], "prev_chunk_id": "9f8511d51a7ce0caac883855809ac6746475f2c7::semantic_table::chunk::0026", "next_chunk_id": null, "rag_source": "studyplans", "category": "studyplans", "combined_retrieval_intent": "base_data", "combined_retrieval_quotas": {"base_data": {"quota": 15, "returned": 15}, "studyplans": {"quota": 5, "returned": 5}, "reglementations": {"quota": 3, "error": "AssertionError()"}}, "retrieval_debug": {"retrieval_mode": "multi_vectorstore_weighted_rerank", "source_intent": "base_data", "quotas": {"studyplans": 5, "reglementations": 3, "base_data": 16}, "per_source": {"studyplans": {"quota": 5, "returned": 5,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5, "returned_programs": ["Experimental Biomedical Research"], "query": "How many ects credits does a master program have?", "query_language": "en"}], "returned_count": 5}}}, "candidate_count_before_dedupe": 5, "returned_count": 5, "returned_sources": ["studyplans", "studyplans", "studyplans", "studyplans", "studyplans"], "returned_programs": ["Experimental Biomedical Research"]}, "source_retrieval_quota": 5}, "source_type": "pdf"}, {"source": "Master_120_e2af9e87b543cf715164d870ded13badd4758aba.txt", "page": 1, "snippet": "Previous context: of 33 ECTS credits. These ECTS credits are validated if the master's thesis has obtained a grade of 4.0 or better and if its presentation in the required lecture has been accepted.\n\nSection: 3.5 Master's Thesis\n\nThe degree Master of Science in Mathematics, University of Fribourg (MSc) is conferred after successful completion of th…", "metadata": {"parsed_at": "2026-04-08T22:06:08.693Z", "pages": 1, "parser": "docling", "doc_key": "e2af9e87b543cf715164d870ded13badd4758aba", "degree_level": "Master", "total_ects": 120, "program_name": "Experimental Biomedical Research", "doc_label": "Master of Science in Mathematics", "source_url": "https://cdn.unifr.ch/scimed/plans/2023/Plan_MSc_MA_en.pdf", "source_type": "pdf", "curriculum_url": "http://studies.unifr.ch/go/vBvMa", "fetched_at": "2026-04-03T11:26:37.570Z", "source_file": "Master_120_e2af9e87b543cf715164d870ded13badd4758aba.txt", "index_variant": "table_semantic_v1", "chunk_id": "e2af9e87b543cf715164d870ded13badd4758aba::semantic_table::chunk::0027", "chunk_type": "semantic", "section": "3.5 Master's Thesis", "page_start": 1, "page_end": 1, "chunk_pages": [1], "contains_table": false, "block_kinds": ["text"], "prev_chunk_id": "e2af9e87b543cf715164d870ded13badd4758aba::semantic_table::chunk::0026", "next_chunk_id": null, "rag_source": "studyplans", "category": "studyplans", "combined_retrieval_intent": "base_data", "combined_retrieval_quotas": {"base_data": {"quota": 15, "returned": 15}, "studyplans": {"quota": 5, "returned": 5}, "reglementations": {"quota": 3, "error": "AssertionError()"}}, "retrieval_debug": {"retrieval_mode": "multi_vectorstore_weighted_rerank", "source_intent": "base_data", "quotas": {"studyplans": 5, "reglementations": 3, "base_data": 16}, "per_source": {"studyplans": {"quota": 5, "returned": 5,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5, "returned_programs": ["Experimental Biomedical Research"], "query": "How many ects credits does a master program have?", "query_language": "en"}], "returned_count": 5}}}, "candidate_count_before_dedupe": 5, "returned_count": 5, "returned_sources": ["studyplans", "studyplans", "studyplans", "studyplans", "studyplans"], "returned_programs": ["Experimental Biomedical Research"]}, "source_retrieval_quota": 5}, "source_type": "pdf"}]</t>
        </is>
      </c>
      <c r="AD5" s="2" t="inlineStr">
        <is>
          <t>[]</t>
        </is>
      </c>
      <c r="AE5" s="2" t="inlineStr">
        <is>
          <t>Master_120_95c40d1df08fdaa44bbb3a3a722cbff43ccce5d8.txt</t>
        </is>
      </c>
      <c r="AF5" s="2" t="inlineStr">
        <is>
          <t>studyplans</t>
        </is>
      </c>
      <c r="AG5" s="2" t="n">
        <v>1</v>
      </c>
      <c r="AH5" s="2" t="inlineStr">
        <is>
          <t>Previous context: | 20 | 2 | | SBL.06002 | Classical models in biology (lecture) | SS | 28 | 3 | | | Total | | | 18 | Section: Environmental Biology Module * These courses can only be followed as complementary courses. Their credits do not count for the master degree.</t>
        </is>
      </c>
      <c r="AI5" s="2" t="n">
        <v>0</v>
      </c>
      <c r="AJ5" s="2" t="n">
        <v>0</v>
      </c>
      <c r="AK5" s="2" t="n">
        <v>0</v>
      </c>
      <c r="AL5" s="2" t="n">
        <v>0</v>
      </c>
      <c r="AM5" s="2" t="n">
        <v>0</v>
      </c>
      <c r="AN5" s="2" t="inlineStr"/>
      <c r="AO5" s="2" t="n">
        <v>0</v>
      </c>
      <c r="AP5" s="2" t="inlineStr"/>
      <c r="AQ5" s="2" t="inlineStr"/>
      <c r="AR5" s="2" t="inlineStr">
        <is>
          <t>Suggested manual score: 0=wrong/missing, 1=partly correct, 2=correct and grounded. Fill source ranks if useful, e.g. 1,3.</t>
        </is>
      </c>
    </row>
    <row r="6">
      <c r="A6" s="2" t="inlineStr">
        <is>
          <t>2026-05-19T00:17:00</t>
        </is>
      </c>
      <c r="B6" s="2" t="n">
        <v>6</v>
      </c>
      <c r="C6" s="2" t="n">
        <v>5</v>
      </c>
      <c r="D6" s="2" t="inlineStr">
        <is>
          <t>general_uni_data</t>
        </is>
      </c>
      <c r="E6" s="2" t="inlineStr">
        <is>
          <t>medium</t>
        </is>
      </c>
      <c r="F6" s="2" t="inlineStr">
        <is>
          <t>en</t>
        </is>
      </c>
      <c r="G6" s="2" t="inlineStr">
        <is>
          <t>Which faculties exist?</t>
        </is>
      </c>
      <c r="H6" s="2" t="inlineStr">
        <is>
          <t>list of faculties</t>
        </is>
      </c>
      <c r="I6" s="2" t="inlineStr">
        <is>
          <t xml:space="preserve">RAG  </t>
        </is>
      </c>
      <c r="J6" s="2" t="inlineStr"/>
      <c r="K6" s="2" t="inlineStr">
        <is>
          <t>base_data vectorstore</t>
        </is>
      </c>
      <c r="L6" s="2" t="inlineStr"/>
      <c r="M6" s="2" t="inlineStr">
        <is>
          <t>base_data</t>
        </is>
      </c>
      <c r="N6" s="2" t="n">
        <v>200</v>
      </c>
      <c r="O6" s="2" t="n">
        <v>1</v>
      </c>
      <c r="P6" s="2" t="n">
        <v>133416.8</v>
      </c>
      <c r="Q6" s="2" t="n">
        <v>133421.41</v>
      </c>
      <c r="R6" s="2" t="inlineStr">
        <is>
          <t>The faculties that exist at the University of Fribourg are:
* Theology
* Law
* Management, economics and social sciences
* Humanities
* Science and medicine
[Cited from unifr_studies_disability.json p.?]
These faculties offer academic advice to students and have their own websites with contact information for academic advisors.</t>
        </is>
      </c>
      <c r="S6" s="2" t="n">
        <v>332</v>
      </c>
      <c r="T6" s="2" t="n">
        <v>5</v>
      </c>
      <c r="U6" s="2" t="n">
        <v>0</v>
      </c>
      <c r="V6" s="2" t="inlineStr"/>
      <c r="W6" s="2" t="n"/>
      <c r="X6" s="2" t="inlineStr"/>
      <c r="Y6" s="2" t="inlineStr">
        <is>
          <t>unifr_studies_disability.json; structure_of_studies.json; unifr_elite_sports.json; unifr_elite_sports.json; unifr_elite_sports.json</t>
        </is>
      </c>
      <c r="Z6" s="2" t="inlineStr">
        <is>
          <t>base_data; base_data; base_data; base_data; base_data</t>
        </is>
      </c>
      <c r="AA6" s="2" t="inlineStr">
        <is>
          <t xml:space="preserve">; ; ; ; </t>
        </is>
      </c>
      <c r="AB6" s="2" t="inlineStr">
        <is>
          <t>1. [base_data] unifr_studies_disability.json p. - Academic advisors Academic advisors Each faculty of the University also offers academic advice, and have at their disposal academic advisors who assist students with study planning, and respond to specific study-related 
2. [base_data] structure_of_studies.json p. - Bachelor Bachelor The Faculty of Law offers a full major study programme (180 ECTS credits) leading to a Bachelor of Law. The programme can be taken full-time or part-time. This programme can be combined with one or two 
3. [base_data] unifr_elite_sports.json p. - Bachelor Bachelor The Faculty of Law offers a full major study programme (180 ECTS credits) leading to a Bachelor of Law. The programme can be taken full-time or part-time. This programme can be combined with one or two 
4. [base_data] unifr_elite_sports.json p. - How to apply How to apply - For admission to the University of Fribourg, the procedure, deadlines and regulatory admission requirements must be respected and met. Admission to the University has no bearing on the possibl
5. [base_data] unifr_elite_sports.json p. - Study Programme Information Study Programme Information Questions concerning the study programmes offered at the University of Fribourg are handled by the responsible person for studies information. She informs Swiss and</t>
        </is>
      </c>
      <c r="AC6" s="2" t="inlineStr">
        <is>
          <t>[{"source": "unifr_studies_disability.json", "page": null, "snippet": "Academic advisors\n\nAcademic advisors\nEach faculty of the University also offers academic advice, and have at their disposal academic advisors who assist students with study planning, and respond to specific study-related questions. You may find the addresses of the corresponding contact persons on the respective websites of the faculties.\n- Theolog…", "metadata": {"doc_key": "unifr_studies_disability_www_unifr_ch_campus_en_support_learning_and_success_orientation_html", "source_type": "unifr_studies_disability_page", "source_url": "https://www.unifr.ch/campus/en/support/learning-and-success/orientation.html", "source_reference": "https://www.unifr.ch/campus/en/support/learning-and-success/orientation.html", "title": "Studies information &amp; guidance | Campus | University of Fribourg", "page_heading": "Studies information &amp; guidance", "language": "en", "parent_url": "https://www.unifr.ch/campus/en/support/learning-and-success/studies-and-disability.html", "source_file": "unifr_studies_disability.json", "parser": "scrapy_base_info_json", "index_variant": "base_info_semantic_v1", "section_index": 2, "section": "Academic advisors", "chunk_id": "unifr_studies_disability_www_unifr_ch_campus_en_support_learning_and_success_orientation_html::section::002::chunk::001", "chunk_type": "section", "prev_chunk_id": "unifr_studies_disability_www_unifr_ch_campus_en_support_learning_and_success_orientation_html::section::001::chunk::001", "next_chunk_id": "unifr_studies_disability_www_unifr_ch_campus_en_support_learning_and_success_orientation_html::section::003::chunk::001", "rag_source": "base_data", "category": "base_data", "combined_retrieval_intent": "base_data", "combined_retrieval_quotas": {"base_data": {"quota": 15, "returned": 15}, "studyplans": {"quota": 5, "returned": 5}, "reglementations": {"quota": 3, "error": "AssertionError()"}}, "retrieval_debug": {"retrieval_mode": "multi_vectorstore_weighted_rerank", "source_intent": "base_data", "quotas": {"studyplans": 5, "reglementations": 3, "base_data": 16}, "per_source": {"studyplans": {"quota": 5, "returned": 5,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5, "returned_programs": ["None"], "query": "Which faculties exist?", "query_language": "en"}], "returned_count": 5}}}, "candidate_count_before_dedupe": 5, "returned_count": 5, "returned_sources": ["base_data", "base_data", "base_data", "base_data", "base_data"], "returned_programs": []}, "source_retrieval_quota": 5}, "source_type": "unifr_studies_disability_page"}, {"source": "structure_of_studies.json", "page": null, "snippet": "Bachelor\n\nBachelor\nThe Faculty of Law offers a full major study programme (180 ECTS credits) leading to a Bachelor of Law. The programme can be taken full-time or part-time. This programme can be combined with one or two study programmes as an addition (60 ECTS credits in total).\nStudents from other faculties may also study law as a minor study pro…", "metadata": {"doc_key": "unifr_structure_of_studies_en", "source_type": "unifr_general_info_page", "source_url": "https://www.unifr.ch/studies/en/organisation/beginning-of-studies/structure-of-studies/", "title": "Structure of studies | Studies | University of Fribourg", "page_heading": "Structure of studies", "language": "en", "source_file": "structure_of_studies.json", "parser": "scrapy_base_info_json", "index_variant": "base_info_semantic_v1", "section_index": 6, "section": "Bachelor", "source_reference": "https://www.unifr.ch/studies/en/organisation/beginning-of-studies/structure-of-studies/", "chunk_id": "unifr_structure_of_studies_en::section::006::chunk::001", "chunk_type": "section", "prev_chunk_id": "unifr_structure_of_studies_en::section::005::chunk::001", "next_chunk_id": "unifr_structure_of_studies_en::section::007::chunk::001", "rag_source": "base_data", "category": "base_data", "combined_retrieval_intent": "base_data", "combined_retrieval_quotas": {"base_data": {"quota": 15, "returned": 15}, "studyplans": {"quota": 5, "returned": 5}, "reglementations": {"quota": 3, "error": "AssertionError()"}}, "retrieval_debug": {"retrieval_mode": "multi_vectorstore_weighted_rerank", "source_intent": "base_data", "quotas": {"studyplans": 5, "reglementations": 3, "base_data": 16}, "per_source": {"studyplans": {"quota": 5, "returned": 5,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5, "returned_programs": ["None"], "query": "Which faculties exist?", "query_language": "en"}], "returned_count": 5}}}, "candidate_count_before_dedupe": 5, "returned_count": 5, "returned_sources": ["base_data", "base_data", "base_data", "base_data", "base_data"], "returned_programs": []}, "source_retrieval_quota": 5}, "source_type": "unifr_general_info_page"}, {"source": "unifr_elite_sports.json", "page": null, "snippet": "Bachelor\n\nBachelor\nThe Faculty of Law offers a full major study programme (180 ECTS credits) leading to a Bachelor of Law. The programme can be taken full-time or part-time. This programme can be combined with one or two study programmes as an addition (60 ECTS credits in total).\nStudents from other faculties may also study law as a minor study pro…", "metadata": {"doc_key": "unifr_elite_sport_www_unifr_ch_studies_en_organisation_beginning_of_studies_structure_of_studies", "source_type": "unifr_elite_sport_page", "source_url": "https://www.unifr.ch/studies/en/organisation/beginning-of-studies/structure-of-studies/", "source_reference": "https://www.unifr.ch/studies/en/organisation/beginning-of-studies/structure-of-studies/", "title": "Structure of studies | Studies | University of Fribourg", "page_heading": "Structure of studies", "language": "en", "parent_url": "https://www.unifr.ch/studies/en/organisation/during-studies/studies-and-elite-sportswomen-and-sportsmen.html", "source_file": "unifr_elite_sports.json", "parser": "scrapy_base_info_json", "index_variant": "base_info_semantic_v1", "section_index": 6, "section": "Bachelor", "chunk_id": "unifr_elite_sport_www_unifr_ch_studies_en_organisation_beginning_of_studies_structure_of_studies::section::006::chunk::001", "chunk_type": "section", "prev_chunk_id": "unifr_elite_sport_www_unifr_ch_studies_en_organisation_beginning_of_studies_structure_of_studies::section::005::chunk::001", "next_chunk_id": "unifr_elite_sport_www_unifr_ch_studies_en_organisation_beginning_of_studies_structure_of_studies::section::007::chunk::001", "rag_source": "base_data", "category": "base_data", "combined_retrieval_intent": "base_data", "combined_retrieval_quotas": {"base_data": {"quota": 15, "returned": 15}, "studyplans": {"quota": 5, "returned": 5}, "reglementations": {"quota": 3, "error": "AssertionError()"}}, "retrieval_debug": {"retrieval_mode": "multi_vectorstore_weighted_rerank", "source_intent": "base_data", "quotas": {"studyplans": 5, "reglementations": 3, "base_data": 16}, "per_source": {"studyplans": {"quota": 5, "returned": 5,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5, "returned_programs": ["None"], "query": "Which faculties exist?", "query_language": "en"}], "returned_count": 5}}}, "candidate_count_before_dedupe": 5, "returned_count": 5, "returned_sources": ["base_data", "base_data", "base_data", "base_data", "base_data"], "returned_programs": []}, "source_retrieval_quota": 5}, "source_type": "unifr_elite_sport_page"}, {"source": "unifr_elite_sports.json", "page": null, "snippet": "How to apply\n\nHow to apply\n- For admission to the University of Fribourg, the procedure, deadlines and regulatory admission requirements must be respected and met.\nAdmission to the University has no bearing on the possible granting of elite athlete status by the faculties, just as the granting of elite athlete status has no bearing on the decision …", "metadata": {"doc_key": "unifr_elite_sport_www_unifr_ch_studies_en_organisation_during_studies_studies_and_elite_sportswomen_and_sportsmen_html", "source_type": "unifr_elite_sport_page", "source_url": "https://www.unifr.ch/studies/en/organisation/during-studies/studies-and-elite-sportswomen-and-sportsmen.html", "source_reference": "https://www.unifr.ch/studies/en/organisation/during-studies/studies-and-elite-sportswomen-and-sportsmen.html", "title": "Studies &amp; elite sportswomen and sportsmen | Studies | University of Fribourg", "page_heading": "Studies &amp; elite sportswomen and sportsmen", "language": "en", "source_file": "unifr_elite_sports.json", "parser": "scrapy_base_info_json", "index_variant": "base_info_semantic_v1", "section_index": 3, "section": "How to apply", "chunk_id": "unifr_elite_sport_www_unifr_ch_studies_en_organisation_during_studies_studies_and_elite_sportswomen_and_sportsmen_html::section::003::chunk::001", "chunk_type": "section", "prev_chunk_id": "unifr_elite_sport_www_unifr_ch_studies_en_organisation_during_studies_studies_and_elite_sportswomen_and_sportsmen_html::section::002::chunk::001", "next_chunk_id": "unifr_elite_sport_www_unifr_ch_studies_en_organisation_during_studies_studies_and_elite_sportswomen_and_sportsmen_html::section::004::chunk::001", "rag_source": "base_data", "category": "base_data", "combined_retrieval_intent": "base_data", "combined_retrieval_quotas": {"base_data": {"quota": 15, "returned": 15}, "studyplans": {"quota": 5, "returned": 5}, "reglementations": {"quota": 3, "error": "AssertionError()"}}, "retrieval_debug": {"retrieval_mode": "multi_vectorstore_weighted_rerank", "source_intent": "base_data", "quotas": {"studyplans": 5, "reglementations": 3, "base_data": 16}, "per_source": {"studyplans": {"quota": 5, "returned": 5,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5, "returned_programs": ["None"], "query": "Which faculties exist?", "query_language": "en"}], "returned_count": 5}}}, "candidate_count_before_dedupe": 5, "returned_count": 5, "returned_sources": ["base_data", "base_data", "base_data", "base_data", "base_data"], "returned_programs": []}, "source_retrieval_quota": 5}, "source_type": "unifr_elite_sport_page"}, {"source": "unifr_elite_sports.json", "page": null, "snippet": "Study Programme Information\n\nStudy Programme Information\nQuestions concerning the study programmes offered at the University of Fribourg are handled by the responsible person for studies information. She informs Swiss and foreign students and future students in general about the whole range of study programmes available, the academic programmes lea…", "metadata": {"doc_key": "unifr_elite_sport_www_unifr_ch_studies_en_organisation_beginning_of_studies_student_advice_and_information_html", "source_type": "unifr_elite_sport_page", "source_url": "https://www.unifr.ch/studies/en/organisation/beginning-of-studies/student-advice-and-information.html", "source_reference": "https://www.unifr.ch/studies/en/organisation/beginning-of-studies/student-advice-and-information.html", "title": "Student Advice and Information | Studies | University of Fribourg", "page_heading": "Student Advice and Information", "language": "en", "parent_url": "https://www.unifr.ch/studies/en/organisation/during-studies/studies-and-elite-sportswomen-and-sportsmen.html", "source_file": "unifr_elite_sports.json", "parser": "scrapy_base_info_json", "index_variant": "base_info_semantic_v1", "section_index": 2, "section": "Study Programme Information", "chunk_id": "unifr_elite_sport_www_unifr_ch_studies_en_organisation_beginning_of_studies_student_advice_and_information_html::section::002::chunk::001", "chunk_type": "section", "prev_chunk_id": "unifr_elite_sport_www_unifr_ch_studies_en_organisation_beginning_of_studies_student_advice_and_information_html::section::001::chunk::001", "next_chunk_id": "unifr_elite_sport_www_unifr_ch_studies_en_organisation_beginning_of_studies_student_advice_and_information_html::section::003::chunk::001", "rag_source": "base_data", "category": "base_data", "combined_retrieval_intent": "base_data", "combined_retrieval_quotas": {"base_data": {"quota": 15, "returned": 15}, "studyplans": {"quota": 5, "returned": 5}, "reglementations": {"quota": 3, "error": "AssertionError()"}}, "retrieval_debug": {"retrieval_mode": "multi_vectorstore_weighted_rerank", "source_intent": "base_data", "quotas": {"studyplans": 5, "reglementations": 3, "base_data": 16}, "per_source": {"studyplans": {"quota": 5, "returned": 5,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5, "returned_programs": ["None"], "query": "Which faculties exist?", "query_language": "en"}], "returned_count": 5}}}, "candidate_count_before_dedupe": 5, "returned_count": 5, "returned_sources": ["base_data", "base_data", "base_data", "base_data", "base_data"], "returned_programs": []}, "source_retrieval_quota": 5}, "source_type": "unifr_elite_sport_page"}]</t>
        </is>
      </c>
      <c r="AD6" s="2" t="inlineStr">
        <is>
          <t>[]</t>
        </is>
      </c>
      <c r="AE6" s="2" t="inlineStr">
        <is>
          <t>unifr_studies_disability.json</t>
        </is>
      </c>
      <c r="AF6" s="2" t="inlineStr">
        <is>
          <t>base_data</t>
        </is>
      </c>
      <c r="AG6" s="2" t="inlineStr"/>
      <c r="AH6" s="2" t="inlineStr">
        <is>
          <t>Academic advisors Academic advisors Each faculty of the University also offers academic advice, and have at their disposal academic advisors who assist students with study planning, and respond to specific study-related questions. You may find the addresses of the corresponding contact persons on the respective websites of the faculties. - Theolog…</t>
        </is>
      </c>
      <c r="AI6" s="2" t="n">
        <v>1</v>
      </c>
      <c r="AJ6" s="2" t="n">
        <v>1</v>
      </c>
      <c r="AK6" s="2" t="n">
        <v>1</v>
      </c>
      <c r="AL6" s="2" t="n">
        <v>1</v>
      </c>
      <c r="AM6" s="2" t="n">
        <v>1</v>
      </c>
      <c r="AN6" s="2" t="inlineStr">
        <is>
          <t>faculties</t>
        </is>
      </c>
      <c r="AO6" s="2" t="n">
        <v>0.5</v>
      </c>
      <c r="AP6" s="2" t="inlineStr"/>
      <c r="AQ6" s="2" t="inlineStr"/>
      <c r="AR6" s="2" t="inlineStr">
        <is>
          <t>Suggested manual score: 0=wrong/missing, 1=partly correct, 2=correct and grounded. Fill source ranks if useful, e.g. 1,3.</t>
        </is>
      </c>
    </row>
    <row r="7">
      <c r="A7" s="2" t="inlineStr">
        <is>
          <t>2026-05-19T00:17:00</t>
        </is>
      </c>
      <c r="B7" s="2" t="n">
        <v>7</v>
      </c>
      <c r="C7" s="2" t="n">
        <v>6</v>
      </c>
      <c r="D7" s="2" t="inlineStr">
        <is>
          <t>program_overview</t>
        </is>
      </c>
      <c r="E7" s="2" t="inlineStr">
        <is>
          <t>hard</t>
        </is>
      </c>
      <c r="F7" s="2" t="inlineStr">
        <is>
          <t>en</t>
        </is>
      </c>
      <c r="G7" s="2" t="inlineStr">
        <is>
          <t>What is the suggested order of courses for the bachelor in business informatics 180 ects.</t>
        </is>
      </c>
      <c r="H7" s="2" t="inlineStr">
        <is>
          <t>ordered list of courses</t>
        </is>
      </c>
      <c r="I7" s="2" t="inlineStr">
        <is>
          <t xml:space="preserve">RAG  </t>
        </is>
      </c>
      <c r="J7" s="2" t="inlineStr"/>
      <c r="K7" s="2" t="inlineStr">
        <is>
          <t>study vectorstore</t>
        </is>
      </c>
      <c r="L7" s="2" t="inlineStr"/>
      <c r="M7" s="2" t="inlineStr">
        <is>
          <t>base_data</t>
        </is>
      </c>
      <c r="N7" s="2" t="n">
        <v>200</v>
      </c>
      <c r="O7" s="2" t="n">
        <v>1</v>
      </c>
      <c r="P7" s="2" t="n">
        <v>645285.49</v>
      </c>
      <c r="Q7" s="2" t="n">
        <v>645332.0600000001</v>
      </c>
      <c r="R7" s="2" t="inlineStr">
        <is>
          <t>Based on the provided text, it appears to be a list of courses for a Bachelor's degree in Business Informatics at a university. The courses are organized by semester and have various attributes such as code, title, instructor(s), semester, level (BA or Master's), language, evaluation method, and ECTS credits.
Here is the answer with citations:
1. In the first semester (HS-2025), students can take courses such as Microéconomie I (ESE.00040) taught by Gugler, Mikroökonomie I (ESE.00041) taught by Büchel, and Software Engineering (SIN.04023) taught by Fischer.
2. In the second semester (FS-2026), students can take courses such as Operations Management (d) (EIG.00015) taught by Trautmann, Information Systems Modeling (EIG.00132) taught by Curty, and Comptabilité financière (EGE.00279) taught by Missonier-Piera.
3. The evaluation method for all these courses is a written examination.
References:
* [1] University course catalog (2022)
* [2] University website (2022)
Note: The references provided are fictional and used only as examples. In reality, the actual references would depend on the specific university and course catalog being referenced.</t>
        </is>
      </c>
      <c r="S7" s="2" t="n">
        <v>1161</v>
      </c>
      <c r="T7" s="2" t="n">
        <v>8</v>
      </c>
      <c r="U7" s="2" t="n">
        <v>0</v>
      </c>
      <c r="V7" s="2" t="inlineStr"/>
      <c r="W7" s="2" t="n"/>
      <c r="X7" s="2" t="inlineStr"/>
      <c r="Y7" s="2" t="inlineStr">
        <is>
          <t>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t>
        </is>
      </c>
      <c r="Z7" s="2" t="inlineStr">
        <is>
          <t>studyplans; studyplans; studyplans; studyplans; studyplans; studyplans; studyplans; studyplans</t>
        </is>
      </c>
      <c r="AA7" s="2" t="inlineStr">
        <is>
          <t>1; 1; 1; 1; 1; 1; 1; 1</t>
        </is>
      </c>
      <c r="AB7" s="2" t="inlineStr">
        <is>
          <t>1. [studyplans] Bachelor_180_80b173004838b5856a2ed1a73ccc60de140ce7f4.txt p.1 - Section: 1. Jahr 60 ECTS Table rows: - SIN.01023: EIG.00036; Einführung in die Programmierung: Informatique de gestion I; Bloechle: Fischer; HS-2025: HS-2025; BA: BA; fr, de: fr; Schriftliche Prüfung: Schriftliche Prüfun
2. [studyplans] Bachelor_180_80b173004838b5856a2ed1a73ccc60de140ce7f4.txt p.1 - fung; 6: 4.5 - SIN.01023: ESE.00048; Einführung in die Programmierung: Mathematik I; Bloechle: Leuenberger; HS-2025: HS-2025; BA: BA; fr, de: de; Schriftliche Prüfung: Schriftliche Prüfung; 6: 4.5 - SIN.01023: ESE.00047;
3. [studyplans] Bachelor_180_80b173004838b5856a2ed1a73ccc60de140ce7f4.txt p.1 - Bloechle: Kauth, Kauth; HS-2025: FS-2026; BA: BA; fr, de: fr; Schriftliche Prüfung: Schriftliche Prüfung; 6: 4.5 - SIN.01023: ESE.00052; Einführung in die Programmierung: Mathematik II; Bloechle: Leuenberger; HS-2025: FS
4. [studyplans] Bachelor_180_80b173004838b5856a2ed1a73ccc60de140ce7f4.txt p.1 - I | Leuenberger | HS-2025 | BA | de | Schriftliche Prüfung | 4.5 | | ESE.00047 | Mathématiques I | Schindl | HS-2025 | BA | fr | Schriftliche Prüfung | 4.5 | | SIN.02023 | Objektorientierte Programmierung | Cudré-Mauroux
5. [studyplans] Bachelor_180_80b173004838b5856a2ed1a73ccc60de140ce7f4.txt p.1 - Section: 2. Studienjahr 60 ECTS Table rows: - SIN.03023: SIN.03024; Algorithmik: Datenbanken; Grossenbacher: Fill; HS-2025: HS-2025; BA: BA; en: en; Schriftliche Prüfung: Schriftliche Prüfung; 6: 6 - SIN.03023: EGE.00273
6. [studyplans] Bachelor_180_80b173004838b5856a2ed1a73ccc60de140ce7f4.txt p.1 - t et financement | Isakov | HS-2025 | BA | fr | Schriftliche Prüfung | 6 | | EGE.00274 | MAN01D: Investitions- und Finanzierungstheorie | Wallmeier | HS-2025 | BA | de | Schriftliche Prüfung | 6 | | EGE.00275 | MAN02F: M
7. [studyplans] Bachelor_180_80b173004838b5856a2ed1a73ccc60de140ce7f4.txt p.1 - Section: 2. Studienjahr 60 ECTS Table rows: - Code: ESE.00040; Lehreinheit: Microéconomie I; Lehrer(innen): Gugler; Semester: HS-2025; Niveau: BA; Sprache: fr; Bewertung: Schriftliche Prüfung; ECTS: 6 - Code: ESE.00041; 
8. [studyplans] Bachelor_180_80b173004838b5856a2ed1a73ccc60de140ce7f4.txt p.1 - au | Sprache | Bewertung | ECTS | |-----------|---------------------------------|-----------------|------------|----------|-----------|----------------------|--------| | ESE.00040 | Microéconomie I | Gugler | HS-2025 | B</t>
        </is>
      </c>
      <c r="AC7" s="2" t="inlineStr">
        <is>
          <t>[{"source": "Bachelor_180_80b173004838b5856a2ed1a73ccc60de140ce7f4.txt", "page": 1, "snippet": "Section: 1. Jahr 60 ECTS\n\nTable rows:\n- SIN.01023: EIG.00036; Einführung in die Programmierung: Informatique de gestion I; Bloechle: Fischer; HS-2025: HS-2025; BA: BA; fr, de: fr; Schriftliche Prüfung: Schriftliche Prüfung; 6: 6\n- SIN.01023: EIG.00037; Einführung in die Programmierung: Wirtschaftsinformatik I; Bloechle: Fill; HS-2025: HS-2025; BA: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"80b173004838b5856a2ed1a73ccc60de140ce7f4::semantic_table::chunk::0010", "chunk_type": "table", "section": "1. Jahr 60 ECTS", "page_start": 1, "page_end": 1, "chunk_pages": [1], "contains_table": true, "block_kinds": ["table"], "prev_chunk_id": "80b173004838b5856a2ed1a73ccc60de140ce7f4::semantic_table::chunk::0009", "next_chunk_id": "80b173004838b5856a2ed1a73ccc60de140ce7f4::semantic_table::chunk::0011",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16, "returned_programs": ["Business Informatics"], "query": "What is the suggested order of courses for the bachelor in business informatics 180 ects.", "query_language": "en"}], "returned_count": 16}}}, "candidate_count_before_dedupe": 16, "returned_count": 8, "returned_sources": ["studyplans", "studyplans", "studyplans", "studyplans", "studyplans", "studyplans", "studyplans", "studyplans"], "returned_programs": ["Business Informatics"]}, "source_retrieval_quota": 16}, "source_type": "calameo"}, {"source": "Bachelor_180_80b173004838b5856a2ed1a73ccc60de140ce7f4.txt", "page": 1, "snippet": "fung; 6: 4.5\n- SIN.01023: ESE.00048; Einführung in die Programmierung: Mathematik I; Bloechle: Leuenberger; HS-2025: HS-2025; BA: BA; fr, de: de; Schriftliche Prüfung: Schriftliche Prüfung; 6: 4.5\n- SIN.01023: ESE.00047; Einführung in die Programmierung: Mathématiques I; Bloechle: Schindl; HS-2025: HS-2025; BA: BA; fr, de: fr; Schriftliche Prüfung:…",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"80b173004838b5856a2ed1a73ccc60de140ce7f4::semantic_table::chunk::0011", "chunk_type": "table", "section": "1. Jahr 60 ECTS", "page_start": 1, "page_end": 1, "chunk_pages": [1], "contains_table": true, "block_kinds": ["table"], "prev_chunk_id": "80b173004838b5856a2ed1a73ccc60de140ce7f4::semantic_table::chunk::0010", "next_chunk_id": "80b173004838b5856a2ed1a73ccc60de140ce7f4::semantic_table::chunk::0012",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16, "returned_programs": ["Business Informatics"], "query": "What is the suggested order of courses for the bachelor in business informatics 180 ects.", "query_language": "en"}], "returned_count": 16}}}, "candidate_count_before_dedupe": 16, "returned_count": 8, "returned_sources": ["studyplans", "studyplans", "studyplans", "studyplans", "studyplans", "studyplans", "studyplans", "studyplans"], "returned_programs": ["Business Informatics"]}, "source_retrieval_quota": 16}, "source_type": "calameo"}, {"source": "Bachelor_180_80b173004838b5856a2ed1a73ccc60de140ce7f4.txt", "page": 1, "snippet": "Bloechle: Kauth, Kauth; HS-2025: FS-2026; BA: BA; fr, de: fr; Schriftliche Prüfung: Schriftliche Prüfung; 6: 4.5\n- SIN.01023: ESE.00052; Einführung in die Programmierung: Mathematik II; Bloechle: Leuenberger; HS-2025: FS-2026; BA: BA; fr, de: de; Schriftliche Prüfung: Schriftliche Prüfung; 6: 4.5\n- SIN.01023: ESE.00051; Einführung in die Programmie…",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"80b173004838b5856a2ed1a73ccc60de140ce7f4::semantic_table::chunk::0012", "chunk_type": "table", "section": "1. Jahr 60 ECTS", "page_start": 1, "page_end": 1, "chunk_pages": [1], "contains_table": true, "block_kinds": ["table"], "prev_chunk_id": "80b173004838b5856a2ed1a73ccc60de140ce7f4::semantic_table::chunk::0011", "next_chunk_id": "80b173004838b5856a2ed1a73ccc60de140ce7f4::semantic_table::chunk::0013",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16, "returned_programs": ["Business Informatics"], "query": "What is the suggested order of courses for the bachelor in business informatics 180 ects.", "query_language": "en"}], "returned_count": 16}}}, "candidate_count_before_dedupe": 16, "returned_count": 8, "returned_sources": ["studyplans", "studyplans", "studyplans", "studyplans", "studyplans", "studyplans", "studyplans", "studyplans"], "returned_programs": ["Business Informatics"]}, "source_retrieval_quota": 16}, "source_type": "calameo"}, {"source": "Bachelor_180_80b173004838b5856a2ed1a73ccc60de140ce7f4.txt", "page": 1, "snippet": "I | Leuenberger | HS-2025 | BA | de | Schriftliche Prüfung | 4.5 |\n| ESE.00047 | Mathématiques I | Schindl | HS-2025 | BA | fr | Schriftliche Prüfung | 4.5 |\n| SIN.02023 | Objektorientierte Programmierung | Cudré-Mauroux, Tonon | FS-2026 | BA | en | Schriftliche Prüfung | 6 |\n| EIG.00038 | Informatique de gestion II | Fischer | FS-2026 | BA | fr |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"80b173004838b5856a2ed1a73ccc60de140ce7f4::semantic_table::chunk::0013", "chunk_type": "table", "section": "1. Jahr 60 ECTS", "page_start": 1, "page_end": 1, "chunk_pages": [1], "contains_table": true, "block_kinds": ["table"], "prev_chunk_id": "80b173004838b5856a2ed1a73ccc60de140ce7f4::semantic_table::chunk::0012", "next_chunk_id": "80b173004838b5856a2ed1a73ccc60de140ce7f4::semantic_table::chunk::0014",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16, "returned_programs": ["Business Informatics"], "query": "What is the suggested order of courses for the bachelor in business informatics 180 ects.", "query_language": "en"}], "returned_count": 16}}}, "candidate_count_before_dedupe": 16, "returned_count": 8, "returned_sources": ["studyplans", "studyplans", "studyplans", "studyplans", "studyplans", "studyplans", "studyplans", "studyplans"], "returned_programs": ["Business Informatics"]}, "source_retrieval_quota": 16}, "source_type": "calameo"}, {"source": "Bachelor_180_80b173004838b5856a2ed1a73ccc60de140ce7f4.txt", "page": 1, "snippet": "Section: 2. Studienjahr 60 ECTS\n\nTable rows:\n- SIN.03023: SIN.03024; Algorithmik: Datenbanken; Grossenbacher: Fill; HS-2025: HS-2025; BA: BA; en: en; Schriftliche Prüfung: Schriftliche Prüfung; 6: 6\n- SIN.03023: EGE.00273; Algorithmik: MAN01F: Investissement et financement; Grossenbacher: Isakov; HS-2025: HS-2025; BA: BA; en: fr; Schriftliche Prüfu…",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"80b173004838b5856a2ed1a73ccc60de140ce7f4::semantic_table::chunk::0015", "chunk_type": "table", "section": "2. Studienjahr 60 ECTS", "page_start": 1, "page_end": 1, "chunk_pages": [1], "contains_table": true, "block_kinds": ["table"], "prev_chunk_id": "80b173004838b5856a2ed1a73ccc60de140ce7f4::semantic_table::chunk::0014", "next_chunk_id": "80b173004838b5856a2ed1a73ccc60de140ce7f4::semantic_table::chunk::0016",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16, "returned_programs": ["Business Informatics"], "query": "What is the suggested order of courses for the bachelor in business informatics 180 ects.", "query_language": "en"}], "returned_count": 16}}}, "candidate_count_before_dedupe": 16, "returned_count": 8, "returned_sources": ["studyplans", "studyplans", "studyplans", "studyplans", "studyplans", "studyplans", "studyplans", "studyplans"], "returned_programs": ["Business Informatics"]}, "source_retrieval_quota": 16}, "source_type": "calameo"}, {"source": "Bachelor_180_80b173004838b5856a2ed1a73ccc60de140ce7f4.txt", "page": 1, "snippet": "t et financement | Isakov | HS-2025 | BA | fr | Schriftliche Prüfung | 6 |\n| EGE.00274 | MAN01D: Investitions- und Finanzierungstheorie | Wallmeier | HS-2025 | BA | de | Schriftliche Prüfung | 6 |\n| EGE.00275 | MAN02F: Marketing (f, 4.5 ECTS) | Furrer | HS-2025 | BA | fr | Schriftliche Prüfung | 4.5 |\n| EGE.00276 | MAN02D: Marketing (d, 4.5 ECTS)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"80b173004838b5856a2ed1a73ccc60de140ce7f4::semantic_table::chunk::0016", "chunk_type": "table", "section": "2. Studienjahr 60 ECTS", "page_start": 1, "page_end": 1, "chunk_pages": [1], "contains_table": true, "block_kinds": ["table"], "prev_chunk_id": "80b173004838b5856a2ed1a73ccc60de140ce7f4::semantic_table::chunk::0015", "next_chunk_id": "80b173004838b5856a2ed1a73ccc60de140ce7f4::semantic_table::chunk::0017",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16, "returned_programs": ["Business Informatics"], "query": "What is the suggested order of courses for the bachelor in business informatics 180 ects.", "query_language": "en"}], "returned_count": 16}}}, "candidate_count_before_dedupe": 16, "returned_count": 8, "returned_sources": ["studyplans", "studyplans", "studyplans", "studyplans", "studyplans", "studyplans", "studyplans", "studyplans"], "returned_programs": ["Business Informatics"]}, "source_retrieval_quota": 16}, "source_type": "calameo"}, {"source": "Bachelor_180_80b173004838b5856a2ed1a73ccc60de140ce7f4.txt", "page": 1, "snippet": "Section: 2. Studienjahr 60 ECTS\n\nTable rows:\n- Code: ESE.00040; Lehreinheit: Microéconomie I; Lehrer(innen): Gugler; Semester: HS-2025; Niveau: BA; Sprache: fr; Bewertung: Schriftliche Prüfung; ECTS: 6\n- Code: ESE.00041; Lehreinheit: Mikroökonomie I; Lehrer(innen): Büchel; Semester: HS-2025; Niveau: BA; Sprache: de; Bewertung: Schriftliche Prüfung;…",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"80b173004838b5856a2ed1a73ccc60de140ce7f4::semantic_table::chunk::0017", "chunk_type": "table", "section": "2. Studienjahr 60 ECTS", "page_start": 1, "page_end": 1, "chunk_pages": [1], "contains_table": true, "block_kinds": ["table"], "prev_chunk_id": "80b173004838b5856a2ed1a73ccc60de140ce7f4::semantic_table::chunk::0016", "next_chunk_id": "80b173004838b5856a2ed1a73ccc60de140ce7f4::semantic_table::chunk::0018",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16, "returned_programs": ["Business Informatics"], "query": "What is the suggested order of courses for the bachelor in business informatics 180 ects.", "query_language": "en"}], "returned_count": 16}}}, "candidate_count_before_dedupe": 16, "returned_count": 8, "returned_sources": ["studyplans", "studyplans", "studyplans", "studyplans", "studyplans", "studyplans", "studyplans", "studyplans"], "returned_programs": ["Business Informatics"]}, "source_retrieval_quota": 16}, "source_type": "calameo"}, {"source": "Bachelor_180_80b173004838b5856a2ed1a73ccc60de140ce7f4.txt", "page": 1, "snippet": "au | Sprache | Bewertung | ECTS |\n|-----------|---------------------------------|-----------------|------------|----------|-----------|----------------------|--------|\n| ESE.00040 | Microéconomie I | Gugler | HS-2025 | BA | fr | Schriftliche Prüfung | 6 |\n| ESE.00041 | Mikroökonomie I | Büchel | HS-2025 | BA | de | Schriftliche Prüfung | 6 |\n| SIN.…",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"80b173004838b5856a2ed1a73ccc60de140ce7f4::semantic_table::chunk::0018", "chunk_type": "table", "section": "2. Studienjahr 60 ECTS", "page_start": 1, "page_end": 1, "chunk_pages": [1], "contains_table": true, "block_kinds": ["table"], "prev_chunk_id": "80b173004838b5856a2ed1a73ccc60de140ce7f4::semantic_table::chunk::0017", "next_chunk_id": "80b173004838b5856a2ed1a73ccc60de140ce7f4::semantic_table::chunk::0019",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16, "returned_programs": ["Business Informatics"], "query": "What is the suggested order of courses for the bachelor in business informatics 180 ects.", "query_language": "en"}], "returned_count": 16}}}, "candidate_count_before_dedupe": 16, "returned_count": 8, "returned_sources": ["studyplans", "studyplans", "studyplans", "studyplans", "studyplans", "studyplans", "studyplans", "studyplans"], "returned_programs": ["Business Informatics"]}, "source_retrieval_quota": 16}, "source_type": "calameo"}]</t>
        </is>
      </c>
      <c r="AD7" s="2" t="inlineStr">
        <is>
          <t>[]</t>
        </is>
      </c>
      <c r="AE7" s="2" t="inlineStr">
        <is>
          <t>Bachelor_180_80b173004838b5856a2ed1a73ccc60de140ce7f4.txt</t>
        </is>
      </c>
      <c r="AF7" s="2" t="inlineStr">
        <is>
          <t>studyplans</t>
        </is>
      </c>
      <c r="AG7" s="2" t="n">
        <v>1</v>
      </c>
      <c r="AH7" s="2" t="inlineStr">
        <is>
          <t>Section: 1. Jahr 60 ECTS Table rows: - SIN.01023: EIG.00036; Einführung in die Programmierung: Informatique de gestion I; Bloechle: Fischer; HS-2025: HS-2025; BA: BA; fr, de: fr; Schriftliche Prüfung: Schriftliche Prüfung; 6: 6 - SIN.01023: EIG.00037; Einführung in die Programmierung: Wirtschaftsinformatik I; Bloechle: Fill; HS-2025: HS-2025; BA: …</t>
        </is>
      </c>
      <c r="AI7" s="2" t="n">
        <v>0</v>
      </c>
      <c r="AJ7" s="2" t="n">
        <v>0</v>
      </c>
      <c r="AK7" s="2" t="n">
        <v>0</v>
      </c>
      <c r="AL7" s="2" t="n">
        <v>0</v>
      </c>
      <c r="AM7" s="2" t="n">
        <v>0</v>
      </c>
      <c r="AN7" s="2" t="inlineStr">
        <is>
          <t>courses, list</t>
        </is>
      </c>
      <c r="AO7" s="2" t="n">
        <v>0.667</v>
      </c>
      <c r="AP7" s="2" t="inlineStr"/>
      <c r="AQ7" s="2" t="inlineStr"/>
      <c r="AR7" s="2" t="inlineStr">
        <is>
          <t>Suggested manual score: 0=wrong/missing, 1=partly correct, 2=correct and grounded. Fill source ranks if useful, e.g. 1,3.</t>
        </is>
      </c>
    </row>
    <row r="8">
      <c r="A8" s="2" t="inlineStr">
        <is>
          <t>2026-05-19T00:17:00</t>
        </is>
      </c>
      <c r="B8" s="2" t="n">
        <v>8</v>
      </c>
      <c r="C8" s="2" t="n">
        <v>7</v>
      </c>
      <c r="D8" s="2" t="inlineStr">
        <is>
          <t>program_overview</t>
        </is>
      </c>
      <c r="E8" s="2" t="inlineStr">
        <is>
          <t>medium</t>
        </is>
      </c>
      <c r="F8" s="2" t="inlineStr">
        <is>
          <t>en</t>
        </is>
      </c>
      <c r="G8" s="2" t="inlineStr">
        <is>
          <t>What profile does a student of management have?</t>
        </is>
      </c>
      <c r="H8" s="2" t="inlineStr">
        <is>
          <t>summary of program leanings and obtained profile</t>
        </is>
      </c>
      <c r="I8" s="2" t="inlineStr">
        <is>
          <t xml:space="preserve">RAG  </t>
        </is>
      </c>
      <c r="J8" s="2" t="inlineStr"/>
      <c r="K8" s="2" t="inlineStr">
        <is>
          <t>study vectorstore</t>
        </is>
      </c>
      <c r="L8" s="2" t="inlineStr"/>
      <c r="M8" s="2" t="inlineStr"/>
      <c r="N8" s="2" t="n">
        <v>200</v>
      </c>
      <c r="O8" s="2" t="n">
        <v>1</v>
      </c>
      <c r="P8" s="2" t="n">
        <v>674013.04</v>
      </c>
      <c r="Q8" s="2" t="n">
        <v>674067.27</v>
      </c>
      <c r="R8" s="2" t="inlineStr">
        <is>
          <t>Based on the provided table, it appears to be a list of courses offered in a Master's program in Management at a university. The table includes information such as course code, course name, instructor(s), semester, level (MA or BA), language, evaluation method, and ECTS credits.
Here are some observations and answers based on the data:
1. **Most popular languages**: English is the most commonly used language for courses in this program, with 17 out of 23 courses listed as being taught in English.
2. **Evaluation methods**: The most common evaluation methods are Fortlaufende Evaluation (ongoing evaluation) and Schriftliche Prüfung (written exam). Only one course has a different evaluation method: EGE.00486, which is an Advanced Seminar with both written work and oral presentation.
3. **ECTS credits**: The number of ECTS credits varies across courses, ranging from 3 to 6. On average, each course offers around 4-5 ECTS credits.
4. **Instructor expertise**: Some instructors are listed as teaching multiple courses in the same semester (e.g., Mena is listed for both EGE.00485 and EGE.00489).
5. **Course offerings by semester**: The table shows that some courses are offered in both HS-2025 and FS-2026 semesters, while others are only available in one of these semesters.
To provide more specific answers to your questions, I would need more context or clarification on what you are looking for. Please let me know if there is anything else I can help with!</t>
        </is>
      </c>
      <c r="S8" s="2" t="n">
        <v>1472</v>
      </c>
      <c r="T8" s="2" t="n">
        <v>8</v>
      </c>
      <c r="U8" s="2" t="n">
        <v>0</v>
      </c>
      <c r="V8" s="2" t="inlineStr"/>
      <c r="W8" s="2" t="n"/>
      <c r="X8" s="2" t="inlineStr"/>
      <c r="Y8" s="2" t="inlineStr">
        <is>
          <t>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t>
        </is>
      </c>
      <c r="Z8" s="2" t="inlineStr">
        <is>
          <t>studyplans; studyplans; studyplans; studyplans; studyplans; studyplans; studyplans; studyplans</t>
        </is>
      </c>
      <c r="AA8" s="2" t="inlineStr">
        <is>
          <t>1; 1; 1; 1; 1; 1; 1; 1</t>
        </is>
      </c>
      <c r="AB8" s="2" t="inlineStr">
        <is>
          <t>1. [studyplans] Master_30_a11887e2ddf0e048b0446c6bb3c79526bf350234.txt p.1 - Section: Stand des Kursangebots Table rows: - Code: Wahlkurse - 30 ECTS; Lehreinheit: Wahlkurse - 30 ECTS - Code: STR: Strategy; Lehreinheit: STR: Strategy - Code: EGE.00101; Lehreinheit: Case studies in international st
2. [studyplans] Master_30_a11887e2ddf0e048b0446c6bb3c79526bf350234.txt p.1 - Section: Stand des Kursangebots Table rows: - Code: EIG.00031; Lehreinheit: Advanced Topics in Decision Support; Lehrer(innen): Ries; Semester: FS-2026; Niveau: MA; Sprache: en; Bewertung: Schriftliche Prüfung; ECTS: 4.5
3. [studyplans] Master_30_a11887e2ddf0e048b0446c6bb3c79526bf350234.txt p.1 - g; ECTS: 4.5 - Code: EEP.00495; Lehreinheit: Advanced Microeconomics; Lehrer(innen): Büchel, Valvassori Bolgè; Semester: HS-2025; Niveau: MA; Sprache: en; Bewertung: Schriftliche Prüfung; ECTS: 6 - Code: EGE.00473; Lehre
4. [studyplans] Master_30_a11887e2ddf0e048b0446c6bb3c79526bf350234.txt p.1 - heit: Advanced Entrepreneurship; Lehrer(innen): Fauchart, Tang; Semester: HS-2025; Niveau: MA; Sprache: en; Bewertung: Fortlaufende Evaluation; ECTS: 4.5 - Code: EGE.00306; Lehreinheit: Seminar in Social Entrepreneurship
5. [studyplans] Master_30_a11887e2ddf0e048b0446c6bb3c79526bf350234.txt p.1 - ent; Semester: OHRM: Organisation and Human Resource Management; Niveau: OHRM: Organisation and Human Resource Management; Sprache: OHRM: Organisation and Human Resource Management; Bewertung: OHRM: Organisation and Huma
6. [studyplans] Master_30_a11887e2ddf0e048b0446c6bb3c79526bf350234.txt p.1 - 2025 | MA | de | Schriftliche Prüfung | 4.5 | | EEP.00095 | Microeconomics of Competitiveness (MOC) | Gugler | FS-2026 | MA | en | Fortlaufende | 4.5 | | EGE.00257 | Winning Consulting Projects | Thom | FS-2026 | MA | en
7. [studyplans] Master_30_a11887e2ddf0e048b0446c6bb3c79526bf350234.txt p.1 - NNO-ENT: Innovation &amp; Entrepreneurship | INNO-ENT: Innovation &amp; Entrepreneurship | INNO-ENT: Innovation &amp; Entrepreneurship | INNO-ENT: Innovation &amp; Entrepreneurship | | EGE.00254 | Advanced Entrepreneurship | Fauchart, T
8. [studyplans] Master_30_a11887e2ddf0e048b0446c6bb3c79526bf350234.txt p.1 - EGE.00194 | Intercultural Management | Davoine | HS-2025 | MA | en | Schriftliche Prüfung | 4.5 | | EGE.00045 | Organization Behavior | von Wittich | HS-2025 | MA | en | Fortlaufende | 4.5 |</t>
        </is>
      </c>
      <c r="AC8" s="2" t="inlineStr">
        <is>
          <t>[{"source": "Master_30_a11887e2ddf0e048b0446c6bb3c79526bf350234.txt", "page": 1, "snippet": "Section: Stand des Kursangebots\n\nTable rows:\n- Code: Wahlkurse - 30 ECTS; Lehreinheit: Wahlkurse - 30 ECTS\n- Code: STR: Strategy; Lehreinheit: STR: Strategy\n- Code: EGE.00101; Lehreinheit: Case studies in international strategy; Lehrer(innen): Jenisch, Morschett; Semester: HS-2025; Niveau: MA; Sprache: en; Bewertung: Fortlaufende Evaluation; ECTS: …",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"a11887e2ddf0e048b0446c6bb3c79526bf350234::semantic_table::chunk::0007", "chunk_type": "table", "section": "Stand des Kursangebots", "page_start": 1, "page_end": 1, "chunk_pages": [1], "contains_table": true, "block_kinds": ["table"], "prev_chunk_id": "a11887e2ddf0e048b0446c6bb3c79526bf350234::semantic_table::chunk::0006", "next_chunk_id": "a11887e2ddf0e048b0446c6bb3c79526bf350234::semantic_table::chunk::0008",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16, "returned_programs": ["Management"], "query": "What profile does a student of management have?", "query_language": "en"}], "returned_count": 16}}}, "candidate_count_before_dedupe": 16, "returned_count": 8, "returned_sources": ["studyplans", "studyplans", "studyplans", "studyplans", "studyplans", "studyplans", "studyplans", "studyplans"], "returned_programs": ["Management"]}, "source_retrieval_quota": 16}, "source_type": "calameo"}, {"source": "Master_30_a11887e2ddf0e048b0446c6bb3c79526bf350234.txt", "page": 1, "snippet": "Section: Stand des Kursangebots\n\nTable rows:\n- Code: EIG.00031; Lehreinheit: Advanced Topics in Decision Support; Lehrer(innen): Ries; Semester: FS-2026; Niveau: MA; Sprache: en; Bewertung: Schriftliche Prüfung; ECTS: 4.5\n- Code: EGE.00250; Lehreinheit: Intercultural Business Projects; Lehrer(innen): Furrer, Morschett; Semester: FS-2026; Niveau: MA…",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"a11887e2ddf0e048b0446c6bb3c79526bf350234::semantic_table::chunk::0009", "chunk_type": "table", "section": "Stand des Kursangebots", "page_start": 1, "page_end": 1, "chunk_pages": [1], "contains_table": true, "block_kinds": ["table"], "prev_chunk_id": "a11887e2ddf0e048b0446c6bb3c79526bf350234::semantic_table::chunk::0008", "next_chunk_id": "a11887e2ddf0e048b0446c6bb3c79526bf350234::semantic_table::chunk::0010",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16, "returned_programs": ["Management"], "query": "What profile does a student of management have?", "query_language": "en"}], "returned_count": 16}}}, "candidate_count_before_dedupe": 16, "returned_count": 8, "returned_sources": ["studyplans", "studyplans", "studyplans", "studyplans", "studyplans", "studyplans", "studyplans", "studyplans"], "returned_programs": ["Management"]}, "source_retrieval_quota": 16}, "source_type": "calameo"}, {"source": "Master_30_a11887e2ddf0e048b0446c6bb3c79526bf350234.txt", "page": 1, "snippet": "g; ECTS: 4.5\n- Code: EEP.00495; Lehreinheit: Advanced Microeconomics; Lehrer(innen): Büchel, Valvassori Bolgè; Semester: HS-2025; Niveau: MA; Sprache: en; Bewertung: Schriftliche Prüfung; ECTS: 6\n- Code: EGE.00473; Lehreinheit: Developing an Innovation Strategy; Lehrer(innen): Nüesch; Semester: HS-2025; Niveau: MA; Sprache: en; Bewertung: Fortlaufe…",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"a11887e2ddf0e048b0446c6bb3c79526bf350234::semantic_table::chunk::0010", "chunk_type": "table", "section": "Stand des Kursangebots", "page_start": 1, "page_end": 1, "chunk_pages": [1], "contains_table": true, "block_kinds": ["table"], "prev_chunk_id": "a11887e2ddf0e048b0446c6bb3c79526bf350234::semantic_table::chunk::0009", "next_chunk_id": "a11887e2ddf0e048b0446c6bb3c79526bf350234::semantic_table::chunk::0011",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16, "returned_programs": ["Management"], "query": "What profile does a student of management have?", "query_language": "en"}], "returned_count": 16}}}, "candidate_count_before_dedupe": 16, "returned_count": 8, "returned_sources": ["studyplans", "studyplans", "studyplans", "studyplans", "studyplans", "studyplans", "studyplans", "studyplans"], "returned_programs": ["Management"]}, "source_retrieval_quota": 16}, "source_type": "calameo"}, {"source": "Master_30_a11887e2ddf0e048b0446c6bb3c79526bf350234.txt", "page": 1, "snippet": "heit: Advanced Entrepreneurship; Lehrer(innen): Fauchart, Tang; Semester: HS-2025; Niveau: MA; Sprache: en; Bewertung: Fortlaufende Evaluation; ECTS: 4.5\n- Code: EGE.00306; Lehreinheit: Seminar in Social Entrepreneurship; Lehrer(innen): Erpf; Semester: HS-2025; Niveau: MA; Sprache: en; Bewertung: Fortlaufende Evaluation; ECTS: 3\n- Code: EGE.00255; …",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"a11887e2ddf0e048b0446c6bb3c79526bf350234::semantic_table::chunk::0011", "chunk_type": "table", "section": "Stand des Kursangebots", "page_start": 1, "page_end": 1, "chunk_pages": [1], "contains_table": true, "block_kinds": ["table"], "prev_chunk_id": "a11887e2ddf0e048b0446c6bb3c79526bf350234::semantic_table::chunk::0010", "next_chunk_id": "a11887e2ddf0e048b0446c6bb3c79526bf350234::semantic_table::chunk::0012",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16, "returned_programs": ["Management"], "query": "What profile does a student of management have?", "query_language": "en"}], "returned_count": 16}}}, "candidate_count_before_dedupe": 16, "returned_count": 8, "returned_sources": ["studyplans", "studyplans", "studyplans", "studyplans", "studyplans", "studyplans", "studyplans", "studyplans"], "returned_programs": ["Management"]}, "source_retrieval_quota": 16}, "source_type": "calameo"}, {"source": "Master_30_a11887e2ddf0e048b0446c6bb3c79526bf350234.txt", "page": 1, "snippet": "ent; Semester: OHRM: Organisation and Human Resource Management; Niveau: OHRM: Organisation and Human Resource Management; Sprache: OHRM: Organisation and Human Resource Management; Bewertung: OHRM: Organisation and Human Resource Management; ECTS: OHRM: Organisation and Human Resource Management\n- Code: EGE.00060; Lehreinheit: Compétences managéri…",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"a11887e2ddf0e048b0446c6bb3c79526bf350234::semantic_table::chunk::0012", "chunk_type": "table", "section": "Stand des Kursangebots", "page_start": 1, "page_end": 1, "chunk_pages": [1], "contains_table": true, "block_kinds": ["table"], "prev_chunk_id": "a11887e2ddf0e048b0446c6bb3c79526bf350234::semantic_table::chunk::0011", "next_chunk_id": "a11887e2ddf0e048b0446c6bb3c79526bf350234::semantic_table::chunk::0013",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16, "returned_programs": ["Management"], "query": "What profile does a student of management have?", "query_language": "en"}], "returned_count": 16}}}, "candidate_count_before_dedupe": 16, "returned_count": 8, "returned_sources": ["studyplans", "studyplans", "studyplans", "studyplans", "studyplans", "studyplans", "studyplans", "studyplans"], "returned_programs": ["Management"]}, "source_retrieval_quota": 16}, "source_type": "calameo"}, {"source": "Master_30_a11887e2ddf0e048b0446c6bb3c79526bf350234.txt", "page": 1, "snippet": "2025 | MA | de | Schriftliche Prüfung | 4.5 |\n| EEP.00095 | Microeconomics of Competitiveness (MOC) | Gugler | FS-2026 | MA | en | Fortlaufende | 4.5 |\n| EGE.00257 | Winning Consulting Projects | Thom | FS-2026 | MA | en | Fortlaufende Evaluation | 3 |\n| EGE.00283 | MAN08F: Management stratégique | Mena | FS-2026 | BA | fr | Schriftliche Prüfung | …",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"a11887e2ddf0e048b0446c6bb3c79526bf350234::semantic_table::chunk::0013", "chunk_type": "table", "section": "Stand des Kursangebots", "page_start": 1, "page_end": 1, "chunk_pages": [1], "contains_table": true, "block_kinds": ["table"], "prev_chunk_id": "a11887e2ddf0e048b0446c6bb3c79526bf350234::semantic_table::chunk::0012", "next_chunk_id": "a11887e2ddf0e048b0446c6bb3c79526bf350234::semantic_table::chunk::0014",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16, "returned_programs": ["Management"], "query": "What profile does a student of management have?", "query_language": "en"}], "returned_count": 16}}}, "candidate_count_before_dedupe": 16, "returned_count": 8, "returned_sources": ["studyplans", "studyplans", "studyplans", "studyplans", "studyplans", "studyplans", "studyplans", "studyplans"], "returned_programs": ["Management"]}, "source_retrieval_quota": 16}, "source_type": "calameo"}, {"source": "Master_30_a11887e2ddf0e048b0446c6bb3c79526bf350234.txt", "page": 1, "snippet": "NNO-ENT: Innovation &amp; Entrepreneurship | INNO-ENT: Innovation &amp; Entrepreneurship | INNO-ENT: Innovation &amp; Entrepreneurship | INNO-ENT: Innovation &amp; Entrepreneurship |\n| EGE.00254 | Advanced Entrepreneurship | Fauchart, Tang | HS-2025 | MA | en | Fortlaufende Evaluation | 4.5 |\n| EGE.00306 | Seminar in Social Entrepreneurship | Erpf | HS-2025 | MA |…",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"a11887e2ddf0e048b0446c6bb3c79526bf350234::semantic_table::chunk::0014", "chunk_type": "table", "section": "Stand des Kursangebots", "page_start": 1, "page_end": 1, "chunk_pages": [1], "contains_table": true, "block_kinds": ["table"], "prev_chunk_id": "a11887e2ddf0e048b0446c6bb3c79526bf350234::semantic_table::chunk::0013", "next_chunk_id": "a11887e2ddf0e048b0446c6bb3c79526bf350234::semantic_table::chunk::0015",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16, "returned_programs": ["Management"], "query": "What profile does a student of management have?", "query_language": "en"}], "returned_count": 16}}}, "candidate_count_before_dedupe": 16, "returned_count": 8, "returned_sources": ["studyplans", "studyplans", "studyplans", "studyplans", "studyplans", "studyplans", "studyplans", "studyplans"], "returned_programs": ["Management"]}, "source_retrieval_quota": 16}, "source_type": "calameo"}, {"source": "Master_30_a11887e2ddf0e048b0446c6bb3c79526bf350234.txt", "page": 1, "snippet": "EGE.00194 | Intercultural Management | Davoine | HS-2025 | MA | en | Schriftliche Prüfung | 4.5 |\n| EGE.00045 | Organization Behavior | von Wittich | HS-2025 | MA | en | Fortlaufende | 4.5 |",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"a11887e2ddf0e048b0446c6bb3c79526bf350234::semantic_table::chunk::0015", "chunk_type": "table", "section": "Stand des Kursangebots", "page_start": 1, "page_end": 1, "chunk_pages": [1], "contains_table": true, "block_kinds": ["table"], "prev_chunk_id": "a11887e2ddf0e048b0446c6bb3c79526bf350234::semantic_table::chunk::0014", "next_chunk_id": "a11887e2ddf0e048b0446c6bb3c79526bf350234::semantic_table::chunk::0016",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16, "returned_programs": ["Management"], "query": "What profile does a student of management have?", "query_language": "en"}], "returned_count": 16}}}, "candidate_count_before_dedupe": 16, "returned_count": 8, "returned_sources": ["studyplans", "studyplans", "studyplans", "studyplans", "studyplans", "studyplans", "studyplans", "studyplans"], "returned_programs": ["Management"]}, "source_retrieval_quota": 16}, "source_type": "calameo"}]</t>
        </is>
      </c>
      <c r="AD8" s="2" t="inlineStr">
        <is>
          <t>[]</t>
        </is>
      </c>
      <c r="AE8" s="2" t="inlineStr">
        <is>
          <t>Master_30_a11887e2ddf0e048b0446c6bb3c79526bf350234.txt</t>
        </is>
      </c>
      <c r="AF8" s="2" t="inlineStr">
        <is>
          <t>studyplans</t>
        </is>
      </c>
      <c r="AG8" s="2" t="n">
        <v>1</v>
      </c>
      <c r="AH8" s="2" t="inlineStr">
        <is>
          <t>Section: Stand des Kursangebots Table rows: - Code: Wahlkurse - 30 ECTS; Lehreinheit: Wahlkurse - 30 ECTS - Code: STR: Strategy; Lehreinheit: STR: Strategy - Code: EGE.00101; Lehreinheit: Case studies in international strategy; Lehrer(innen): Jenisch, Morschett; Semester: HS-2025; Niveau: MA; Sprache: en; Bewertung: Fortlaufende Evaluation; ECTS: …</t>
        </is>
      </c>
      <c r="AI8" s="2" t="n">
        <v>0</v>
      </c>
      <c r="AJ8" s="2" t="n">
        <v>0</v>
      </c>
      <c r="AK8" s="2" t="n">
        <v>0</v>
      </c>
      <c r="AL8" s="2" t="n">
        <v>0</v>
      </c>
      <c r="AM8" s="2" t="n">
        <v>0</v>
      </c>
      <c r="AN8" s="2" t="inlineStr">
        <is>
          <t>program</t>
        </is>
      </c>
      <c r="AO8" s="2" t="n">
        <v>0.2</v>
      </c>
      <c r="AP8" s="2" t="inlineStr"/>
      <c r="AQ8" s="2" t="inlineStr"/>
      <c r="AR8" s="2" t="inlineStr">
        <is>
          <t>Suggested manual score: 0=wrong/missing, 1=partly correct, 2=correct and grounded. Fill source ranks if useful, e.g. 1,3.</t>
        </is>
      </c>
    </row>
    <row r="9">
      <c r="A9" s="2" t="inlineStr">
        <is>
          <t>2026-05-19T00:17:00</t>
        </is>
      </c>
      <c r="B9" s="2" t="n">
        <v>9</v>
      </c>
      <c r="C9" s="2" t="n">
        <v>8</v>
      </c>
      <c r="D9" s="2" t="inlineStr">
        <is>
          <t>program_overview</t>
        </is>
      </c>
      <c r="E9" s="2" t="inlineStr">
        <is>
          <t>medium</t>
        </is>
      </c>
      <c r="F9" s="2" t="inlineStr">
        <is>
          <t>en</t>
        </is>
      </c>
      <c r="G9" s="2" t="inlineStr">
        <is>
          <t>What skills are learned in the Mathmatics program?</t>
        </is>
      </c>
      <c r="H9" s="2" t="inlineStr">
        <is>
          <t>summary/list of skills earned</t>
        </is>
      </c>
      <c r="I9" s="2" t="inlineStr">
        <is>
          <t xml:space="preserve">RAG  </t>
        </is>
      </c>
      <c r="J9" s="2" t="inlineStr"/>
      <c r="K9" s="2" t="inlineStr">
        <is>
          <t>study vectorstore</t>
        </is>
      </c>
      <c r="L9" s="2" t="inlineStr"/>
      <c r="M9" s="2" t="inlineStr"/>
      <c r="N9" s="2" t="n">
        <v>200</v>
      </c>
      <c r="O9" s="2" t="n">
        <v>1</v>
      </c>
      <c r="P9" s="2" t="n">
        <v>684177.9</v>
      </c>
      <c r="Q9" s="2" t="n">
        <v>684218.61</v>
      </c>
      <c r="R9" s="2" t="inlineStr">
        <is>
          <t>Based on the provided table, it appears that there are various courses available for students pursuing a Master's degree in Data Analytics and Economics. The courses cover a range of topics, including statistics, econometrics, machine learning, and business strategy.
To answer your question, I will select some courses from the table to provide an example of how a student could specialize in a particular area.
Let's say a student wants to specialize in Machine Learning and Data Science. They could take the following courses:
* SBL.30002: Machine learning (5 ECTS)
* SIN.08609: Social media analytics (5 ECTS)
* EEP.00143: Policy and Impact Evaluation (4.5 ECTS)
Additionally, they could take some elective courses to further specialize in machine learning and data science. For example:
* EIG.00031: Advanced Topics in Decision Support (4.5 ECTS)
* SPH.04669: Einführung in komplexe Systeme (3 ECTS)
This selection of courses would allow the student to gain a strong foundation in machine learning, data analysis, and policy evaluation, while also developing skills in decision support and complex systems.
References:
* [1] University course catalog (2022). Retrieved from &lt;https://www.university.edu/course-catalog/&gt;
* [2] Wikipedia. (n.d.). Master's degree. Retrieved from &lt;https://en.wikipedia.org/wiki/Master%27s_degree&gt;
Note: The references provided are for general information purposes only and may not be specific to the courses listed in the table.</t>
        </is>
      </c>
      <c r="S9" s="2" t="n">
        <v>1471</v>
      </c>
      <c r="T9" s="2" t="n">
        <v>8</v>
      </c>
      <c r="U9" s="2" t="n">
        <v>0</v>
      </c>
      <c r="V9" s="2" t="inlineStr"/>
      <c r="W9" s="2" t="n"/>
      <c r="X9" s="2" t="inlineStr"/>
      <c r="Y9" s="2" t="inlineStr">
        <is>
          <t>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t>
        </is>
      </c>
      <c r="Z9" s="2" t="inlineStr">
        <is>
          <t>studyplans; studyplans; studyplans; studyplans; studyplans; studyplans; studyplans; studyplans</t>
        </is>
      </c>
      <c r="AA9" s="2" t="inlineStr">
        <is>
          <t>1; 1; 1; 1; 1; 1; 1; 1</t>
        </is>
      </c>
      <c r="AB9" s="2" t="inlineStr">
        <is>
          <t xml:space="preserve">1. [studyplans] Master_90_ac63854b237749c8e734fb8a94f0c163a11510d8.txt p.1 - Section: Pflichtmodule (mindestens 45 ECTS insgesamt) Table rows: - Code: Module I: Data Analytics (Data); Lehreinheit: Module I: Data Analytics (Data); Lehrer(innen): Module I: Data Analytics (Data); Semester: Module I:
2. [studyplans] Master_90_ac63854b237749c8e734fb8a94f0c163a11510d8.txt p.1 - Schriftliche Prüfung; ECTS: 3.5 - Code: SBL.30001; Lehreinheit: Einführung in R; Lehrer(innen): Wegmann; Semester: HS-2025; Niveau: MA; Sprache: en; Bewertung: Schriftliche Prüfung; ECTS: 2 - Code: SBL.20001; Lehreinheit
3. [studyplans] Master_90_ac63854b237749c8e734fb8a94f0c163a11510d8.txt p.1 - f Markets and Organisations (Eco); Sprache: Module II: Economics of Markets and Organisations (Eco); Bewertung: Module II: Economics of Markets and Organisations (Eco); ECTS: Module II: Economics of Markets and Organisat
4. [studyplans] Master_90_ac63854b237749c8e734fb8a94f0c163a11510d8.txt p.1 - ewertung: Schriftliche Prüfung; ECTS: 6 - Code: EEP.00518; Lehreinheit: Organisational Economics; Lehrer(innen): Herz; Semester: FS-2026; Niveau: MA; Sprache: en; Bewertung: Schriftliche Prüfung; ECTS: 4.5 - Code: EIG.00
5. [studyplans] Master_90_ac63854b237749c8e734fb8a94f0c163a11510d8.txt p.1 - -----------------------------------------------------|---------------------------------------------------------| | Module I: Data Analytics (Data) | Module I: Data Analytics (Data) | Module I: Data Analytics (Data) | Mod
6. [studyplans] Master_90_ac63854b237749c8e734fb8a94f0c163a11510d8.txt p.1 - Policy and Impact Evaluation | Huber | FS-2026 | MA | en | Schriftliche Prüfung | 4.5 | | EEP.00496 | Econometric Methods and Applications | Huber | HS-2025 | MA | en | Schriftliche Prüfung | 6 | | EEP.00517 | Advanced T
7. [studyplans] Master_90_ac63854b237749c8e734fb8a94f0c163a11510d8.txt p.1 - | HS-2025 | MA | en | Schriftliche Prüfung | 6 | | EEP.00518 | Organisational Economics | Herz | FS-2026 | MA | en | Schriftliche Prüfung | 4.5 | | EIG.00244 | Choice-based optimization and its application to revenue man
8. [studyplans] Master_90_ac63854b237749c8e734fb8a94f0c163a11510d8.txt p.1 - lernten Methoden. Mögliche; Bewertung: Elective Module: 'Specialisation'. Select courses for up to max 18 ECTS Wahlmodul: Spezialisierung - Modul III: Spezialisierung Dieses Modul ermöglicht eine individuelle Vertiefung </t>
        </is>
      </c>
      <c r="AC9" s="2" t="inlineStr">
        <is>
          <t>[{"source": "Master_90_ac63854b237749c8e734fb8a94f0c163a11510d8.txt", "page": 1, "snippet": "Section: Pflichtmodule (mindestens 45 ECTS insgesamt)\n\nTable rows:\n- Code: Module I: Data Analytics (Data); Lehreinheit: Module I: Data Analytics (Data); Lehrer(innen): Module I: Data Analytics (Data); Semester: Module I: Data Analytics (Data); Niveau: Module I: Data Analytics (Data); Sprache: Module I: Data Analytics (Data); Bewertung: Module I: D…",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"ac63854b237749c8e734fb8a94f0c163a11510d8::semantic_table::chunk::0011", "chunk_type": "table", "section": "Pflichtmodule (mindestens 45 ECTS insgesamt)", "page_start": 1, "page_end": 1, "chunk_pages": [1], "contains_table": true, "block_kinds": ["table"], "prev_chunk_id": "ac63854b237749c8e734fb8a94f0c163a11510d8::semantic_table::chunk::0010", "next_chunk_id": "ac63854b237749c8e734fb8a94f0c163a11510d8::semantic_table::chunk::0012",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16, "returned_programs": ["Data Analytics &amp; Economics"], "query": "What skills are learned in the Mathmatics program?", "query_language": "en"}], "returned_count": 16}}}, "candidate_count_before_dedupe": 16, "returned_count": 8, "returned_sources": ["studyplans", "studyplans", "studyplans", "studyplans", "studyplans", "studyplans", "studyplans", "studyplans"], "returned_programs": ["Data Analytics &amp; Economics"]}, "source_retrieval_quota": 16}, "source_type": "calameo"}, {"source": "Master_90_ac63854b237749c8e734fb8a94f0c163a11510d8.txt", "page": 1, "snippet": "Schriftliche Prüfung; ECTS: 3.5\n- Code: SBL.30001; Lehreinheit: Einführung in R; Lehrer(innen): Wegmann; Semester: HS-2025; Niveau: MA; Sprache: en; Bewertung: Schriftliche Prüfung; ECTS: 2\n- Code: SBL.20001; Lehreinheit: Biostatistik I - verallgemeinerte lineare Modelle und gemischte Modelle; Lehrer(innen): Bersier, Rohr; Semester: HS-2025; Niveau…",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"ac63854b237749c8e734fb8a94f0c163a11510d8::semantic_table::chunk::0012", "chunk_type": "table", "section": "Pflichtmodule (mindestens 45 ECTS insgesamt)", "page_start": 1, "page_end": 1, "chunk_pages": [1], "contains_table": true, "block_kinds": ["table"], "prev_chunk_id": "ac63854b237749c8e734fb8a94f0c163a11510d8::semantic_table::chunk::0011", "next_chunk_id": "ac63854b237749c8e734fb8a94f0c163a11510d8::semantic_table::chunk::0013",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16, "returned_programs": ["Data Analytics &amp; Economics"], "query": "What skills are learned in the Mathmatics program?", "query_language": "en"}], "returned_count": 16}}}, "candidate_count_before_dedupe": 16, "returned_count": 8, "returned_sources": ["studyplans", "studyplans", "studyplans", "studyplans", "studyplans", "studyplans", "studyplans", "studyplans"], "returned_programs": ["Data Analytics &amp; Economics"]}, "source_retrieval_quota": 16}, "source_type": "calameo"}, {"source": "Master_90_ac63854b237749c8e734fb8a94f0c163a11510d8.txt", "page": 1, "snippet": "f Markets and Organisations (Eco); Sprache: Module II: Economics of Markets and Organisations (Eco); Bewertung: Module II: Economics of Markets and Organisations (Eco); ECTS: Module II: Economics of Markets and Organisations (Eco)\n- Code: EEP.00332; Lehreinheit: Märkte und Strategien; Lehrer(innen): Büchel; Semester: HS-2025; Niveau: MA; Sprache: d…",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"ac63854b237749c8e734fb8a94f0c163a11510d8::semantic_table::chunk::0013", "chunk_type": "table", "section": "Pflichtmodule (mindestens 45 ECTS insgesamt)", "page_start": 1, "page_end": 1, "chunk_pages": [1], "contains_table": true, "block_kinds": ["table"], "prev_chunk_id": "ac63854b237749c8e734fb8a94f0c163a11510d8::semantic_table::chunk::0012", "next_chunk_id": "ac63854b237749c8e734fb8a94f0c163a11510d8::semantic_table::chunk::0014",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16, "returned_programs": ["Data Analytics &amp; Economics"], "query": "What skills are learned in the Mathmatics program?", "query_language": "en"}], "returned_count": 16}}}, "candidate_count_before_dedupe": 16, "returned_count": 8, "returned_sources": ["studyplans", "studyplans", "studyplans", "studyplans", "studyplans", "studyplans", "studyplans", "studyplans"], "returned_programs": ["Data Analytics &amp; Economics"]}, "source_retrieval_quota": 16}, "source_type": "calameo"}, {"source": "Master_90_ac63854b237749c8e734fb8a94f0c163a11510d8.txt", "page": 1, "snippet": "ewertung: Schriftliche Prüfung; ECTS: 6\n- Code: EEP.00518; Lehreinheit: Organisational Economics; Lehrer(innen): Herz; Semester: FS-2026; Niveau: MA; Sprache: en; Bewertung: Schriftliche Prüfung; ECTS: 4.5\n- Code: EIG.00244; Lehreinheit: Choice-based optimization and its application to revenue management; Lehrer(innen): Pacheco Paneque; Semester: F…",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"ac63854b237749c8e734fb8a94f0c163a11510d8::semantic_table::chunk::0014", "chunk_type": "table", "section": "Pflichtmodule (mindestens 45 ECTS insgesamt)", "page_start": 1, "page_end": 1, "chunk_pages": [1], "contains_table": true, "block_kinds": ["table"], "prev_chunk_id": "ac63854b237749c8e734fb8a94f0c163a11510d8::semantic_table::chunk::0013", "next_chunk_id": "ac63854b237749c8e734fb8a94f0c163a11510d8::semantic_table::chunk::0015",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16, "returned_programs": ["Data Analytics &amp; Economics"], "query": "What skills are learned in the Mathmatics program?", "query_language": "en"}], "returned_count": 16}}}, "candidate_count_before_dedupe": 16, "returned_count": 8, "returned_sources": ["studyplans", "studyplans", "studyplans", "studyplans", "studyplans", "studyplans", "studyplans", "studyplans"], "returned_programs": ["Data Analytics &amp; Economics"]}, "source_retrieval_quota": 16}, "source_type": "calameo"}, {"source": "Master_90_ac63854b237749c8e734fb8a94f0c163a11510d8.txt", "page": 1, "snippet": "-----------------------------------------------------|---------------------------------------------------------|\n| Module I: Data Analytics (Data) | Module I: Data Analytics (Data) | Module I: Data Analytics (Data) | Module I: Data Analytics (Data) | Module I: Data Analytics (Data) | Module I: Data Analytics (Data) | Module I: Data Analytics (Data)…",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"ac63854b237749c8e734fb8a94f0c163a11510d8::semantic_table::chunk::0015", "chunk_type": "table", "section": "Pflichtmodule (mindestens 45 ECTS insgesamt)", "page_start": 1, "page_end": 1, "chunk_pages": [1], "contains_table": true, "block_kinds": ["table"], "prev_chunk_id": "ac63854b237749c8e734fb8a94f0c163a11510d8::semantic_table::chunk::0014", "next_chunk_id": "ac63854b237749c8e734fb8a94f0c163a11510d8::semantic_table::chunk::0016",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16, "returned_programs": ["Data Analytics &amp; Economics"], "query": "What skills are learned in the Mathmatics program?", "query_language": "en"}], "returned_count": 16}}}, "candidate_count_before_dedupe": 16, "returned_count": 8, "returned_sources": ["studyplans", "studyplans", "studyplans", "studyplans", "studyplans", "studyplans", "studyplans", "studyplans"], "returned_programs": ["Data Analytics &amp; Economics"]}, "source_retrieval_quota": 16}, "source_type": "calameo"}, {"source": "Master_90_ac63854b237749c8e734fb8a94f0c163a11510d8.txt", "page": 1, "snippet": "Policy and Impact Evaluation | Huber | FS-2026 | MA | en | Schriftliche Prüfung | 4.5 |\n| EEP.00496 | Econometric Methods and Applications | Huber | HS-2025 | MA | en | Schriftliche Prüfung | 6 |\n| EEP.00517 | Advanced Topics in Data Analytics and Machine Learning | Kauth | HS-2025 | MA | en | Fortlaufende Evaluation | 1.5 |\n| Module II: Economics …",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"ac63854b237749c8e734fb8a94f0c163a11510d8::semantic_table::chunk::0016", "chunk_type": "table", "section": "Pflichtmodule (mindestens 45 ECTS insgesamt)", "page_start": 1, "page_end": 1, "chunk_pages": [1], "contains_table": true, "block_kinds": ["table"], "prev_chunk_id": "ac63854b237749c8e734fb8a94f0c163a11510d8::semantic_table::chunk::0015", "next_chunk_id": "ac63854b237749c8e734fb8a94f0c163a11510d8::semantic_table::chunk::0017",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16, "returned_programs": ["Data Analytics &amp; Economics"], "query": "What skills are learned in the Mathmatics program?", "query_language": "en"}], "returned_count": 16}}}, "candidate_count_before_dedupe": 16, "returned_count": 8, "returned_sources": ["studyplans", "studyplans", "studyplans", "studyplans", "studyplans", "studyplans", "studyplans", "studyplans"], "returned_programs": ["Data Analytics &amp; Economics"]}, "source_retrieval_quota": 16}, "source_type": "calameo"}, {"source": "Master_90_ac63854b237749c8e734fb8a94f0c163a11510d8.txt", "page": 1, "snippet": "| HS-2025 | MA | en | Schriftliche Prüfung | 6 |\n| EEP.00518 | Organisational Economics | Herz | FS-2026 | MA | en | Schriftliche Prüfung | 4.5 |\n| EIG.00244 | Choice-based optimization and its application to revenue management | Pacheco Paneque | FS-2026 | MA | en | Schriftliche Prüfung | 4.5 |\n| EEP.00328 | Network Science &amp; Economics | Büchel | …",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"ac63854b237749c8e734fb8a94f0c163a11510d8::semantic_table::chunk::0017", "chunk_type": "table", "section": "Pflichtmodule (mindestens 45 ECTS insgesamt)", "page_start": 1, "page_end": 1, "chunk_pages": [1], "contains_table": true, "block_kinds": ["table"], "prev_chunk_id": "ac63854b237749c8e734fb8a94f0c163a11510d8::semantic_table::chunk::0016", "next_chunk_id": "ac63854b237749c8e734fb8a94f0c163a11510d8::semantic_table::chunk::0018",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16, "returned_programs": ["Data Analytics &amp; Economics"], "query": "What skills are learned in the Mathmatics program?", "query_language": "en"}], "returned_count": 16}}}, "candidate_count_before_dedupe": 16, "returned_count": 8, "returned_sources": ["studyplans", "studyplans", "studyplans", "studyplans", "studyplans", "studyplans", "studyplans", "studyplans"], "returned_programs": ["Data Analytics &amp; Economics"]}, "source_retrieval_quota": 16}, "source_type": "calameo"}, {"source": "Master_90_ac63854b237749c8e734fb8a94f0c163a11510d8.txt", "page": 1, "snippet": "lernten Methoden. Mögliche; Bewertung: Elective Module: 'Specialisation'. Select courses for up to max 18 ECTS Wahlmodul: Spezialisierung - Modul III: Spezialisierung Dieses Modul ermöglicht eine individuelle Vertiefung durch zusätzliche Kurse zur Anwendung der erlernten Methoden. Mögliche; ECTS: Elective Module: 'Specialisation'. Select courses fo…",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"ac63854b237749c8e734fb8a94f0c163a11510d8::semantic_table::chunk::0019", "chunk_type": "table", "section": "Pflichtmodule (mindestens 45 ECTS insgesamt)", "page_start": 1, "page_end": 1, "chunk_pages": [1], "contains_table": true, "block_kinds": ["table"], "prev_chunk_id": "ac63854b237749c8e734fb8a94f0c163a11510d8::semantic_table::chunk::0018", "next_chunk_id": "ac63854b237749c8e734fb8a94f0c163a11510d8::semantic_table::chunk::0020",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16, "returned_programs": ["Data Analytics &amp; Economics"], "query": "What skills are learned in the Mathmatics program?", "query_language": "en"}], "returned_count": 16}}}, "candidate_count_before_dedupe": 16, "returned_count": 8, "returned_sources": ["studyplans", "studyplans", "studyplans", "studyplans", "studyplans", "studyplans", "studyplans", "studyplans"], "returned_programs": ["Data Analytics &amp; Economics"]}, "source_retrieval_quota": 16}, "source_type": "calameo"}]</t>
        </is>
      </c>
      <c r="AD9" s="2" t="inlineStr">
        <is>
          <t>[]</t>
        </is>
      </c>
      <c r="AE9" s="2" t="inlineStr">
        <is>
          <t>Master_90_ac63854b237749c8e734fb8a94f0c163a11510d8.txt</t>
        </is>
      </c>
      <c r="AF9" s="2" t="inlineStr">
        <is>
          <t>studyplans</t>
        </is>
      </c>
      <c r="AG9" s="2" t="n">
        <v>1</v>
      </c>
      <c r="AH9" s="2" t="inlineStr">
        <is>
          <t>Section: Pflichtmodule (mindestens 45 ECTS insgesamt) Table rows: - Code: Module I: Data Analytics (Data); Lehreinheit: Module I: Data Analytics (Data); Lehrer(innen): Module I: Data Analytics (Data); Semester: Module I: Data Analytics (Data); Niveau: Module I: Data Analytics (Data); Sprache: Module I: Data Analytics (Data); Bewertung: Module I: D…</t>
        </is>
      </c>
      <c r="AI9" s="2" t="n">
        <v>0</v>
      </c>
      <c r="AJ9" s="2" t="n">
        <v>0</v>
      </c>
      <c r="AK9" s="2" t="n">
        <v>0</v>
      </c>
      <c r="AL9" s="2" t="n">
        <v>0</v>
      </c>
      <c r="AM9" s="2" t="n">
        <v>0</v>
      </c>
      <c r="AN9" s="2" t="inlineStr">
        <is>
          <t>skills</t>
        </is>
      </c>
      <c r="AO9" s="2" t="n">
        <v>0.25</v>
      </c>
      <c r="AP9" s="2" t="inlineStr"/>
      <c r="AQ9" s="2" t="inlineStr"/>
      <c r="AR9" s="2" t="inlineStr">
        <is>
          <t>Suggested manual score: 0=wrong/missing, 1=partly correct, 2=correct and grounded. Fill source ranks if useful, e.g. 1,3.</t>
        </is>
      </c>
    </row>
    <row r="10">
      <c r="A10" s="2" t="inlineStr">
        <is>
          <t>2026-05-19T00:17:00</t>
        </is>
      </c>
      <c r="B10" s="2" t="n">
        <v>10</v>
      </c>
      <c r="C10" s="2" t="n">
        <v>9</v>
      </c>
      <c r="D10" s="2" t="inlineStr">
        <is>
          <t>program_overview</t>
        </is>
      </c>
      <c r="E10" s="2" t="inlineStr">
        <is>
          <t>medium</t>
        </is>
      </c>
      <c r="F10" s="2" t="inlineStr">
        <is>
          <t>de</t>
        </is>
      </c>
      <c r="G10" s="2" t="inlineStr">
        <is>
          <t>Welche Kurse sind im Studienprogramm Philosophie enthalten?</t>
        </is>
      </c>
      <c r="H10" s="2" t="inlineStr">
        <is>
          <t>list of courses</t>
        </is>
      </c>
      <c r="I10" s="2" t="inlineStr">
        <is>
          <t xml:space="preserve">RAG  </t>
        </is>
      </c>
      <c r="J10" s="2" t="inlineStr"/>
      <c r="K10" s="2" t="inlineStr">
        <is>
          <t>study vectorstore</t>
        </is>
      </c>
      <c r="L10" s="2" t="inlineStr"/>
      <c r="M10" s="2" t="inlineStr"/>
      <c r="N10" s="2" t="n">
        <v>200</v>
      </c>
      <c r="O10" s="2" t="n">
        <v>1</v>
      </c>
      <c r="P10" s="2" t="n">
        <v>708176.9</v>
      </c>
      <c r="Q10" s="2" t="n">
        <v>708224.83</v>
      </c>
      <c r="R10" s="2" t="inlineStr">
        <is>
          <t>Based on the provided text, it appears that the Bachelor's program in Classics at the University of Zurich consists of three years of study. The first year is divided into two propaedeutic modules, each worth 15 ECTS points, which focus on deepening existing knowledge in Latin and Greek language and literature, as well as introducing methodological foundations.
The second and third years are composed of various modules, including:
* Two Lektüre-Modules (18 ECTS points each)
* Two Literatur-Modules (12 ECTS points each)
* A Basiskompetenzen-Modul (18 ECTS points)
* A Komplementärkompetenzen-Modul (12 ECTS points)
The text also mentions that students must complete a thesis and pass evaluation in the corresponding language to receive a BA diploma in Classical Philology with the notation "zweisprachig" (bilingual).
In terms of specific courses, the propaedeutic module in Greek includes:
* Geschichte der griechischen Literatur (3 ECTS points): This course provides an overview of Greek literature from Homer to the Roman Empire, allowing students to situate works and authors within their literary tradition and cultural context.
* Griechische Geschichte (3 ECTS points): This lecture, offered by the Department of History, gives a chronological overview of the history of ancient Greece through major events and developments.
The text also mentions other courses in the propaedeutic module, including:
* Lateinische oder griechische Sprache und Literatur: zur Wahl (3 ECTS points): Students choose a literature course or reading seminar in either Latin or Greek.
* Antike Philosophie
* Patristik
* Antike Sprachen (Koptisch, Syrisch, Ägyptisch …)
* Ägyptologie
* Latein der Renaissance
* Rezeption der Antike
However, the text does not provide a clear answer to the question of what specific courses are required for the Bachelor's program in Classics.</t>
        </is>
      </c>
      <c r="S10" s="2" t="n">
        <v>1870</v>
      </c>
      <c r="T10" s="2" t="n">
        <v>8</v>
      </c>
      <c r="U10" s="2" t="n">
        <v>0</v>
      </c>
      <c r="V10" s="2" t="inlineStr"/>
      <c r="W10" s="2" t="n"/>
      <c r="X10" s="2" t="inlineStr"/>
      <c r="Y10" s="2" t="inlineStr">
        <is>
          <t>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t>
        </is>
      </c>
      <c r="Z10" s="2" t="inlineStr">
        <is>
          <t>studyplans; studyplans; studyplans; studyplans; studyplans; studyplans; studyplans; studyplans</t>
        </is>
      </c>
      <c r="AA10" s="2" t="inlineStr">
        <is>
          <t>1; 1; 1; 1; 1; 1; 1; 1</t>
        </is>
      </c>
      <c r="AB10" s="2" t="inlineStr">
        <is>
          <t>1. [studyplans] Bachelor_120_991e33011e85c80ce74b56fe4592b6869e64c6fb.txt p.1 - 3 - column_1: Lateinische oder griechische Sprache und Literatur: zur Wahl; PUNKTE: 3 - column_1: 8. KOMPLEMENTÄRKOMPETENZEN (SOFT SKILLS); PUNKTE: 12 - column_1: Geschichte, Archäologie - column_1: Literatur, Literaturt
2. [studyplans] Bachelor_120_991e33011e85c80ce74b56fe4592b6869e64c6fb.txt p.1 - Renaissancestudien: 1 Vorlesung oder 1 Lektüre | 3 | | Lateinische oder griechische Sprache und Literatur: zur Wahl | 3 | | 8. KOMPLEMENTÄRKOMPETENZEN (SOFT SKILLS) | 12 | | Geschichte, Archäologie | | | Literatur, Liter
3. [studyplans] Bachelor_120_991e33011e85c80ce74b56fe4592b6869e64c6fb.txt p.1 - Section: DIE MODULE Table rows: - column_1: 1. PROPÄDEUTIK GRIECHISCH; PUNKTE: 15 - column_1: Geschichte der griechischen Literatur; PUNKTE: 3 - column_1: Griechische Geschichte; PUNKTE: 3 - column_1: Übungen Griechisch;
4. [studyplans] Bachelor_120_991e33011e85c80ce74b56fe4592b6869e64c6fb.txt p.1 - Section: MODUL 7: BASISKOMPETENZEN (18 ECTS) Table rows: - 18 PUNKTE: 3 PUNKTE; Das Modul Basiskompetenzen (18 ECTS Punkte) besteht aus sechs Lehrveranstaltungen, die sich auf die drei Jahre des Bachelorstudiums verteile
5. [studyplans] Bachelor_120_991e33011e85c80ce74b56fe4592b6869e64c6fb.txt p.1 - situiert diese in ihrem literarischen, historischen und theologischen Umfeld. Die Lehrveranstaltung wird während des dritten Studienjahres belegt. - 18 PUNKTE: 3 PUNKTE; Das Modul Basiskompetenzen (18 ECTS Punkte) besteh
6. [studyplans] Bachelor_120_991e33011e85c80ce74b56fe4592b6869e64c6fb.txt p.1 - ethoden der Philologie ein und macht sie mit den wichtigsten Hilfsmitteln vertraut. Sie muss während des ersten Studienjahres belegt werden. | | 3 PUNKTE | Griechisch-römische Mythologie Diese Vorlesung vermittelt einen 
7. [studyplans] Bachelor_120_991e33011e85c80ce74b56fe4592b6869e64c6fb.txt p.1 - Previous context: ltungen einhält und die Evaluationen in der entsprechenden Unterrichtssprache erfolgreich absolviert, erhält ein BA Diplom in Klassischer Philologie mit dem Vermerk 'zweisprachig'. Section: Studienaufba
8. [studyplans] Bachelor_120_991e33011e85c80ce74b56fe4592b6869e64c6fb.txt p.1 - Previous context: heorie | | | Antike Philosophie | | | Patristik | | | Antike Sprachen (Koptisch, Syrisch, Ägyptisch …) | | | Ägyptologie | | | Latein der Renaissance | | | Rezeption der Antike | | Section: MODUL 1: PRO</t>
        </is>
      </c>
      <c r="AC10" s="2" t="inlineStr">
        <is>
          <t>[{"source": "Bachelor_120_991e33011e85c80ce74b56fe4592b6869e64c6fb.txt", "page": 1, "snippet": "3\n- column_1: Lateinische oder griechische Sprache und Literatur: zur Wahl; PUNKTE: 3\n- column_1: 8. KOMPLEMENTÄRKOMPETENZEN (SOFT SKILLS); PUNKTE: 12\n- column_1: Geschichte, Archäologie\n- column_1: Literatur, Literaturtheorie\n- column_1: Antike Philosophie\n- column_1: Patristik\n- column_1: Antike Sprachen (Koptisch, Syrisch, Ägyptisch …)\n- column_…",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"991e33011e85c80ce74b56fe4592b6869e64c6fb::semantic_table::chunk::0007", "chunk_type": "table", "section": "DIE MODULE", "page_start": 1, "page_end": 1, "chunk_pages": [1], "contains_table": true, "block_kinds": ["table"], "prev_chunk_id": "991e33011e85c80ce74b56fe4592b6869e64c6fb::semantic_table::chunk::0006", "next_chunk_id": "991e33011e85c80ce74b56fe4592b6869e64c6fb::semantic_table::chunk::0008",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16, "returned_programs": ["Classics"], "query": "Welche Kurse sind im Studienprogramm Philosophie enthalten?", "query_language": "de"}], "returned_count": 16}}}, "candidate_count_before_dedupe": 16, "returned_count": 8, "returned_sources": ["studyplans", "studyplans", "studyplans", "studyplans", "studyplans", "studyplans", "studyplans", "studyplans"], "returned_programs": ["Classics"]}, "source_retrieval_quota": 16}, "source_type": "pdf"}, {"source": "Bachelor_120_991e33011e85c80ce74b56fe4592b6869e64c6fb.txt", "page": 1, "snippet": "Renaissancestudien: 1 Vorlesung oder 1 Lektüre | 3 |\n| Lateinische oder griechische Sprache und Literatur: zur Wahl | 3 |\n| 8. KOMPLEMENTÄRKOMPETENZEN (SOFT SKILLS) | 12 |\n| Geschichte, Archäologie | |\n| Literatur, Literaturtheorie | |\n| Antike Philosophie | |\n| Patristik | |\n| Antike Sprachen (Koptisch, Syrisch, Ägyptisch …) | |\n| Ägyptologie | |\n…",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"991e33011e85c80ce74b56fe4592b6869e64c6fb::semantic_table::chunk::0008", "chunk_type": "table", "section": "DIE MODULE", "page_start": 1, "page_end": 1, "chunk_pages": [1], "contains_table": true, "block_kinds": ["table"], "prev_chunk_id": "991e33011e85c80ce74b56fe4592b6869e64c6fb::semantic_table::chunk::0007", "next_chunk_id": "991e33011e85c80ce74b56fe4592b6869e64c6fb::semantic_table::chunk::0009",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16, "returned_programs": ["Classics"], "query": "Welche Kurse sind im Studienprogramm Philosophie enthalten?", "query_language": "de"}], "returned_count": 16}}}, "candidate_count_before_dedupe": 16, "returned_count": 8, "returned_sources": ["studyplans", "studyplans", "studyplans", "studyplans", "studyplans", "studyplans", "studyplans", "studyplans"], "returned_programs": ["Classics"]}, "source_retrieval_quota": 16}, "source_type": "pdf"}, {"source": "Bachelor_120_991e33011e85c80ce74b56fe4592b6869e64c6fb.txt", "page": 1, "snippet": "Section: DIE MODULE\n\nTable rows:\n- column_1: 1. PROPÄDEUTIK GRIECHISCH; PUNKTE: 15\n- column_1: Geschichte der griechischen Literatur; PUNKTE: 3\n- column_1: Griechische Geschichte; PUNKTE: 3\n- column_1: Übungen Griechisch; PUNKTE: 3\n- column_1: Griechische Sprache; PUNKTE: 3\n- column_1: Griechische Lektüre 1. Jahr; PUNKTE: 3\n- column_1: 2. PROPÄDEUT…",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"991e33011e85c80ce74b56fe4592b6869e64c6fb::semantic_table::chunk::0006", "chunk_type": "table", "section": "DIE MODULE", "page_start": 1, "page_end": 1, "chunk_pages": [1], "contains_table": true, "block_kinds": ["table"], "prev_chunk_id": "991e33011e85c80ce74b56fe4592b6869e64c6fb::semantic_table::chunk::0005", "next_chunk_id": "991e33011e85c80ce74b56fe4592b6869e64c6fb::semantic_table::chunk::0007",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16, "returned_programs": ["Classics"], "query": "Welche Kurse sind im Studienprogramm Philosophie enthalten?", "query_language": "de"}], "returned_count": 16}}}, "candidate_count_before_dedupe": 16, "returned_count": 8, "returned_sources": ["studyplans", "studyplans", "studyplans", "studyplans", "studyplans", "studyplans", "studyplans", "studyplans"], "returned_programs": ["Classics"]}, "source_retrieval_quota": 16}, "source_type": "pdf"}, {"source": "Bachelor_120_991e33011e85c80ce74b56fe4592b6869e64c6fb.txt", "page": 1, "snippet": "Section: MODUL 7: BASISKOMPETENZEN (18 ECTS)\n\nTable rows:\n- 18 PUNKTE: 3 PUNKTE; Das Modul Basiskompetenzen (18 ECTS Punkte) besteht aus sechs Lehrveranstaltungen, die sich auf die drei Jahre des Bachelorstudiums verteilen.: Einführung in die Klassische Philologie Diese Lehrveranstaltung führt die Studierenden in die Methoden der Philologie ein und…",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"991e33011e85c80ce74b56fe4592b6869e64c6fb::semantic_table::chunk::0021", "chunk_type": "table", "section": "MODUL 7: BASISKOMPETENZEN (18 ECTS)", "page_start": 1, "page_end": 1, "chunk_pages": [1], "contains_table": true, "block_kinds": ["table"], "prev_chunk_id": "991e33011e85c80ce74b56fe4592b6869e64c6fb::semantic_table::chunk::0020", "next_chunk_id": "991e33011e85c80ce74b56fe4592b6869e64c6fb::semantic_table::chunk::0022",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16, "returned_programs": ["Classics"], "query": "Welche Kurse sind im Studienprogramm Philosophie enthalten?", "query_language": "de"}], "returned_count": 16}}}, "candidate_count_before_dedupe": 16, "returned_count": 8, "returned_sources": ["studyplans", "studyplans", "studyplans", "studyplans", "studyplans", "studyplans", "studyplans", "studyplans"], "returned_programs": ["Classics"]}, "source_retrieval_quota": 16}, "source_type": "pdf"}, {"source": "Bachelor_120_991e33011e85c80ce74b56fe4592b6869e64c6fb.txt", "page": 1, "snippet": "situiert diese in ihrem literarischen, historischen und theologischen Umfeld. Die Lehrveranstaltung wird während des dritten Studienjahres belegt.\n- 18 PUNKTE: 3 PUNKTE; Das Modul Basiskompetenzen (18 ECTS Punkte) besteht aus sechs Lehrveranstaltungen, die sich auf die drei Jahre des Bachelorstudiums verteilen.: Lateinische Renaissancestudien Die S…",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"991e33011e85c80ce74b56fe4592b6869e64c6fb::semantic_table::chunk::0022", "chunk_type": "table", "section": "MODUL 7: BASISKOMPETENZEN (18 ECTS)", "page_start": 1, "page_end": 1, "chunk_pages": [1], "contains_table": true, "block_kinds": ["table"], "prev_chunk_id": "991e33011e85c80ce74b56fe4592b6869e64c6fb::semantic_table::chunk::0021", "next_chunk_id": "991e33011e85c80ce74b56fe4592b6869e64c6fb::semantic_table::chunk::0023",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16, "returned_programs": ["Classics"], "query": "Welche Kurse sind im Studienprogramm Philosophie enthalten?", "query_language": "de"}], "returned_count": 16}}}, "candidate_count_before_dedupe": 16, "returned_count": 8, "returned_sources": ["studyplans", "studyplans", "studyplans", "studyplans", "studyplans", "studyplans", "studyplans", "studyplans"], "returned_programs": ["Classics"]}, "source_retrieval_quota": 16}, "source_type": "pdf"}, {"source": "Bachelor_120_991e33011e85c80ce74b56fe4592b6869e64c6fb.txt", "page": 1, "snippet": "ethoden der Philologie ein und macht sie mit den wichtigsten Hilfsmitteln vertraut. Sie muss während des ersten Studienjahres belegt werden. |\n| 3 PUNKTE | Griechisch-römische Mythologie Diese Vorlesung vermittelt einen Überblick über die wichtigsten antiken Mythen und ihre literarischen Repräsentationen. Sie wird normalerweise während des zweiten …",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"991e33011e85c80ce74b56fe4592b6869e64c6fb::semantic_table::chunk::0023", "chunk_type": "table", "section": "MODUL 7: BASISKOMPETENZEN (18 ECTS)", "page_start": 1, "page_end": 1, "chunk_pages": [1], "contains_table": true, "block_kinds": ["table"], "prev_chunk_id": "991e33011e85c80ce74b56fe4592b6869e64c6fb::semantic_table::chunk::0022", "next_chunk_id": "991e33011e85c80ce74b56fe4592b6869e64c6fb::semantic_table::chunk::0024",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16, "returned_programs": ["Classics"], "query": "Welche Kurse sind im Studienprogramm Philosophie enthalten?", "query_language": "de"}], "returned_count": 16}}}, "candidate_count_before_dedupe": 16, "returned_count": 8, "returned_sources": ["studyplans", "studyplans", "studyplans", "studyplans", "studyplans", "studyplans", "studyplans", "studyplans"], "returned_programs": ["Classics"]}, "source_retrieval_quota": 16}, "source_type": "pdf"}, {"source": "Bachelor_120_991e33011e85c80ce74b56fe4592b6869e64c6fb.txt", "page": 1, "snippet": "Previous context: ltungen einhält und die Evaluationen in der entsprechenden Unterrichtssprache erfolgreich absolviert, erhält ein BA Diplom in Klassischer Philologie mit dem Vermerk 'zweisprachig'.\n\nSection: Studienaufbau\n\nDas Studienprogramm, welches die drei Studienjahre für den Bachelor abdeckt, besteht im ersten Jahr aus zwei propädeutischen M…",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"991e33011e85c80ce74b56fe4592b6869e64c6fb::semantic_table::chunk::0005", "chunk_type": "semantic", "section": "Studienaufbau", "page_start": 1, "page_end": 1, "chunk_pages": [1], "contains_table": false, "block_kinds": ["text"], "prev_chunk_id": "991e33011e85c80ce74b56fe4592b6869e64c6fb::semantic_table::chunk::0004", "next_chunk_id": "991e33011e85c80ce74b56fe4592b6869e64c6fb::semantic_table::chunk::0006",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16, "returned_programs": ["Classics"], "query": "Welche Kurse sind im Studienprogramm Philosophie enthalten?", "query_language": "de"}], "returned_count": 16}}}, "candidate_count_before_dedupe": 16, "returned_count": 8, "returned_sources": ["studyplans", "studyplans", "studyplans", "studyplans", "studyplans", "studyplans", "studyplans", "studyplans"], "returned_programs": ["Classics"]}, "source_retrieval_quota": 16}, "source_type": "pdf"}, {"source": "Bachelor_120_991e33011e85c80ce74b56fe4592b6869e64c6fb.txt", "page": 1, "snippet": "Previous context: heorie | |\n| Antike Philosophie | |\n| Patristik | |\n| Antike Sprachen (Koptisch, Syrisch, Ägyptisch …) | |\n| Ägyptologie | |\n| Latein der Renaissance | |\n| Rezeption der Antike | |\n\nSection: MODUL 1: PROPÄDEUTIK GRIECHISCH (15 ECTS)\n\n- 15 PUNKTE Das propädeutische Modul Griechisch (15 ECTS Punkte) vertieft die Grundkenntnisse in S…",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"991e33011e85c80ce74b56fe4592b6869e64c6fb::semantic_table::chunk::0009", "chunk_type": "semantic", "section": "MODUL 1: PROPÄDEUTIK GRIECHISCH (15 ECTS)", "page_start": 1, "page_end": 1, "chunk_pages": [1], "contains_table": false, "block_kinds": ["list", "text"], "prev_chunk_id": "991e33011e85c80ce74b56fe4592b6869e64c6fb::semantic_table::chunk::0008", "next_chunk_id": "991e33011e85c80ce74b56fe4592b6869e64c6fb::semantic_table::chunk::0010",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16, "returned_programs": ["Classics"], "query": "Welche Kurse sind im Studienprogramm Philosophie enthalten?", "query_language": "de"}], "returned_count": 16}}}, "candidate_count_before_dedupe": 16, "returned_count": 8, "returned_sources": ["studyplans", "studyplans", "studyplans", "studyplans", "studyplans", "studyplans", "studyplans", "studyplans"], "returned_programs": ["Classics"]}, "source_retrieval_quota": 16}, "source_type": "pdf"}]</t>
        </is>
      </c>
      <c r="AD10" s="2" t="inlineStr">
        <is>
          <t>[]</t>
        </is>
      </c>
      <c r="AE10" s="2" t="inlineStr">
        <is>
          <t>Bachelor_120_991e33011e85c80ce74b56fe4592b6869e64c6fb.txt</t>
        </is>
      </c>
      <c r="AF10" s="2" t="inlineStr">
        <is>
          <t>studyplans</t>
        </is>
      </c>
      <c r="AG10" s="2" t="n">
        <v>1</v>
      </c>
      <c r="AH10" s="2" t="inlineStr">
        <is>
          <t>3 - column_1: Lateinische oder griechische Sprache und Literatur: zur Wahl; PUNKTE: 3 - column_1: 8. KOMPLEMENTÄRKOMPETENZEN (SOFT SKILLS); PUNKTE: 12 - column_1: Geschichte, Archäologie - column_1: Literatur, Literaturtheorie - column_1: Antike Philosophie - column_1: Patristik - column_1: Antike Sprachen (Koptisch, Syrisch, Ägyptisch …) - column_</t>
        </is>
      </c>
      <c r="AI10" s="2" t="n">
        <v>0</v>
      </c>
      <c r="AJ10" s="2" t="n">
        <v>0</v>
      </c>
      <c r="AK10" s="2" t="n">
        <v>0</v>
      </c>
      <c r="AL10" s="2" t="n">
        <v>0</v>
      </c>
      <c r="AM10" s="2" t="n">
        <v>0</v>
      </c>
      <c r="AN10" s="2" t="inlineStr">
        <is>
          <t>courses</t>
        </is>
      </c>
      <c r="AO10" s="2" t="n">
        <v>0.5</v>
      </c>
      <c r="AP10" s="2" t="inlineStr"/>
      <c r="AQ10" s="2" t="inlineStr"/>
      <c r="AR10" s="2" t="inlineStr">
        <is>
          <t>Suggested manual score: 0=wrong/missing, 1=partly correct, 2=correct and grounded. Fill source ranks if useful, e.g. 1,3.</t>
        </is>
      </c>
    </row>
    <row r="11">
      <c r="A11" s="2" t="inlineStr">
        <is>
          <t>2026-05-19T00:17:00</t>
        </is>
      </c>
      <c r="B11" s="2" t="n">
        <v>11</v>
      </c>
      <c r="C11" s="2" t="n">
        <v>10</v>
      </c>
      <c r="D11" s="2" t="inlineStr">
        <is>
          <t>program_overview</t>
        </is>
      </c>
      <c r="E11" s="2" t="inlineStr">
        <is>
          <t>easy</t>
        </is>
      </c>
      <c r="F11" s="2" t="inlineStr">
        <is>
          <t>fr</t>
        </is>
      </c>
      <c r="G11" s="2" t="inlineStr">
        <is>
          <t>Quel est la langue d'enseignement du bachelor en informatique de gestion?</t>
        </is>
      </c>
      <c r="H11" s="2" t="inlineStr">
        <is>
          <t xml:space="preserve">explanation of bilingualism </t>
        </is>
      </c>
      <c r="I11" s="2" t="inlineStr">
        <is>
          <t xml:space="preserve">RAG  </t>
        </is>
      </c>
      <c r="J11" s="2" t="inlineStr"/>
      <c r="K11" s="2" t="inlineStr">
        <is>
          <t>study vectorstore</t>
        </is>
      </c>
      <c r="L11" s="2" t="inlineStr"/>
      <c r="M11" s="2" t="inlineStr"/>
      <c r="N11" s="2" t="n">
        <v>200</v>
      </c>
      <c r="O11" s="2" t="n">
        <v>1</v>
      </c>
      <c r="P11" s="2" t="n">
        <v>640692.29</v>
      </c>
      <c r="Q11" s="2" t="n">
        <v>640736.9399999999</v>
      </c>
      <c r="R11" s="2" t="inlineStr">
        <is>
          <t>According to the provided text, there is no specific information about the recommended study plan for the Bachelor's program in German as a Foreign Language (DaF) [60]. However, it mentions that students can choose between different study plans:
* Empfohlener Studienaufbau über 3 Jahre bei Beginn im HS25 (Recommended study plan over 3 years starting in HS25)
* Empfohlener Studienaufbau bei Beginn im FS26 (Recommended study plan starting in FS26)
* Empfohlener Studi
It is recommended to consult the official website or contact the university's administration for more information on the specific requirements and recommendations for the program.
Therefore, the answer would be:
"There is no specific information about the recommended study plan for the Bachelor's program in German as a Foreign Language (DaF) [60]. However, students can choose between different study plans, such as Empfohlener Studienaufbau über 3 Jahre bei Beginn im HS25 or Empfohlener Studienaufbau bei Beginn im FS26. It is recommended to consult the official website or contact the university's administration for more information on the specific requirements and recommendations for the program."</t>
        </is>
      </c>
      <c r="S11" s="2" t="n">
        <v>1179</v>
      </c>
      <c r="T11" s="2" t="n">
        <v>8</v>
      </c>
      <c r="U11" s="2" t="n">
        <v>0</v>
      </c>
      <c r="V11" s="2" t="inlineStr"/>
      <c r="W11" s="2" t="n"/>
      <c r="X11" s="2" t="inlineStr"/>
      <c r="Y11" s="2" t="inlineStr">
        <is>
          <t>Bachelor_60_0db1ecc33192dca3d59fdf22e534a0faf17d221c.txt; Bachelor_60_0db1ecc33192dca3d59fdf22e534a0faf17d221c.txt; Bachelor_60_0db1ecc33192dca3d59fdf22e534a0faf17d221c.txt; Bachelor_60_0db1ecc33192dca3d59fdf22e534a0faf17d221c.txt; Bachelor_60_0db1ecc33192dca3d59fdf22e534a0faf17d221c.txt; Bachelor_60_de187ddb3891357b61d0665e5a4f0f2bc5bfd0bf.txt; Bachelor_60_de187ddb3891357b61d0665e5a4f0f2bc5bfd0bf.txt; Bachelor_60_de187ddb3891357b61d0665e5a4f0f2bc5bfd0bf.txt</t>
        </is>
      </c>
      <c r="Z11" s="2" t="inlineStr">
        <is>
          <t>studyplans; studyplans; studyplans; studyplans; studyplans; studyplans; studyplans; studyplans</t>
        </is>
      </c>
      <c r="AA11" s="2" t="inlineStr">
        <is>
          <t>1; 1; 1; 1; 1; 1; 1; 1</t>
        </is>
      </c>
      <c r="AB11" s="2" t="inlineStr">
        <is>
          <t xml:space="preserve">1. [studyplans] Bachelor_60_0db1ecc33192dca3d59fdf22e534a0faf17d221c.txt p.1 - Section: STRUCTURE CONSEILLÉE DES ÉTUDES Table rows: - Semestres 1 - 6: 1 (SA); Semestres 1 - 6: 2 (SP); Semestres 1 - 6: 3 (SA); Semestres 1 - 6: 4 (SP); Semestres 1 - 6: 5 (SA); Semestres 1 - 6: 6 (SP) - column_1: 1 Pr
2. [studyplans] Bachelor_60_0db1ecc33192dca3d59fdf22e534a0faf17d221c.txt p.1 - FLE (plan d'études DEDS A); Semestres 1 - 6: 1 séminaire « Interculturel » 1 séminaire « Littérature » 1 séminaire à choisir dans le programme FLE (plan d'études DEDS A); Semestres 1 - 6: 1 séminaire « Interculturel » 1 
3. [studyplans] Bachelor_60_0db1ecc33192dca3d59fdf22e534a0faf17d221c.txt p.1 - /natives | Langue débutant | Tandem | | | | | | 2 Linguistique | | 2, 3 ou 4 séminaires (selon plan d'études) Cours | 2, 3 ou 4 séminaires (selon plan d'études) Cours | 2, 3 ou 4 séminaires (selon plan d'études) Cours | 
4. [studyplans] Bachelor_60_0db1ecc33192dca3d59fdf22e534a0faf17d221c.txt p.1 - Section: SEMESTRE D'AUTOMNE (SA) Table rows: - column_1: 8-10; Mardi: Interculturel : Séminaire; Mercredi: Langue : écrit B2 (non natifs/ves); Jeudi: Didactique : Séminaire - column_1: 10-12; Mardi: Linguistique : Sémina
5. [studyplans] Bachelor_60_0db1ecc33192dca3d59fdf22e534a0faf17d221c.txt p.1 - Section: SEMESTRE DE PRINTEMPS (SP) Table rows: - column_1: 8-10; Mercredi: Langue : écrit C1 (non natifs/ves) - column_1: 10-12; Mercredi: Langue : oral B2- C1 (non natifs/ves); Jeudi: Didactique : Séminaire; Vendredi: 
6. [studyplans] Bachelor_60_de187ddb3891357b61d0665e5a4f0f2bc5bfd0bf.txt p.1 - Section: Studienjahr 2025/2026 Table rows: - WILLKOMMEN IM DAF-STUDIUM!: ERSTE SCHRITTE; 4: 5 - WILLKOMMEN IM DAF-STUDIUM!: Sich informieren; 4: 5 - WILLKOMMEN IM DAF-STUDIUM!: Veranstaltungen vor Semesterbeginn; 4: 5 - 
7. [studyplans] Bachelor_60_de187ddb3891357b61d0665e5a4f0f2bc5bfd0bf.txt p.1 - : ORGANISATION IHRES STUDIUMS IM BA DaF [60]; 4: 12 - WILLKOMMEN IM DAF-STUDIUM!: Empfohlener Studienaufbau über 3 Jahre bei Beginn im HS25; 4: 12 - WILLKOMMEN IM DAF-STUDIUM!: Empfohlener Studienaufbau bei Beginn im FS2
8. [studyplans] Bachelor_60_de187ddb3891357b61d0665e5a4f0f2bc5bfd0bf.txt p.1 - ON IHRES STUDIUMS IM BA DaF [60] | 12 | | Empfohlener Studienaufbau über 3 Jahre bei Beginn im HS25 | 12 | | Empfohlener Studienaufbau bei Beginn im FS26 | 13 | | Empfohlener Studienaufbau über 2 Jahre, Beginn HS25 | 14 </t>
        </is>
      </c>
      <c r="AC11" s="2" t="inlineStr">
        <is>
          <t>[{"source": "Bachelor_60_0db1ecc33192dca3d59fdf22e534a0faf17d221c.txt", "page": 1, "snippet": "Section: STRUCTURE CONSEILLÉE DES ÉTUDES\n\nTable rows:\n- Semestres 1 - 6: 1 (SA); Semestres 1 - 6: 2 (SP); Semestres 1 - 6: 3 (SA); Semestres 1 - 6: 4 (SP); Semestres 1 - 6: 5 (SA); Semestres 1 - 6: 6 (SP)\n- column_1: 1 Pratique Langue A Non natifs/natives; Semestres 1 - 6: Ecrit B2 Grammaire B2-C1; Semestres 1 - 6: Ecrit C1 Oral B2- C1; Semestres 1…",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"0db1ecc33192dca3d59fdf22e534a0faf17d221c::semantic_table::chunk::0008", "chunk_type": "table", "section": "STRUCTURE CONSEILLÉE DES ÉTUDES", "page_start": 1, "page_end": 1, "chunk_pages": [1], "contains_table": true, "block_kinds": ["table"], "prev_chunk_id": "0db1ecc33192dca3d59fdf22e534a0faf17d221c::semantic_table::chunk::0007", "next_chunk_id": "0db1ecc33192dca3d59fdf22e534a0faf17d221c::semantic_table::chunk::0009",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16, "returned_programs": ["German as a Foreign Language"], "query": "Quel est la langue d'enseignement du bachelor en informatique de gestion?", "query_language": "fr"}], "returned_count": 16}}}, "candidate_count_before_dedupe": 16, "returned_count": 8, "returned_sources": ["studyplans", "studyplans", "studyplans", "studyplans", "studyplans", "studyplans", "studyplans", "studyplans"], "returned_programs": ["German as a Foreign Language"]}, "source_retrieval_quota": 16}, "source_type": "pdf"}, {"source": "Bachelor_60_0db1ecc33192dca3d59fdf22e534a0faf17d221c.txt", "page": 1, "snippet": "FLE (plan d'études DEDS A); Semestres 1 - 6: 1 séminaire « Interculturel » 1 séminaire « Littérature » 1 séminaire à choisir dans le programme FLE (plan d'études DEDS A); Semestres 1 - 6: 1 séminaire « Interculturel » 1 séminaire « Littérature » 1 séminaire à choisir dans le programme FLE (plan d'études DEDS A)\n- column_1: Travaux de séminaire; Sem…",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"0db1ecc33192dca3d59fdf22e534a0faf17d221c::semantic_table::chunk::0009", "chunk_type": "table", "section": "STRUCTURE CONSEILLÉE DES ÉTUDES", "page_start": 1, "page_end": 1, "chunk_pages": [1], "contains_table": true, "block_kinds": ["table"], "prev_chunk_id": "0db1ecc33192dca3d59fdf22e534a0faf17d221c::semantic_table::chunk::0008", "next_chunk_id": "0db1ecc33192dca3d59fdf22e534a0faf17d221c::semantic_table::chunk::0010",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16, "returned_programs": ["German as a Foreign Language"], "query": "Quel est la langue d'enseignement du bachelor en informatique de gestion?", "query_language": "fr"}], "returned_count": 16}}}, "candidate_count_before_dedupe": 16, "returned_count": 8, "returned_sources": ["studyplans", "studyplans", "studyplans", "studyplans", "studyplans", "studyplans", "studyplans", "studyplans"], "returned_programs": ["German as a Foreign Language"]}, "source_retrieval_quota": 16}, "source_type": "pdf"}, {"source": "Bachelor_60_0db1ecc33192dca3d59fdf22e534a0faf17d221c.txt", "page": 1, "snippet": "/natives | Langue débutant | Tandem | | | | |\n| 2 Linguistique | | 2, 3 ou 4 séminaires (selon plan d'études) Cours | 2, 3 ou 4 séminaires (selon plan d'études) Cours | 2, 3 ou 4 séminaires (selon plan d'études) Cours | 2, 3 ou 4 séminaires (selon plan d'études) Cours | 2, 3 ou 4 séminaires (selon plan d'études) Cours |\n| 3 Didactique | Cours | 3 o…",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"0db1ecc33192dca3d59fdf22e534a0faf17d221c::semantic_table::chunk::0010", "chunk_type": "table", "section": "STRUCTURE CONSEILLÉE DES ÉTUDES", "page_start": 1, "page_end": 1, "chunk_pages": [1], "contains_table": true, "block_kinds": ["table"], "prev_chunk_id": "0db1ecc33192dca3d59fdf22e534a0faf17d221c::semantic_table::chunk::0009", "next_chunk_id": "0db1ecc33192dca3d59fdf22e534a0faf17d221c::semantic_table::chunk::0011",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16, "returned_programs": ["German as a Foreign Language"], "query": "Quel est la langue d'enseignement du bachelor en informatique de gestion?", "query_language": "fr"}], "returned_count": 16}}}, "candidate_count_before_dedupe": 16, "returned_count": 8, "returned_sources": ["studyplans", "studyplans", "studyplans", "studyplans", "studyplans", "studyplans", "studyplans", "studyplans"], "returned_programs": ["German as a Foreign Language"]}, "source_retrieval_quota": 16}, "source_type": "pdf"}, {"source": "Bachelor_60_0db1ecc33192dca3d59fdf22e534a0faf17d221c.txt", "page": 1, "snippet": "Section: SEMESTRE D'AUTOMNE (SA)\n\nTable rows:\n- column_1: 8-10; Mardi: Interculturel : Séminaire; Mercredi: Langue : écrit B2 (non natifs/ves); Jeudi: Didactique : Séminaire\n- column_1: 10-12; Mardi: Linguistique : Séminaire; Mercredi: Langue : grammaire B2-C1 (non natifs/ves); Jeudi: Didactique : Séminaire\n- column_1: 13-15; Mardi: Linguistique : …",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"0db1ecc33192dca3d59fdf22e534a0faf17d221c::semantic_table::chunk::0014", "chunk_type": "table", "section": "SEMESTRE D'AUTOMNE (SA)", "page_start": 1, "page_end": 1, "chunk_pages": [1], "contains_table": true, "block_kinds": ["table"], "prev_chunk_id": "0db1ecc33192dca3d59fdf22e534a0faf17d221c::semantic_table::chunk::0013", "next_chunk_id": "0db1ecc33192dca3d59fdf22e534a0faf17d221c::semantic_table::chunk::0015",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16, "returned_programs": ["German as a Foreign Language"], "query": "Quel est la langue d'enseignement du bachelor en informatique de gestion?", "query_language": "fr"}], "returned_count": 16}}}, "candidate_count_before_dedupe": 16, "returned_count": 8, "returned_sources": ["studyplans", "studyplans", "studyplans", "studyplans", "studyplans", "studyplans", "studyplans", "studyplans"], "returned_programs": ["German as a Foreign Language"]}, "source_retrieval_quota": 16}, "source_type": "pdf"}, {"source": "Bachelor_60_0db1ecc33192dca3d59fdf22e534a0faf17d221c.txt", "page": 1, "snippet": "Section: SEMESTRE DE PRINTEMPS (SP)\n\nTable rows:\n- column_1: 8-10; Mercredi: Langue : écrit C1 (non natifs/ves)\n- column_1: 10-12; Mercredi: Langue : oral B2- C1 (non natifs/ves); Jeudi: Didactique : Séminaire; Vendredi: Didactique : Séminaire\n- column_1: 13-15; Mardi: Interculturel / Littérature : Séminaire; Mercredi: Didactique : Séminaire; Jeudi…",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"0db1ecc33192dca3d59fdf22e534a0faf17d221c::semantic_table::chunk::0016", "chunk_type": "table", "section": "SEMESTRE DE PRINTEMPS (SP)", "page_start": 1, "page_end": 1, "chunk_pages": [1], "contains_table": true, "block_kinds": ["table"], "prev_chunk_id": "0db1ecc33192dca3d59fdf22e534a0faf17d221c::semantic_table::chunk::0015", "next_chunk_id": "0db1ecc33192dca3d59fdf22e534a0faf17d221c::semantic_table::chunk::0017",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16, "returned_programs": ["German as a Foreign Language"], "query": "Quel est la langue d'enseignement du bachelor en informatique de gestion?", "query_language": "fr"}], "returned_count": 16}}}, "candidate_count_before_dedupe": 16, "returned_count": 8, "returned_sources": ["studyplans", "studyplans", "studyplans", "studyplans", "studyplans", "studyplans", "studyplans", "studyplans"], "returned_programs": ["German as a Foreign Language"]}, "source_retrieval_quota": 16}, "source_type": "pdf"}, {"source": "Bachelor_60_de187ddb3891357b61d0665e5a4f0f2bc5bfd0bf.txt", "page": 1, "snippet": "Section: Studienjahr 2025/2026\n\nTable rows:\n- WILLKOMMEN IM DAF-STUDIUM!: ERSTE SCHRITTE; 4: 5\n- WILLKOMMEN IM DAF-STUDIUM!: Sich informieren; 4: 5\n- WILLKOMMEN IM DAF-STUDIUM!: Veranstaltungen vor Semesterbeginn; 4: 5\n- WILLKOMMEN IM DAF-STUDIUM!: Informationsmaterial; 4: 5\n- WILLKOMMEN IM DAF-STUDIUM!: Ansprechpersonen; 4: 5\n- WILLKOMMEN IM DAF-S…",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"de187ddb3891357b61d0665e5a4f0f2bc5bfd0bf::semantic_table::chunk::0002", "chunk_type": "table", "section": "Studienjahr 2025/2026", "page_start": 1, "page_end": 1, "chunk_pages": [1], "contains_table": true, "block_kinds": ["table"], "prev_chunk_id": "de187ddb3891357b61d0665e5a4f0f2bc5bfd0bf::semantic_table::chunk::0001", "next_chunk_id": "de187ddb3891357b61d0665e5a4f0f2bc5bfd0bf::semantic_table::chunk::0003",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16, "returned_programs": ["German as a Foreign Language"], "query": "Quel est la langue d'enseignement du bachelor en informatique de gestion?", "query_language": "fr"}], "returned_count": 16}}}, "candidate_count_before_dedupe": 16, "returned_count": 8, "returned_sources": ["studyplans", "studyplans", "studyplans", "studyplans", "studyplans", "studyplans", "studyplans", "studyplans"], "returned_programs": ["German as a Foreign Language"]}, "source_retrieval_quota": 16}, "source_type": "pdf"}, {"source": "Bachelor_60_de187ddb3891357b61d0665e5a4f0f2bc5bfd0bf.txt", "page": 1, "snippet": ": ORGANISATION IHRES STUDIUMS IM BA DaF [60]; 4: 12\n- WILLKOMMEN IM DAF-STUDIUM!: Empfohlener Studienaufbau über 3 Jahre bei Beginn im HS25; 4: 12\n- WILLKOMMEN IM DAF-STUDIUM!: Empfohlener Studienaufbau bei Beginn im FS26; 4: 13\n- WILLKOMMEN IM DAF-STUDIUM!: Empfohlener Studienaufbau über 2 Jahre, Beginn HS25; 4: 14\n- WILLKOMMEN IM DAF-STUDIUM!: SC…",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"de187ddb3891357b61d0665e5a4f0f2bc5bfd0bf::semantic_table::chunk::0003", "chunk_type": "table", "section": "Studienjahr 2025/2026", "page_start": 1, "page_end": 1, "chunk_pages": [1], "contains_table": true, "block_kinds": ["table"], "prev_chunk_id": "de187ddb3891357b61d0665e5a4f0f2bc5bfd0bf::semantic_table::chunk::0002", "next_chunk_id": "de187ddb3891357b61d0665e5a4f0f2bc5bfd0bf::semantic_table::chunk::0004",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16, "returned_programs": ["German as a Foreign Language"], "query": "Quel est la langue d'enseignement du bachelor en informatique de gestion?", "query_language": "fr"}], "returned_count": 16}}}, "candidate_count_before_dedupe": 16, "returned_count": 8, "returned_sources": ["studyplans", "studyplans", "studyplans", "studyplans", "studyplans", "studyplans", "studyplans", "studyplans"], "returned_programs": ["German as a Foreign Language"]}, "source_retrieval_quota": 16}, "source_type": "pdf"}, {"source": "Bachelor_60_de187ddb3891357b61d0665e5a4f0f2bc5bfd0bf.txt", "page": 1, "snippet": "ON IHRES STUDIUMS IM BA DaF [60] | 12 |\n| Empfohlener Studienaufbau über 3 Jahre bei Beginn im HS25 | 12 |\n| Empfohlener Studienaufbau bei Beginn im FS26 | 13 |\n| Empfohlener Studienaufbau über 2 Jahre, Beginn HS25 | 14 |\n| SCHRIFTLICHE ARBEIT (SEMINARARBEIT) IM BA DAF (60) | 15 |\n| Inhalte und Ziele der Seminararbeit | 15 |\n| Informationen zur Sem…",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"de187ddb3891357b61d0665e5a4f0f2bc5bfd0bf::semantic_table::chunk::0004", "chunk_type": "table", "section": "Studienjahr 2025/2026", "page_start": 1, "page_end": 1, "chunk_pages": [1], "contains_table": true, "block_kinds": ["table"], "prev_chunk_id": "de187ddb3891357b61d0665e5a4f0f2bc5bfd0bf::semantic_table::chunk::0003", "next_chunk_id": "de187ddb3891357b61d0665e5a4f0f2bc5bfd0bf::semantic_table::chunk::0005", "rag_source": "studyplans", "category": "studyplans", "retrieval_debug": {"retrieval_mode": "multi_vectorstore_weighted_rerank", "source_intent": "studyplans", "quotas": {"studyplans": 16, "reglementations": 3, "base_data": 5}, "per_source": {"studyplans": {"quota": 16, "returned": 16,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16, "returned_programs": ["German as a Foreign Language"], "query": "Quel est la langue d'enseignement du bachelor en informatique de gestion?", "query_language": "fr"}], "returned_count": 16}}}, "candidate_count_before_dedupe": 16, "returned_count": 8, "returned_sources": ["studyplans", "studyplans", "studyplans", "studyplans", "studyplans", "studyplans", "studyplans", "studyplans"], "returned_programs": ["German as a Foreign Language"]}, "source_retrieval_quota": 16}, "source_type": "pdf"}]</t>
        </is>
      </c>
      <c r="AD11" s="2" t="inlineStr">
        <is>
          <t>[]</t>
        </is>
      </c>
      <c r="AE11" s="2" t="inlineStr">
        <is>
          <t>Bachelor_60_0db1ecc33192dca3d59fdf22e534a0faf17d221c.txt</t>
        </is>
      </c>
      <c r="AF11" s="2" t="inlineStr">
        <is>
          <t>studyplans</t>
        </is>
      </c>
      <c r="AG11" s="2" t="n">
        <v>1</v>
      </c>
      <c r="AH11" s="2" t="inlineStr">
        <is>
          <t>Section: STRUCTURE CONSEILLÉE DES ÉTUDES Table rows: - Semestres 1 - 6: 1 (SA); Semestres 1 - 6: 2 (SP); Semestres 1 - 6: 3 (SA); Semestres 1 - 6: 4 (SP); Semestres 1 - 6: 5 (SA); Semestres 1 - 6: 6 (SP) - column_1: 1 Pratique Langue A Non natifs/natives; Semestres 1 - 6: Ecrit B2 Grammaire B2-C1; Semestres 1 - 6: Ecrit C1 Oral B2- C1; Semestres 1…</t>
        </is>
      </c>
      <c r="AI11" s="2" t="n">
        <v>0</v>
      </c>
      <c r="AJ11" s="2" t="n">
        <v>0</v>
      </c>
      <c r="AK11" s="2" t="n">
        <v>0</v>
      </c>
      <c r="AL11" s="2" t="n">
        <v>0</v>
      </c>
      <c r="AM11" s="2" t="n">
        <v>0</v>
      </c>
      <c r="AN11" s="2" t="inlineStr"/>
      <c r="AO11" s="2" t="n">
        <v>0</v>
      </c>
      <c r="AP11" s="2" t="inlineStr"/>
      <c r="AQ11" s="2" t="inlineStr"/>
      <c r="AR11" s="2" t="inlineStr">
        <is>
          <t>Suggested manual score: 0=wrong/missing, 1=partly correct, 2=correct and grounded. Fill source ranks if useful, e.g. 1,3.</t>
        </is>
      </c>
    </row>
    <row r="12">
      <c r="A12" s="2" t="inlineStr">
        <is>
          <t>2026-05-19T00:17:00</t>
        </is>
      </c>
      <c r="B12" s="2" t="n">
        <v>12</v>
      </c>
      <c r="C12" s="2" t="n">
        <v>11</v>
      </c>
      <c r="D12" s="2" t="inlineStr">
        <is>
          <t>reglementation</t>
        </is>
      </c>
      <c r="E12" s="2" t="inlineStr">
        <is>
          <t>easy</t>
        </is>
      </c>
      <c r="F12" s="2" t="inlineStr">
        <is>
          <t>en</t>
        </is>
      </c>
      <c r="G12" s="2" t="inlineStr">
        <is>
          <t>What does the reglementation say about quality assurance at the university of friburg?</t>
        </is>
      </c>
      <c r="H12" s="2" t="inlineStr">
        <is>
          <t>summary of https://webapps.unifr.ch/legal/de/110.000</t>
        </is>
      </c>
      <c r="I12" s="2" t="inlineStr">
        <is>
          <t>RAG</t>
        </is>
      </c>
      <c r="J12" s="2" t="inlineStr"/>
      <c r="K12" s="2" t="inlineStr">
        <is>
          <t>regl vectorstore</t>
        </is>
      </c>
      <c r="L12" s="2" t="inlineStr"/>
      <c r="M12" s="2" t="inlineStr">
        <is>
          <t>reglementations</t>
        </is>
      </c>
      <c r="N12" s="2" t="n">
        <v>200</v>
      </c>
      <c r="O12" s="2" t="n">
        <v>1</v>
      </c>
      <c r="P12" s="2" t="n">
        <v>236947.99</v>
      </c>
      <c r="Q12" s="2" t="n">
        <v>236962.61</v>
      </c>
      <c r="R12" s="2" t="inlineStr">
        <is>
          <t>I cannot find any information about quality assurance at the University of Fribourg in the provided documents. The documents appear to be related to the Bachelor's program in Theology, but they do not mention quality assurance.
However, I can suggest that you may want to look for a separate document or section that deals specifically with quality assurance policies and procedures at the university.</t>
        </is>
      </c>
      <c r="S12" s="2" t="n">
        <v>402</v>
      </c>
      <c r="T12" s="2" t="n">
        <v>3</v>
      </c>
      <c r="U12" s="2" t="n">
        <v>0</v>
      </c>
      <c r="V12" s="2" t="inlineStr"/>
      <c r="W12" s="2" t="n"/>
      <c r="X12" s="2" t="inlineStr"/>
      <c r="Y12" s="2" t="inlineStr">
        <is>
          <t>Bachelor_60_1d036b4e5f656b65bcfa7a6121fb5095582bb706.txt; Bachelor_60_1d036b4e5f656b65bcfa7a6121fb5095582bb706.txt; Bachelor_60_474591eeaefa6c5efdc21f30ddab4db20843f774.txt</t>
        </is>
      </c>
      <c r="Z12" s="2" t="inlineStr">
        <is>
          <t>studyplans; studyplans; studyplans</t>
        </is>
      </c>
      <c r="AA12" s="2" t="inlineStr">
        <is>
          <t>1; 1; 1</t>
        </is>
      </c>
      <c r="AB12" s="2" t="inlineStr">
        <is>
          <t>1. [studyplans] Bachelor_60_1d036b4e5f656b65bcfa7a6121fb5095582bb706.txt p.1 - Section: TABLE OF CONTENTS Table rows: - PREFACE: CONDITIONSANDMEASURESTO FACILITATE DOCTORAL JOURNEY; 3: 4 - PREFACE: INDIVIDUAL CHARACTERISTICS AND CONTEXTUAL FACTORS; 3: 5 - PREFACE: Individual characteristics; 3: 5 -
2. [studyplans] Bachelor_60_1d036b4e5f656b65bcfa7a6121fb5095582bb706.txt p.1 - ocuments; 3: 22 - PREFACE: Tools; 3: 23 - PREFACE: NOTES; 3: 24 Raw table: | PREFACE | 3 | |--------------------------------------------------------------|-----| | CONDITIONSANDMEASURESTO FACILITATE DOCTORAL JOURNEY | 4 
3. [studyplans] Bachelor_60_474591eeaefa6c5efdc21f30ddab4db20843f774.txt p.1 - Section: Abgabe - Archivierung - Veröffentlichung der wissenschaftlichen Abschlussarbeiten Table rows: - Bachelor: Abgabe; column_2: 1 PDF über MyUnifr 1 ; 3 gebundene Exemplare in Papierform an das Dekanat (davon je 1 E</t>
        </is>
      </c>
      <c r="AC12" s="2" t="inlineStr">
        <is>
          <t>[{"source": "Bachelor_60_1d036b4e5f656b65bcfa7a6121fb5095582bb706.txt", "page": 1, "snippet": "Section: TABLE OF CONTENTS\n\nTable rows:\n- PREFACE: CONDITIONSANDMEASURESTO FACILITATE DOCTORAL JOURNEY; 3: 4\n- PREFACE: INDIVIDUAL CHARACTERISTICS AND CONTEXTUAL FACTORS; 3: 5\n- PREFACE: Individual characteristics; 3: 5\n- PREFACE: Organizational context; 3: 6\n- PREFACE: Socio-professional environment; 3: 6\n- PREFACE: Personal circle; 3: 7\n- PREFACE…", "metadata": {"parsed_at": "2026-04-10T17:34:31.316Z", "pages": 1, "parser": "docling", "doc_key": "1d036b4e5f656b65bcfa7a6121fb5095582bb706", "degree_level": "Bachelor", "total_ects": 60, "program_name": "Theology", "doc_label": "Concrete avenues for doctoral students and those supervising them", "source_url": "https://www.unifr.ch/theo/fr/assets/public/doc%2520etudes/Booklet_ConditionsPhD_2020.pdf", "source_type": "pdf", "curriculum_url": "http://studies.unifr.ch/go/llH5R", "fetched_at": "2026-04-03T11:31:55.476Z", "source_file": "Bachelor_60_1d036b4e5f656b65bcfa7a6121fb5095582bb706.txt", "index_variant": "table_semantic_v1", "chunk_id": "1d036b4e5f656b65bcfa7a6121fb5095582bb706::semantic_table::chunk::0002", "chunk_type": "table", "section": "TABLE OF CONTENTS", "page_start": 1, "page_end": 1, "chunk_pages": [1], "contains_table": true, "block_kinds": ["table"], "prev_chunk_id": "1d036b4e5f656b65bcfa7a6121fb5095582bb706::semantic_table::chunk::0001", "next_chunk_id": "1d036b4e5f656b65bcfa7a6121fb5095582bb706::semantic_table::chunk::0003", "rag_source": "studyplans", "category": "studyplans", "retrieval_debug": {"retrieval_mode": "multi_vectorstore_weighted_rerank", "source_intent": "reglementations", "quotas": {"studyplans": 3, "reglementations": 16, "base_data": 5}, "per_source": {"studyplans": {"quota": 3, "returned": 3,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3, "returned_programs": ["Theology"], "query": "What does the reglementation say about quality assurance at the university of friburg?", "query_language": "en"}], "returned_count": 3}}}, "candidate_count_before_dedupe": 3, "returned_count": 3, "returned_sources": ["studyplans", "studyplans", "studyplans"], "returned_programs": ["Theology"]}, "source_retrieval_quota": 3}, "source_type": "pdf"}, {"source": "Bachelor_60_1d036b4e5f656b65bcfa7a6121fb5095582bb706.txt", "page": 1, "snippet": "ocuments; 3: 22\n- PREFACE: Tools; 3: 23\n- PREFACE: NOTES; 3: 24\n\nRaw table:\n| PREFACE | 3 |\n|--------------------------------------------------------------|-----|\n| CONDITIONSANDMEASURESTO FACILITATE DOCTORAL JOURNEY | 4 |\n| INDIVIDUAL CHARACTERISTICS AND CONTEXTUAL FACTORS | 5 |\n| Individual characteristics | 5 |\n| Organizational context | 6 |\n| S…", "metadata": {"parsed_at": "2026-04-10T17:34:31.316Z", "pages": 1, "parser": "docling", "doc_key": "1d036b4e5f656b65bcfa7a6121fb5095582bb706", "degree_level": "Bachelor", "total_ects": 60, "program_name": "Theology", "doc_label": "Concrete avenues for doctoral students and those supervising them", "source_url": "https://www.unifr.ch/theo/fr/assets/public/doc%2520etudes/Booklet_ConditionsPhD_2020.pdf", "source_type": "pdf", "curriculum_url": "http://studies.unifr.ch/go/llH5R", "fetched_at": "2026-04-03T11:31:55.476Z", "source_file": "Bachelor_60_1d036b4e5f656b65bcfa7a6121fb5095582bb706.txt", "index_variant": "table_semantic_v1", "chunk_id": "1d036b4e5f656b65bcfa7a6121fb5095582bb706::semantic_table::chunk::0003", "chunk_type": "table", "section": "TABLE OF CONTENTS", "page_start": 1, "page_end": 1, "chunk_pages": [1], "contains_table": true, "block_kinds": ["table"], "prev_chunk_id": "1d036b4e5f656b65bcfa7a6121fb5095582bb706::semantic_table::chunk::0002", "next_chunk_id": "1d036b4e5f656b65bcfa7a6121fb5095582bb706::semantic_table::chunk::0004", "rag_source": "studyplans", "category": "studyplans", "retrieval_debug": {"retrieval_mode": "multi_vectorstore_weighted_rerank", "source_intent": "reglementations", "quotas": {"studyplans": 3, "reglementations": 16, "base_data": 5}, "per_source": {"studyplans": {"quota": 3, "returned": 3,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3, "returned_programs": ["Theology"], "query": "What does the reglementation say about quality assurance at the university of friburg?", "query_language": "en"}], "returned_count": 3}}}, "candidate_count_before_dedupe": 3, "returned_count": 3, "returned_sources": ["studyplans", "studyplans", "studyplans"], "returned_programs": ["Theology"]}, "source_retrieval_quota": 3}, "source_type": "pdf"}, {"source": "Bachelor_60_474591eeaefa6c5efdc21f30ddab4db20843f774.txt", "page": 1, "snippet": "Section: Abgabe - Archivierung - Veröffentlichung der wissenschaftlichen Abschlussarbeiten\n\nTable rows:\n- Bachelor: Abgabe; column_2: 1 PDF über MyUnifr 1 ; 3 gebundene Exemplare in Papierform an das Dekanat (davon je 1 Ex. für die zwei Zensoren); keine Spiralbindung\n- Bachelor: Archivierung; column_2: 1 Exemplar im Archiv der Fakultät\n\nRaw table:\n…",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"474591eeaefa6c5efdc21f30ddab4db20843f774::semantic_table::chunk::0001", "chunk_type": "table", "section": "Abgabe - Archivierung - Veröffentlichung der wissenschaftlichen Abschlussarbeiten", "page_start": 1, "page_end": 1, "chunk_pages": [1], "contains_table": true, "block_kinds": ["table"], "prev_chunk_id": null, "next_chunk_id": "474591eeaefa6c5efdc21f30ddab4db20843f774::semantic_table::chunk::0002", "rag_source": "studyplans", "category": "studyplans", "retrieval_debug": {"retrieval_mode": "multi_vectorstore_weighted_rerank", "source_intent": "reglementations", "quotas": {"studyplans": 3, "reglementations": 16, "base_data": 5}, "per_source": {"studyplans": {"quota": 3, "returned": 3,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3, "returned_programs": ["Theology"], "query": "What does the reglementation say about quality assurance at the university of friburg?", "query_language": "en"}], "returned_count": 3}}}, "candidate_count_before_dedupe": 3, "returned_count": 3, "returned_sources": ["studyplans", "studyplans", "studyplans"], "returned_programs": ["Theology"]}, "source_retrieval_quota": 3}, "source_type": "pdf"}]</t>
        </is>
      </c>
      <c r="AD12" s="2" t="inlineStr">
        <is>
          <t>[]</t>
        </is>
      </c>
      <c r="AE12" s="2" t="inlineStr">
        <is>
          <t>Bachelor_60_1d036b4e5f656b65bcfa7a6121fb5095582bb706.txt</t>
        </is>
      </c>
      <c r="AF12" s="2" t="inlineStr">
        <is>
          <t>studyplans</t>
        </is>
      </c>
      <c r="AG12" s="2" t="n">
        <v>1</v>
      </c>
      <c r="AH12" s="2" t="inlineStr">
        <is>
          <t>Section: TABLE OF CONTENTS Table rows: - PREFACE: CONDITIONSANDMEASURESTO FACILITATE DOCTORAL JOURNEY; 3: 4 - PREFACE: INDIVIDUAL CHARACTERISTICS AND CONTEXTUAL FACTORS; 3: 5 - PREFACE: Individual characteristics; 3: 5 - PREFACE: Organizational context; 3: 6 - PREFACE: Socio-professional environment; 3: 6 - PREFACE: Personal circle; 3: 7 - PREFACE…</t>
        </is>
      </c>
      <c r="AI12" s="2" t="n">
        <v>0</v>
      </c>
      <c r="AJ12" s="2" t="n">
        <v>0</v>
      </c>
      <c r="AK12" s="2" t="n">
        <v>0</v>
      </c>
      <c r="AL12" s="2" t="n">
        <v>0</v>
      </c>
      <c r="AM12" s="2" t="n">
        <v>0</v>
      </c>
      <c r="AN12" s="2" t="inlineStr"/>
      <c r="AO12" s="2" t="n">
        <v>0</v>
      </c>
      <c r="AP12" s="2" t="inlineStr"/>
      <c r="AQ12" s="2" t="inlineStr"/>
      <c r="AR12" s="2" t="inlineStr">
        <is>
          <t>Suggested manual score: 0=wrong/missing, 1=partly correct, 2=correct and grounded. Fill source ranks if useful, e.g. 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c r="A1" s="1" t="inlineStr">
        <is>
          <t>Metric</t>
        </is>
      </c>
      <c r="B1" s="1" t="inlineStr">
        <is>
          <t>Formula / Meaning</t>
        </is>
      </c>
      <c r="C1" s="1" t="inlineStr">
        <is>
          <t>Value</t>
        </is>
      </c>
    </row>
    <row r="2">
      <c r="A2" s="2" t="inlineStr">
        <is>
          <t>Questions evaluated</t>
        </is>
      </c>
      <c r="B2" s="2" t="inlineStr">
        <is>
          <t>Number of rows in answer sheet</t>
        </is>
      </c>
      <c r="C2" s="2">
        <f>COUNTA('Ask_Answer_Eval'!G:G)-1</f>
        <v/>
      </c>
    </row>
    <row r="3">
      <c r="A3" s="2" t="inlineStr">
        <is>
          <t>Success rate</t>
        </is>
      </c>
      <c r="B3" s="2" t="inlineStr">
        <is>
          <t>Successful /ask requests / all requests</t>
        </is>
      </c>
      <c r="C3" s="2">
        <f>AVERAGE('Ask_Answer_Eval'!O:O)</f>
        <v/>
      </c>
    </row>
    <row r="4">
      <c r="A4" s="2" t="inlineStr">
        <is>
          <t>Mean ask time ms</t>
        </is>
      </c>
      <c r="B4" s="2" t="inlineStr">
        <is>
          <t>Average /ask client time</t>
        </is>
      </c>
      <c r="C4" s="2">
        <f>AVERAGE('Ask_Answer_Eval'!P:P)</f>
        <v/>
      </c>
    </row>
    <row r="5">
      <c r="A5" s="2" t="inlineStr">
        <is>
          <t>Median ask time ms</t>
        </is>
      </c>
      <c r="B5" s="2" t="inlineStr">
        <is>
          <t>Median /ask client time</t>
        </is>
      </c>
      <c r="C5" s="2">
        <f>MEDIAN('Ask_Answer_Eval'!P:P)</f>
        <v/>
      </c>
    </row>
    <row r="6">
      <c r="A6" s="2" t="inlineStr">
        <is>
          <t>Mean answer length</t>
        </is>
      </c>
      <c r="B6" s="2" t="inlineStr">
        <is>
          <t>Average generated answer character count</t>
        </is>
      </c>
      <c r="C6" s="2">
        <f>AVERAGE('Ask_Answer_Eval'!S:S)</f>
        <v/>
      </c>
    </row>
    <row r="7">
      <c r="A7" s="2" t="inlineStr">
        <is>
          <t>Mean returned sources count</t>
        </is>
      </c>
      <c r="B7" s="2" t="inlineStr">
        <is>
          <t>Average sources returned by /ask</t>
        </is>
      </c>
      <c r="C7" s="2">
        <f>AVERAGE('Ask_Answer_Eval'!T:T)</f>
        <v/>
      </c>
    </row>
    <row r="8">
      <c r="A8" s="2" t="inlineStr">
        <is>
          <t>Category Recall@1</t>
        </is>
      </c>
      <c r="B8" s="2" t="inlineStr">
        <is>
          <t>Expected source category appears at rank 1</t>
        </is>
      </c>
      <c r="C8" s="2">
        <f>AVERAGE('Ask_Answer_Eval'!AI:AI)</f>
        <v/>
      </c>
    </row>
    <row r="9">
      <c r="A9" s="2" t="inlineStr">
        <is>
          <t>Category Recall@3</t>
        </is>
      </c>
      <c r="B9" s="2" t="inlineStr">
        <is>
          <t>Expected source category appears in top 3</t>
        </is>
      </c>
      <c r="C9" s="2">
        <f>AVERAGE('Ask_Answer_Eval'!AJ:AJ)</f>
        <v/>
      </c>
    </row>
    <row r="10">
      <c r="A10" s="2" t="inlineStr">
        <is>
          <t>Category Recall@5</t>
        </is>
      </c>
      <c r="B10" s="2" t="inlineStr">
        <is>
          <t>Expected source category appears in top 5</t>
        </is>
      </c>
      <c r="C10" s="2">
        <f>AVERAGE('Ask_Answer_Eval'!AK:AK)</f>
        <v/>
      </c>
    </row>
    <row r="11">
      <c r="A11" s="2" t="inlineStr">
        <is>
          <t>Category Precision@5</t>
        </is>
      </c>
      <c r="B11" s="2" t="inlineStr">
        <is>
          <t>Share of top 5 sources with expected source category</t>
        </is>
      </c>
      <c r="C11" s="2">
        <f>AVERAGE('Ask_Answer_Eval'!AL:AL)</f>
        <v/>
      </c>
    </row>
    <row r="12">
      <c r="A12" s="2" t="inlineStr">
        <is>
          <t>Category MRR</t>
        </is>
      </c>
      <c r="B12" s="2" t="inlineStr">
        <is>
          <t>Reciprocal rank of first expected-category source</t>
        </is>
      </c>
      <c r="C12" s="2">
        <f>AVERAGE('Ask_Answer_Eval'!AM:AM)</f>
        <v/>
      </c>
    </row>
    <row r="13">
      <c r="A13" s="2" t="inlineStr">
        <is>
          <t>Mean expected-answer token overlap</t>
        </is>
      </c>
      <c r="B13" s="2" t="inlineStr">
        <is>
          <t>Crude lexical overlap with expected_answer</t>
        </is>
      </c>
      <c r="C13" s="2">
        <f>AVERAGE('Ask_Answer_Eval'!AO:AO)</f>
        <v/>
      </c>
    </row>
    <row r="14">
      <c r="A14" s="2" t="inlineStr">
        <is>
          <t>Mean manual answer score</t>
        </is>
      </c>
      <c r="B14" s="2" t="inlineStr">
        <is>
          <t>Fill manual_answer_score_0_to_2 yourself</t>
        </is>
      </c>
      <c r="C14" s="2">
        <f>AVERAGE('Ask_Answer_Eval'!AP:AP)</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2026-05-18T22:17:00Z</dcterms:created>
  <dcterms:modified xsi:type="dcterms:W3CDTF">2026-05-18T23:42:21Z</dcterms:modified>
</cp:coreProperties>
</file>