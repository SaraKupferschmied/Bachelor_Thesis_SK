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G_Retrieval_Only" sheetId="1" state="visible" r:id="rId1"/>
    <sheet name="Retrieval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2"/>
  <sheetViews>
    <sheetView workbookViewId="0">
      <pane ySplit="1" topLeftCell="A2" activePane="bottomLeft" state="frozen"/>
      <selection pane="bottomLeft" activeCell="A1" sqref="A1"/>
    </sheetView>
  </sheetViews>
  <sheetFormatPr baseColWidth="8" defaultRowHeight="15" outlineLevelCol="0"/>
  <cols>
    <col width="16" customWidth="1" min="1" max="1"/>
    <col width="28" customWidth="1" min="2" max="2"/>
    <col width="18" customWidth="1" min="3" max="3"/>
    <col width="18" customWidth="1" min="4" max="4"/>
    <col width="18" customWidth="1" min="5" max="5"/>
    <col width="18" customWidth="1" min="6" max="6"/>
    <col width="55" customWidth="1" min="7" max="7"/>
    <col width="18" customWidth="1" min="8" max="8"/>
    <col width="28" customWidth="1" min="9" max="9"/>
    <col width="18" customWidth="1" min="10" max="10"/>
    <col width="28" customWidth="1" min="11" max="11"/>
    <col width="18" customWidth="1" min="12" max="12"/>
    <col width="28" customWidth="1" min="13" max="13"/>
    <col width="18" customWidth="1" min="14" max="14"/>
    <col width="18" customWidth="1" min="15" max="15"/>
    <col width="16" customWidth="1" min="16" max="16"/>
    <col width="16" customWidth="1" min="17" max="17"/>
    <col width="28" customWidth="1" min="18" max="18"/>
    <col width="18" customWidth="1" min="19" max="19"/>
    <col width="28" customWidth="1" min="20" max="20"/>
    <col width="28" customWidth="1" min="21" max="21"/>
    <col width="28" customWidth="1" min="22" max="22"/>
    <col width="55" customWidth="1" min="23" max="23"/>
    <col width="45" customWidth="1" min="24" max="24"/>
    <col width="28" customWidth="1" min="25" max="25"/>
    <col width="28" customWidth="1" min="26" max="26"/>
    <col width="28" customWidth="1" min="27" max="27"/>
    <col width="55"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s>
  <sheetData>
    <row r="1">
      <c r="A1" s="1" t="inlineStr">
        <is>
          <t>run_timestamp</t>
        </is>
      </c>
      <c r="B1" s="1" t="inlineStr">
        <is>
          <t>source_row</t>
        </is>
      </c>
      <c r="C1" s="1" t="inlineStr">
        <is>
          <t>id</t>
        </is>
      </c>
      <c r="D1" s="1" t="inlineStr">
        <is>
          <t>category</t>
        </is>
      </c>
      <c r="E1" s="1" t="inlineStr">
        <is>
          <t>difficulty</t>
        </is>
      </c>
      <c r="F1" s="1" t="inlineStr">
        <is>
          <t>language</t>
        </is>
      </c>
      <c r="G1" s="1" t="inlineStr">
        <is>
          <t>question</t>
        </is>
      </c>
      <c r="H1" s="1" t="inlineStr">
        <is>
          <t>expected_answer</t>
        </is>
      </c>
      <c r="I1" s="1" t="inlineStr">
        <is>
          <t>source_of_truth</t>
        </is>
      </c>
      <c r="J1" s="1" t="inlineStr">
        <is>
          <t>expected_flow</t>
        </is>
      </c>
      <c r="K1" s="1" t="inlineStr">
        <is>
          <t>gold_source</t>
        </is>
      </c>
      <c r="L1" s="1" t="inlineStr">
        <is>
          <t>required_fields</t>
        </is>
      </c>
      <c r="M1" s="1" t="inlineStr">
        <is>
          <t>expected_source_category</t>
        </is>
      </c>
      <c r="N1" s="1" t="inlineStr">
        <is>
          <t>debug_http_status</t>
        </is>
      </c>
      <c r="O1" s="1" t="inlineStr">
        <is>
          <t>success</t>
        </is>
      </c>
      <c r="P1" s="1" t="inlineStr">
        <is>
          <t>debug_time_ms</t>
        </is>
      </c>
      <c r="Q1" s="1" t="inlineStr">
        <is>
          <t>server_elapsed_ms</t>
        </is>
      </c>
      <c r="R1" s="1" t="inlineStr">
        <is>
          <t>sources_count</t>
        </is>
      </c>
      <c r="S1" s="1" t="inlineStr">
        <is>
          <t>error</t>
        </is>
      </c>
      <c r="T1" s="1" t="inlineStr">
        <is>
          <t>retrieved_source_keys</t>
        </is>
      </c>
      <c r="U1" s="1" t="inlineStr">
        <is>
          <t>retrieved_source_categories</t>
        </is>
      </c>
      <c r="V1" s="1" t="inlineStr">
        <is>
          <t>retrieved_source_pages</t>
        </is>
      </c>
      <c r="W1" s="1" t="inlineStr">
        <is>
          <t>retrieved_sources_ranked</t>
        </is>
      </c>
      <c r="X1" s="1" t="inlineStr">
        <is>
          <t>retrieved_sources_json</t>
        </is>
      </c>
      <c r="Y1" s="1" t="inlineStr">
        <is>
          <t>top1_source_key</t>
        </is>
      </c>
      <c r="Z1" s="1" t="inlineStr">
        <is>
          <t>top1_source_category</t>
        </is>
      </c>
      <c r="AA1" s="1" t="inlineStr">
        <is>
          <t>top1_source_page</t>
        </is>
      </c>
      <c r="AB1" s="1" t="inlineStr">
        <is>
          <t>top1_source_snippet</t>
        </is>
      </c>
      <c r="AC1" s="1" t="inlineStr">
        <is>
          <t>category_recall_at_1</t>
        </is>
      </c>
      <c r="AD1" s="1" t="inlineStr">
        <is>
          <t>category_recall_at_3</t>
        </is>
      </c>
      <c r="AE1" s="1" t="inlineStr">
        <is>
          <t>category_recall_at_5</t>
        </is>
      </c>
      <c r="AF1" s="1" t="inlineStr">
        <is>
          <t>category_precision_at_5</t>
        </is>
      </c>
      <c r="AG1" s="1" t="inlineStr">
        <is>
          <t>category_mrr</t>
        </is>
      </c>
      <c r="AH1" s="1" t="inlineStr">
        <is>
          <t>manual_relevant_ranks</t>
        </is>
      </c>
      <c r="AI1" s="1" t="inlineStr">
        <is>
          <t>manual_recall_at_1</t>
        </is>
      </c>
      <c r="AJ1" s="1" t="inlineStr">
        <is>
          <t>manual_recall_at_3</t>
        </is>
      </c>
      <c r="AK1" s="1" t="inlineStr">
        <is>
          <t>manual_recall_at_5</t>
        </is>
      </c>
      <c r="AL1" s="1" t="inlineStr">
        <is>
          <t>manual_precision_at_5</t>
        </is>
      </c>
      <c r="AM1" s="1" t="inlineStr">
        <is>
          <t>manual_mrr</t>
        </is>
      </c>
      <c r="AN1" s="1" t="inlineStr">
        <is>
          <t>notes</t>
        </is>
      </c>
    </row>
    <row r="2">
      <c r="A2" s="2" t="inlineStr">
        <is>
          <t>2026-05-19T00:08:58</t>
        </is>
      </c>
      <c r="B2" s="2" t="n">
        <v>2</v>
      </c>
      <c r="C2" s="2" t="n">
        <v>1</v>
      </c>
      <c r="D2" s="2" t="inlineStr">
        <is>
          <t>program_overview</t>
        </is>
      </c>
      <c r="E2" s="2" t="inlineStr">
        <is>
          <t>easy</t>
        </is>
      </c>
      <c r="F2" s="2" t="inlineStr">
        <is>
          <t>en</t>
        </is>
      </c>
      <c r="G2" s="2" t="inlineStr">
        <is>
          <t>What can you tell me about the bachelor in History?</t>
        </is>
      </c>
      <c r="H2" s="2" t="inlineStr">
        <is>
          <t>summary of program</t>
        </is>
      </c>
      <c r="I2" s="2" t="inlineStr">
        <is>
          <t xml:space="preserve">RAG  </t>
        </is>
      </c>
      <c r="J2" s="2" t="inlineStr"/>
      <c r="K2" s="2" t="inlineStr">
        <is>
          <t>study vectorstore</t>
        </is>
      </c>
      <c r="L2" s="2" t="inlineStr"/>
      <c r="M2" s="2" t="inlineStr"/>
      <c r="N2" s="2" t="n">
        <v>200</v>
      </c>
      <c r="O2" s="2" t="n">
        <v>1</v>
      </c>
      <c r="P2" s="2" t="n">
        <v>114282.91</v>
      </c>
      <c r="Q2" s="2" t="inlineStr"/>
      <c r="R2" s="2" t="n">
        <v>10</v>
      </c>
      <c r="S2" s="2" t="inlineStr"/>
      <c r="T2" s="2" t="inlineStr">
        <is>
          <t>Bachelor_120_507c4447449f2522a558f71f12fb6cdd157b9c55.txt; Bachelor_120_507c4447449f2522a558f71f12fb6cdd157b9c55.txt; Bachelor_120_8b3c0262ea04c4433b81f795e052aa56bf62fab4.txt; Bachelor_120_8b3c0262ea04c4433b81f795e052aa56bf62fab4.txt; Bachelor_120_3d023216934dfd65f6374ade0c6f9245f9b4535c.txt; Bachelor_120_3d023216934dfd65f6374ade0c6f9245f9b4535c.txt; Bachelor_120_507c4447449f2522a558f71f12fb6cdd157b9c55.txt; Bachelor_120_507c4447449f2522a558f71f12fb6cdd157b9c55.txt; Bachelor_120_507c4447449f2522a558f71f12fb6cdd157b9c55.txt; Bachelor_120_507c4447449f2522a558f71f12fb6cdd157b9c55.txt</t>
        </is>
      </c>
      <c r="U2" s="2" t="inlineStr">
        <is>
          <t>studyplans; studyplans; studyplans; studyplans; studyplans; studyplans; studyplans; studyplans; studyplans; studyplans</t>
        </is>
      </c>
      <c r="V2" s="2" t="inlineStr">
        <is>
          <t>1; 1; 1; 1; 1; 1; 1; 1; 1; 1</t>
        </is>
      </c>
      <c r="W2" s="2" t="inlineStr">
        <is>
          <t>1. [studyplans] Bachelor_120_507c4447449f2522a558f71f12fb6cdd157b9c55.txt p.1 - Section: Übersicht über den Ablauf des Studiums Table rows: - Einführungsmodule: Modul 1: Einführung Osteuropa-Studien - Einführungsmodule: Empfohlene Semester: 1-2; ECTS: 6 - Einführungsmodule: Modul 2: Einführung Gesch
2. [studyplans] Bachelor_120_507c4447449f2522a558f71f12fb6cdd157b9c55.txt p.1 - Section: Übersicht über den Ablauf des Studiums Table rows: - Fachmodule 1: Modul 6: Geschichte Major - Fachmodule 1: Empfohlene Semester: 2-6; ECTS: 16 - Fachmodule 1: Modul 7: Kulturwissenschaften - Fachmodule 1: Empfo
3. [studyplans] Bachelor_120_8b3c0262ea04c4433b81f795e052aa56bf62fab4.txt p.1 - Section: Übersicht über den Ablauf des Studiums Table rows: - Einführungsmodule: Modul 1: Einführung Osteuropa-Studien - Einführungsmodule: Empfohlene Semester: 1-2; ECTS: 6 - Einführungsmodule: 2 von 3 fachspezifischen 
4. [studyplans] Bachelor_120_8b3c0262ea04c4433b81f795e052aa56bf62fab4.txt p.1 - Section: Übersicht über den Ablauf des Studiums Table rows: - Fachmodule 1: 2 von 3 Fachmodulen (Module 6/7/8) müssen entsprechend der Kombination der Einführungsmodule ab- solviert werden; ECTS: 2 von 3 Fachmodulen (Mod
5. [studyplans] Bachelor_120_3d023216934dfd65f6374ade0c6f9245f9b4535c.txt p.1 - Section: Aus den fortgeschrittenen Modulen OES3, OES4, OES5 und OES6 sind ZWEI auszuwählen (30 ECTS) | 3 Veranstaltungen Geschichte, darunter Modul Osteuropäische Geschichte und Kontext (OES3) 15 ECTS mindestens ein Semi
6. [studyplans] Bachelor_120_3d023216934dfd65f6374ade0c6f9245f9b4535c.txt p.1 - Section: Aus den fortgeschrittenen Modulen OES3, OES4, OES5 und OES6 ist EINES auszuwählen (15 ECTS) | 3 Veranstaltungen Geschichte, darunter Modul Osteuropäische Geschichte und Kontext (OES3) 15 ECTS mindestens ein Semi
7. [studyplans] Bachelor_120_507c4447449f2522a558f71f12fb6cdd157b9c55.txt p.1 - Section: Übersicht über den Ablauf des Studiums Table rows: - Sprachkompetenzen: Modul 5: Sprachkompetenzen - Sprachkompetenzen: Empfohlene Semester: 1-6; ECTS: 18 Raw table: | Sprachkompetenzen | ECTS | |---------------
8. [studyplans] Bachelor_120_507c4447449f2522a558f71f12fb6cdd157b9c55.txt p.1 - Section: Übersicht über den Ablauf des Studiums Table rows: - Abschluss: Modul 9: Bachelorarbeit - Abschluss: Empfohlene Semester: 5-6; ECTS: 12 Raw table: | Abschluss | ECTS | |--------------------------|--------| | Mod
9. [studyplans] Bachelor_120_507c4447449f2522a558f71f12fb6cdd157b9c55.txt p.1 - Section: Übersicht über den Ablauf des Studiums | Wahlbereich / Bereichsübergreifende Kompetenzen | ECTS | |---------------------------------------------------|--------|
10. [studyplans] Bachelor_120_507c4447449f2522a558f71f12fb6cdd157b9c55.txt p.1 - Section: Übersicht über den Ablauf des Studiums Table rows: - Modul 10: Wahlbereich und bereichsübergreifende Kompetenzen: Empfohlene Semester: 1-6; Modul 10: Wahlbereich und bereichsübergreifende Kompetenzen: 15 Raw tab</t>
        </is>
      </c>
      <c r="X2" s="2" t="inlineStr">
        <is>
          <t>[{"source": null, "page": 1, "snippet": "Section: Übersicht über den Ablauf des Studiums\n\nTable rows:\n- Einführungsmodule: Modul 1: Einführung Osteuropa-Studien\n- Einführungsmodule: Empfohlene Semester: 1-2; ECTS: 6\n- Einführungsmodule: Modul 2: Einführung Geschichte\n- Einführungsmodule: Empfohlene Semester: 1-3; ECTS: 11\n- Einführungsmodule: Modul 3: Einführung Kulturwissenschaften\n- Einführungsmodule: Empfohlene Semester: 1-3; ECTS: 9\n- Einführungsmodule: Modul 4: Einführung Sozialwissenschaften\n- Einführungsmodule: Empfohlene Semest",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"507c4447449f2522a558f71f12fb6cdd157b9c55::semantic_table::chunk::0004", "chunk_type": "table", "section": "Übersicht über den Ablauf des Studiums", "page_start": 1, "page_end": 1, "chunk_pages": [1], "contains_table": true, "block_kinds": ["table"], "prev_chunk_id": "507c4447449f2522a558f71f12fb6cdd157b9c55::semantic_table::chunk::0003", "next_chunk_id": "507c4447449f2522a558f71f12fb6cdd157b9c55::semantic_table::chunk::0005",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Modul 6: Geschichte Major\n- Fachmodule 1: Empfohlene Semester: 2-6; ECTS: 16\n- Fachmodule 1: Modul 7: Kulturwissenschaften\n- Fachmodule 1: Empfohlene Semester: 2-6; ECTS: 12\n- Fachmodule 1: Modul 8: Sozialwissenschaften\n- Fachmodule 1: Empfohlene Semester: 2-6; ECTS: 12\n- ECTS: Total: 40\n\nRaw table:\n| Fachmodule 1 | ECTS |\n|-------------------------------|-----------|\n| Modul 6: Geschichte Major | |\n| Empfohlene Semeste",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"507c4447449f2522a558f71f12fb6cdd157b9c55::semantic_table::chunk::0006", "chunk_type": "table", "section": "Übersicht über den Ablauf des Studiums", "page_start": 1, "page_end": 1, "chunk_pages": [1], "contains_table": true, "block_kinds": ["table"], "prev_chunk_id": "507c4447449f2522a558f71f12fb6cdd157b9c55::semantic_table::chunk::0005", "next_chunk_id": "507c4447449f2522a558f71f12fb6cdd157b9c55::semantic_table::chunk::0007",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Einführungsmodule: Modul 1: Einführung Osteuropa-Studien\n- Einführungsmodule: Empfohlene Semester: 1-2; ECTS: 6\n- Einführungsmodule: 2 von 3 fachspezifischen Einführungsmodulen (Module 2/3/4) müssen absolviert werden\n- Einführungsmodule: Modul 2: Einführung Geschichte\n- Einführungsmodule: Empfohlene Semester: 1-3; ECTS: 11\n- Einführungsmodule: Modul 3: Einführung Kulturwissenschaften\n- Einführungsmodule: Empfohlene Semester: 1-3; ECT",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"8b3c0262ea04c4433b81f795e052aa56bf62fab4::semantic_table::chunk::0004", "chunk_type": "table", "section": "Übersicht über den Ablauf des Studiums", "page_start": 1, "page_end": 1, "chunk_pages": [1], "contains_table": true, "block_kinds": ["table"], "prev_chunk_id": "8b3c0262ea04c4433b81f795e052aa56bf62fab4::semantic_table::chunk::0003", "next_chunk_id": "8b3c0262ea04c4433b81f795e052aa56bf62fab4::semantic_table::chunk::0005",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Fachmodule 1: 2 von 3 Fachmodulen (Module 6/7/8) müssen entsprechend der Kombination der Einführungsmodule ab- solviert werden; ECTS: 2 von 3 Fachmodulen (Module 6/7/8) müssen entsprechend der Kombination der Einführungsmodule ab- solviert werden\n- Fachmodule 1: Modul 6: Geschichte Major; ECTS: Modul 6: Geschichte Major\n- Fachmodule 1: Empfohlene Semester: 2-6; ECTS: 10\n- Fachmodule 1: Modul 7: Kulturwissenschaften; ECTS: Modul 7: Ku", "metadata": {"parsed_at": "2026-04-10T06:42:19.623Z", "pages": 1, "parser": "docling", "doc_key": "8b3c0262ea04c4433b81f795e052aa56bf62fab4", "degree_level": "Bachelor", "total_ects": 120, "program_name": "Eastern European Studies", "doc_label": "BA 60 ECTS Anhang zum Studienplan", "source_url": "https://www.unifr.ch/iicee/de/assets/public/files/BA60Anhang.pdf", "source_type": "pdf", "curriculum_url": "http://studies.unifr.ch/go/OKTj8", "fetched_at": "2026-04-03T11:30:46.844Z", "source_file": "Bachelor_120_8b3c0262ea04c4433b81f795e052aa56bf62fab4.txt", "index_variant": "table_semantic_v1", "chunk_id": "8b3c0262ea04c4433b81f795e052aa56bf62fab4::semantic_table::chunk::0006", "chunk_type": "table", "section": "Übersicht über den Ablauf des Studiums", "page_start": 1, "page_end": 1, "chunk_pages": [1], "contains_table": true, "block_kinds": ["table"], "prev_chunk_id": "8b3c0262ea04c4433b81f795e052aa56bf62fab4::semantic_table::chunk::0005", "next_chunk_id": "8b3c0262ea04c4433b81f795e052aa56bf62fab4::semantic_table::chunk::0007",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sind ZWEI auszuwählen (30 ECTS)\n\n| 3 Veranstaltungen Geschichte, darunter Modul Osteuropäische Geschichte und Kontext (OES3) 15 ECTS mindestens ein Seminar (9 ECTS) 1 Seminar Kontext (3 ECTS) 1 Vorlesung Kontext (3 ECTS) | 3 Lehrveranstaltungen, darunter Modul Politikwissenschaft Osteuropas (OES4) 15 ECTS mindestens ein Seminar (9 ECTS) 1 Seminararbeit Politikwissenschaft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"3d023216934dfd65f6374ade0c6f9245f9b4535c::semantic_table::chunk::0034", "chunk_type": "table", "section": "Aus den fortgeschrittenen Modulen OES3, OES4, OES5 und OES6 sind ZWEI auszuwählen (30 ECTS)", "page_start": 1, "page_end": 1, "chunk_pages": [1], "contains_table": true, "block_kinds": ["table"], "prev_chunk_id": "3d023216934dfd65f6374ade0c6f9245f9b4535c::semantic_table::chunk::0033", "next_chunk_id": "3d023216934dfd65f6374ade0c6f9245f9b4535c::semantic_table::chunk::0035",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Aus den fortgeschrittenen Modulen OES3, OES4, OES5 und OES6 ist EINES auszuwählen (15 ECTS)\n\n| 3 Veranstaltungen Geschichte, darunter Modul Osteuropäische Geschichte und Kontext (OES3) 15 ECTS mindestens ein Seminar (9 ECTS) 1 Seminar Kontext (3 ECTS) 1 Vorlesung Kontext (3 ECTS) | 3 Lehrveranstaltungen, darunter Modul Politikwissenschaften Osteuropas (OES4) 15 ECTS mindestens ein Seminar (9 ECTS) 1 Seminararbeit Politikwissenschaften (6 ECTS) |\n|----------------------------------------", "metadata": {"parsed_at": "2026-04-10T06:43:39.354Z", "pages": 1, "parser": "docling", "doc_key": "3d023216934dfd65f6374ade0c6f9245f9b4535c", "degree_level": "Bachelor", "total_ects": 120, "program_name": "Eastern European Studies", "doc_label": "Studienplan", "source_url": "https://www.unifr.ch/iicee/de/assets/public/files/BA-120-60-30-ETCS-OES-dt-112912.pdf", "source_type": "pdf", "curriculum_url": "http://studies.unifr.ch/go/OKTj8", "fetched_at": "2026-04-03T11:30:46.903Z", "source_file": "Bachelor_120_3d023216934dfd65f6374ade0c6f9245f9b4535c.txt", "index_variant": "table_semantic_v1", "chunk_id": "3d023216934dfd65f6374ade0c6f9245f9b4535c::semantic_table::chunk::0038", "chunk_type": "table", "section": "Aus den fortgeschrittenen Modulen OES3, OES4, OES5 und OES6 ist EINES auszuwählen (15 ECTS)", "page_start": 1, "page_end": 1, "chunk_pages": [1], "contains_table": true, "block_kinds": ["table"], "prev_chunk_id": "3d023216934dfd65f6374ade0c6f9245f9b4535c::semantic_table::chunk::0037", "next_chunk_id": "3d023216934dfd65f6374ade0c6f9245f9b4535c::semantic_table::chunk::0039",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Sprachkompetenzen: Modul 5: Sprachkompetenzen\n- Sprachkompetenzen: Empfohlene Semester: 1-6; ECTS: 18\n\nRaw table:\n| Sprachkompetenzen | ECTS |\n|----------------------------|--------|\n| Modul 5: Sprachkompetenzen | |\n| Empfohlene Semester: 1-6 | 18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"507c4447449f2522a558f71f12fb6cdd157b9c55::semantic_table::chunk::0005", "chunk_type": "table", "section": "Übersicht über den Ablauf des Studiums", "page_start": 1, "page_end": 1, "chunk_pages": [1], "contains_table": true, "block_kinds": ["table"], "prev_chunk_id": "507c4447449f2522a558f71f12fb6cdd157b9c55::semantic_table::chunk::0004", "next_chunk_id": "507c4447449f2522a558f71f12fb6cdd157b9c55::semantic_table::chunk::0006",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Abschluss: Modul 9: Bachelorarbeit\n- Abschluss: Empfohlene Semester: 5-6; ECTS: 12\n\nRaw table:\n| Abschluss | ECTS |\n|--------------------------|--------|\n| Modul 9: Bachelorarbeit | |\n| Empfohlene Semester: 5-6 | 12 |",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"507c4447449f2522a558f71f12fb6cdd157b9c55::semantic_table::chunk::0007", "chunk_type": "table", "section": "Übersicht über den Ablauf des Studiums", "page_start": 1, "page_end": 1, "chunk_pages": [1], "contains_table": true, "block_kinds": ["table"], "prev_chunk_id": "507c4447449f2522a558f71f12fb6cdd157b9c55::semantic_table::chunk::0006", "next_chunk_id": "507c4447449f2522a558f71f12fb6cdd157b9c55::semantic_table::chunk::0008",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 Wahlbereich / Bereichsübergreifende Kompetenzen | ECTS |\n|---------------------------------------------------|--------|",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"507c4447449f2522a558f71f12fb6cdd157b9c55::semantic_table::chunk::0008", "chunk_type": "table", "section": "Übersicht über den Ablauf des Studiums", "page_start": 1, "page_end": 1, "chunk_pages": [1], "contains_table": true, "block_kinds": ["table"], "prev_chunk_id": "507c4447449f2522a558f71f12fb6cdd157b9c55::semantic_table::chunk::0007", "next_chunk_id": "507c4447449f2522a558f71f12fb6cdd157b9c55::semantic_table::chunk::0009",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 {"source": null, "page": 1, "snippet": "Section: Übersicht über den Ablauf des Studiums\n\nTable rows:\n- Modul 10: Wahlbereich und bereichsübergreifende Kompetenzen: Empfohlene Semester: 1-6; Modul 10: Wahlbereich und bereichsübergreifende Kompetenzen: 15\n\nRaw table:\n| Modul 10: Wahlbereich und bereichsübergreifende Kompetenzen | Modul 10: Wahlbereich und bereichsübergreifende Kompetenzen |\n|---------------------------------------------------------------|---------------------------------------------------------------|\n| Empfohlene Semes", "metadata": {"parsed_at": "2026-04-10T06:45:20.460Z", "pages": 1, "parser": "docling", "doc_key": "507c4447449f2522a558f71f12fb6cdd157b9c55", "degree_level": "Bachelor", "total_ects": 120, "program_name": "Eastern European Studies", "doc_label": "BA 120 ECTS Anhang zum Studienplan", "source_url": "https://www.unifr.ch/iicee/de/assets/public/files/BA120Anhang.pdf", "source_type": "pdf", "curriculum_url": "http://studies.unifr.ch/go/OKTj8", "fetched_at": "2026-04-03T11:30:46.947Z", "source_file": "Bachelor_120_507c4447449f2522a558f71f12fb6cdd157b9c55.txt", "index_variant": "table_semantic_v1", "chunk_id": "507c4447449f2522a558f71f12fb6cdd157b9c55::semantic_table::chunk::0009", "chunk_type": "table", "section": "Übersicht über den Ablauf des Studiums", "page_start": 1, "page_end": 1, "chunk_pages": [1], "contains_table": true, "block_kinds": ["table"], "prev_chunk_id": "507c4447449f2522a558f71f12fb6cdd157b9c55::semantic_table::chunk::0008", "next_chunk_id": "507c4447449f2522a558f71f12fb6cdd157b9c55::semantic_table::chunk::0010", "rag_source": "studyplans", "category": "studyplans", "retrieval_debug":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"retrieval_debug": {"retrieval_mode": "metadata_and_language_aware", "requested_language": "en", "runs": [{"detected_program_name": "History", "detected_program_key": null, "detected_degree": "Bachelor", "detected_ects": null, "detected_year": null, "detected_course_codes": [], "retrieval_mode": "metadata_first", "candidate_count_after_program_degree_ects": 0, "candidate_count_vector_filtered": 0, "error": "Programme was detected, but no FAISS documents matched its metadata.", "query": "What can you tell me about the bachelor in History?", "query_language": "en"}, {"detected_program_name": "Eastern European Studies", "detected_program_key": null, "detected_degree": "Bachelor", "detected_ects": null, "detected_year": null, "detected_course_codes": [], "retrieval_mode": "metadata_first", "candidate_count_after_program_degree_ects": 108, "candidate_count_vector_filtered": 0, "source_intent": "base_data", "returned_count": 10, "returned_programs": ["Eastern European Studies"], "query": "Was können Sie mir über den Bachelor Geschichte erzählen?", "query_language": "de"}], "returned_count": 10}}]</t>
        </is>
      </c>
      <c r="Y2" s="2" t="inlineStr">
        <is>
          <t>Bachelor_120_507c4447449f2522a558f71f12fb6cdd157b9c55.txt</t>
        </is>
      </c>
      <c r="Z2" s="2" t="inlineStr">
        <is>
          <t>studyplans</t>
        </is>
      </c>
      <c r="AA2" s="2" t="n">
        <v>1</v>
      </c>
      <c r="AB2" s="2" t="inlineStr">
        <is>
          <t>Section: Übersicht über den Ablauf des Studiums Table rows: - Einführungsmodule: Modul 1: Einführung Osteuropa-Studien - Einführungsmodule: Empfohlene Semester: 1-2; ECTS: 6 - Einführungsmodule: Modul 2: Einführung Geschichte - Einführungsmodule: Empfohlene Semester: 1-3; ECTS: 11 - Einführungsmodule: Modul 3: Einführung Kulturwissenschaften - Einf</t>
        </is>
      </c>
      <c r="AC2" s="2" t="n">
        <v>0</v>
      </c>
      <c r="AD2" s="2" t="n">
        <v>0</v>
      </c>
      <c r="AE2" s="2" t="n">
        <v>0</v>
      </c>
      <c r="AF2" s="2" t="n">
        <v>0</v>
      </c>
      <c r="AG2" s="2" t="n">
        <v>0</v>
      </c>
      <c r="AH2" s="2" t="inlineStr"/>
      <c r="AI2" s="2" t="inlineStr"/>
      <c r="AJ2" s="2" t="inlineStr"/>
      <c r="AK2" s="2" t="inlineStr"/>
      <c r="AL2" s="2" t="inlineStr"/>
      <c r="AM2" s="2" t="inlineStr"/>
      <c r="AN2" s="2" t="inlineStr">
        <is>
          <t>Fill manual_relevant_ranks after reviewing retrieved_sources_ranked, e.g. 1,3,5.</t>
        </is>
      </c>
    </row>
    <row r="3">
      <c r="A3" s="2" t="inlineStr">
        <is>
          <t>2026-05-19T00:08:58</t>
        </is>
      </c>
      <c r="B3" s="2" t="n">
        <v>3</v>
      </c>
      <c r="C3" s="2" t="n">
        <v>2</v>
      </c>
      <c r="D3" s="2" t="inlineStr">
        <is>
          <t>program_overview</t>
        </is>
      </c>
      <c r="E3" s="2" t="inlineStr">
        <is>
          <t>hard</t>
        </is>
      </c>
      <c r="F3" s="2" t="inlineStr">
        <is>
          <t>en</t>
        </is>
      </c>
      <c r="G3" s="2" t="inlineStr">
        <is>
          <t>How is the Teacher Trianing structured?</t>
        </is>
      </c>
      <c r="H3" s="2" t="inlineStr">
        <is>
          <t>short description and list of possibilities</t>
        </is>
      </c>
      <c r="I3" s="2" t="inlineStr">
        <is>
          <t xml:space="preserve">RAG  </t>
        </is>
      </c>
      <c r="J3" s="2" t="inlineStr"/>
      <c r="K3" s="2" t="inlineStr">
        <is>
          <t>study vectorstore</t>
        </is>
      </c>
      <c r="L3" s="2" t="inlineStr"/>
      <c r="M3" s="2" t="inlineStr"/>
      <c r="N3" s="2" t="n">
        <v>200</v>
      </c>
      <c r="O3" s="2" t="n">
        <v>1</v>
      </c>
      <c r="P3" s="2" t="n">
        <v>39130.84</v>
      </c>
      <c r="Q3" s="2" t="inlineStr"/>
      <c r="R3" s="2" t="n">
        <v>10</v>
      </c>
      <c r="S3" s="2" t="inlineStr"/>
      <c r="T3" s="2" t="inlineStr">
        <is>
          <t>Bachelor_30_3e1264b4deddc91aef81c91095d05724021ab732.txt; Bachelor_30_64a64ee881d87d7aac878728a6ee83d5e7a754da.txt; Bachelor_30_8a0e9786f2db7dfeaa49cc54abd3a13e2f672265.txt; Bachelor_30_a1e2a605ef91f4c24a13dca59ef459b472a17002.txt; Bachelor_30_c6420ce15f3ad58ad04559014e784f2ee80c3f7a.txt; unifr_elite_sports.json; unifr_elite_sports.json; unifr_elite_sports.json; unifr_elite_sports.json; unifr_studies_army.json</t>
        </is>
      </c>
      <c r="U3" s="2" t="inlineStr">
        <is>
          <t>studyplans; studyplans; studyplans; studyplans; studyplans; base_data; base_data; base_data; base_data; base_data</t>
        </is>
      </c>
      <c r="V3" s="2" t="inlineStr">
        <is>
          <t xml:space="preserve">1; 1; 1; 1; 1; ; ; ; ; </t>
        </is>
      </c>
      <c r="W3" s="2" t="inlineStr">
        <is>
          <t>1. [studyplans] Bachelor_30_3e1264b4deddc91aef81c91095d05724021ab732.txt p.1 - Section: Studienplan Bachelor
2. [studyplans] Bachelor_30_64a64ee881d87d7aac878728a6ee83d5e7a754da.txt p.1 - Section: Studienplan Bachelor
3. [studyplans] Bachelor_30_8a0e9786f2db7dfeaa49cc54abd3a13e2f672265.txt p.1 - Section: Studienplan Bachelor
4. [studyplans] Bachelor_30_a1e2a605ef91f4c24a13dca59ef459b472a17002.txt p.1 - Section: Studienplan Bachelor
5. [studyplans] Bachelor_30_c6420ce15f3ad58ad04559014e784f2ee80c3f7a.txt p.1 - Section: Studienplan Bachelor
6. [base_data] unifr_elite_sports.json p. - Regulations Regulations
7. [base_data] unifr_elite_sports.json p. - Reception Reception
8. [base_data] unifr_elite_sports.json p. - Previous context: rundsätzlich vom Leistungssport verabschieden sollte – schliesslich sei man keine zwanzig mehr. Ich stimme zu, dass die «Spritzigkeit» und vielleicht auch die Peak Performance ab M rundsätzlich vom Leis
9. [base_data] unifr_elite_sports.json p. - Previous context: nd der Ausgleich zum kopflastigen Studium standen für mich im Vordergrund und war meine Hauptmotivation, nach dieser langen Pause das Training wieder aufzunehmen. Wie unterscheidet d der Ausgleich zum k
10. [base_data] unifr_studies_army.json p. - Aktivitäten auf dem Campus Aktivitäten auf dem Campus Agenda, Studierendenverbände, Sport, Kulturelles Mehr Mehr: https://www.unifr.ch/campus/de/aktivitaeten/</t>
        </is>
      </c>
      <c r="X3" s="2" t="inlineStr">
        <is>
          <t>[{"source": null, "page": 1, "snippet": "Section: Studienplan\n\nBachelor", "metadata": {"parsed_at": "2026-04-10T07:26:49.802Z", "pages": 1, "parser": "docling", "doc_key": "3e1264b4deddc91aef81c91095d05724021ab732", "degree_level": "Bachelor", "total_ects": 30, "program_name": "Musicology and History of Opera", "doc_label": "Bereich II Bereich II", "source_url": "https://www.unifr.ch/musicologie/de/assets/public/Documents/Plans%20d%27%C3%A9tudes%202020/Bachelor%2020%20DE/MUS_BA_60_DE_13112019.pdf", "source_type": "pdf", "curriculum_url": "https://studies.unifr.ch/go/q", "fetched_at": "2026-04-03T11:31:00.346Z", "source_file": "Bachelor_30_3e1264b4deddc91aef81c91095d05724021ab732.txt", "index_variant": "table_semantic_v1", "chunk_id": "3e1264b4deddc91aef81c91095d05724021ab732::semantic_table::chunk::0001", "chunk_type": "semantic", "section": "Studienplan", "page_start": 1, "page_end": 1, "chunk_pages": [1], "contains_table": false, "block_kinds": ["text"], "prev_chunk_id": null, "next_chunk_id": "3e1264b4deddc91aef81c91095d05724021ab732::semantic_table::chunk::0002",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"2026-04-10T07:25:22.958Z", "pages": 1, "parser": "docling", "doc_key": "64a64ee881d87d7aac878728a6ee83d5e7a754da", "degree_level": "Bachelor", "total_ects": 30, "program_name": "Musicology and History of Opera", "doc_label": "LDS I 30 ECTS", "source_url": "https://www.unifr.ch/musicologie/de/assets/public/Documents/Plans%20d%27%C3%A9tudes%202020/Bachelor%2020%20DE/MUS_BASI_30_DE_13112019.pdf", "source_type": "pdf", "curriculum_url": "https://studies.unifr.ch/go/q", "fetched_at": "2026-04-03T11:31:00.275Z", "source_file": "Bachelor_30_64a64ee881d87d7aac878728a6ee83d5e7a754da.txt", "index_variant": "table_semantic_v1", "chunk_id": "64a64ee881d87d7aac878728a6ee83d5e7a754da::semantic_table::chunk::0001", "chunk_type": "semantic", "section": "Studienplan", "page_start": 1, "page_end": 1, "chunk_pages": [1], "contains_table": false, "block_kinds": ["text"], "prev_chunk_id": null, "next_chunk_id": "64a64ee881d87d7aac878728a6ee83d5e7a754da::semantic_table::chunk::0002",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"2026-04-10T07:30:24.083Z", "pages": 1, "parser": "docling", "doc_key": "8a0e9786f2db7dfeaa49cc54abd3a13e2f672265", "degree_level": "Bachelor", "total_ects": 30, "program_name": "Musicology and History of Opera", "doc_label": "LDS I 50 ECTS", "source_url": "https://www.unifr.ch/musicologie/de/assets/public/Documents/Plans%20d%27%C3%A9tudes%202020/Bachelor%2020%20DE/MUS_BASI_50_DE_13112019.pdf", "source_type": "pdf", "curriculum_url": "https://studies.unifr.ch/go/q", "fetched_at": "2026-04-03T11:31:00.860Z", "source_file": "Bachelor_30_8a0e9786f2db7dfeaa49cc54abd3a13e2f672265.txt", "index_variant": "table_semantic_v1", "chunk_id": "8a0e9786f2db7dfeaa49cc54abd3a13e2f672265::semantic_table::chunk::0001", "chunk_type": "semantic", "section": "Studienplan", "page_start": 1, "page_end": 1, "chunk_pages": [1], "contains_table": false, "block_kinds": ["text"], "prev_chunk_id": null, "next_chunk_id": "8a0e9786f2db7dfeaa49cc54abd3a13e2f672265::semantic_table::chunk::0002",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"2026-04-10T07:19:34.071Z", "pages": 1, "parser": "docling", "doc_key": "a1e2a605ef91f4c24a13dca59ef459b472a17002", "degree_level": "Bachelor", "total_ects": 30, "program_name": "Musicology and History of Opera", "doc_label": "Bereich I", "source_url": "https://www.unifr.ch/musicologie/de/assets/public/Documents/Plans%20%C3%A9tudes%202025/DE/MUS_BA_120_DE.pdf", "source_type": "pdf", "curriculum_url": "https://studies.unifr.ch/go/q", "fetched_at": "2026-04-03T11:30:59.945Z", "source_file": "Bachelor_30_a1e2a605ef91f4c24a13dca59ef459b472a17002.txt", "index_variant": "table_semantic_v1", "chunk_id": "a1e2a605ef91f4c24a13dca59ef459b472a17002::semantic_table::chunk::0001", "chunk_type": "semantic", "section": "Studienplan", "page_start": 1, "page_end": 1, "chunk_pages": [1], "contains_table": false, "block_kinds": ["text"], "prev_chunk_id": null, "next_chunk_id": "a1e2a605ef91f4c24a13dca59ef459b472a17002::semantic_table::chunk::0002",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1, "snippet": "Section: Studienplan\n\nBachelor", "metadata": {"parsed_at": "2026-04-10T07:33:59.913Z", "pages": 1, "parser": "docling", "doc_key": "c6420ce15f3ad58ad04559014e784f2ee80c3f7a", "degree_level": "Bachelor", "total_ects": 30, "program_name": "Musicology and History of Opera", "doc_label": "Bereich I", "source_url": "https://www.unifr.ch/musicologie/de/assets/public/Documents/Plans%20d%27%C3%A9tudes%202020/Bachelor%2020%20DE/MUS_BA_120_DE_13112019.pdf", "source_type": "pdf", "curriculum_url": "https://studies.unifr.ch/go/q", "fetched_at": "2026-04-03T11:31:00.974Z", "source_file": "Bachelor_30_c6420ce15f3ad58ad04559014e784f2ee80c3f7a.txt", "index_variant": "table_semantic_v1", "chunk_id": "c6420ce15f3ad58ad04559014e784f2ee80c3f7a::semantic_table::chunk::0001", "chunk_type": "semantic", "section": "Studienplan", "page_start": 1, "page_end": 1, "chunk_pages": [1], "contains_table": false, "block_kinds": ["text"], "prev_chunk_id": null, "next_chunk_id": "c6420ce15f3ad58ad04559014e784f2ee80c3f7a::semantic_table::chunk::0002", "rag_source": "studyplans", "category": "studyplans",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"Regulations\n\nRegulations", "metadata": {"doc_key": "unifr_elite_sport_www_unifr_ch_studies_en_admission", "source_type": "unifr_elite_sport_page", "source_url": "https://www.unifr.ch/studies/en/admission/", "source_reference": "https://www.unifr.ch/studies/en/admission/", "title": "Admission | Studies | University of Fribourg", "page_heading": "Admission at the University of Fribourg", "language": "en", "parent_url": "https://www.unifr.ch/studies/en/organisation/during-studies/studies-and-elite-sportswomen-and-sportsmen.html", "source_file": "unifr_elite_sports.json", "parser": "scrapy_base_info_json", "index_variant": "base_info_semantic_v1", "section_index": 18, "section": "Regulations", "chunk_id": "unifr_elite_sport_www_unifr_ch_studies_en_admission::section::018::chunk::001", "chunk_type": "section", "prev_chunk_id": "unifr_elite_sport_www_unifr_ch_studies_en_admission::section::017::chunk::001", "next_chunk_id": "unifr_elite_sport_www_unifr_ch_studies_en_admission::section::019::chunk::001",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"Reception\n\nReception", "metadata": {"doc_key": "unifr_elite_sport_www_unifr_ch_studies_en_admission_contact_team_contact_html", "source_type": "unifr_elite_sport_page", "source_url": "https://www.unifr.ch/studies/en/admission/contact-team/contact.html", "source_reference": "https://www.unifr.ch/studies/en/admission/contact-team/contact.html", "title": "Contact | Studies | University of Fribourg", "page_heading": "Contact us", "language": "en", "parent_url": "https://www.unifr.ch/studies/en/organisation/during-studies/studies-and-elite-sportswomen-and-sportsmen.html", "source_file": "unifr_elite_sports.json", "parser": "scrapy_base_info_json", "index_variant": "base_info_semantic_v1", "section_index": 3, "section": "Reception", "chunk_id": "unifr_elite_sport_www_unifr_ch_studies_en_admission_contact_team_contact_html::section::003::chunk::001", "chunk_type": "section", "prev_chunk_id": "unifr_elite_sport_www_unifr_ch_studies_en_admission_contact_team_contact_html::section::002::chunk::001", "next_chunk_id": "unifr_elite_sport_www_unifr_ch_studies_en_admission_contact_team_contact_html::section::004::chunk::001",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"Previous context: rundsätzlich vom Leistungssport verabschieden sollte – schliesslich sei man keine zwanzig mehr.\nIch stimme zu, dass die «Spritzigkeit» und vielleicht auch die Peak Performance ab M\n\nrundsätzlich vom Leistungssport verabschieden sollte – schliesslich sei man keine zwanzig mehr.\nIch stimme zu, dass die «Spritzigkeit» und vielleicht auch die Peak Performance ab Mitte dreissig nicht mehr dieselbe ist wie bei den 20-Jährigen. Ebenso wird man ab einem bestimmten Alter grundsätzlich e",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"unifr_elite_sport_www_unifr_ch_alma_georges_articles_2026_zwischen_unifr_studium_und_spitzensport_ein_interview_mit_sandrine_benz::section::001::chunk::013", "chunk_type": "section", "prev_chunk_id": "unifr_elite_sport_www_unifr_ch_alma_georges_articles_2026_zwischen_unifr_studium_und_spitzensport_ein_interview_mit_sandrine_benz::section::001::chunk::012", "next_chunk_id": "unifr_elite_sport_www_unifr_ch_alma_georges_articles_2026_zwischen_unifr_studium_und_spitzensport_ein_interview_mit_sandrine_benz::section::001::chunk::014",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"Previous context: nd der Ausgleich zum kopflastigen Studium standen für mich im Vordergrund und war meine Hauptmotivation, nach dieser langen Pause das Training wieder aufzunehmen.\nWie unterscheidet\n\nd der Ausgleich zum kopflastigen Studium standen für mich im Vordergrund und war meine Hauptmotivation, nach dieser langen Pause das Training wieder aufzunehmen.\nWie unterscheidet sich selbst gesteuertes Training mental von klassischer Trainerführung? Der grösste Unterschied besteht darin, dass man ",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"unifr_elite_sport_www_unifr_ch_alma_georges_articles_2026_zwischen_unifr_studium_und_spitzensport_ein_interview_mit_sandrine_benz::section::001::chunk::011", "chunk_type": "section", "prev_chunk_id": "unifr_elite_sport_www_unifr_ch_alma_georges_articles_2026_zwischen_unifr_studium_und_spitzensport_ein_interview_mit_sandrine_benz::section::001::chunk::010", "next_chunk_id": "unifr_elite_sport_www_unifr_ch_alma_georges_articles_2026_zwischen_unifr_studium_und_spitzensport_ein_interview_mit_sandrine_benz::section::001::chunk::012",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 {"source": null, "page": null, "snippet": "Aktivitäten auf dem Campus\n\nAktivitäten auf dem Campus\nAgenda, Studierendenverbände, Sport, Kulturelles\nMehr\n\nMehr: https://www.unifr.ch/campus/de/aktivitaeten/", "metadata": {"doc_key": "unifr_studies_army_www_unifr_ch_uni_info_de", "source_type": "unifr_studies_army_page", "source_url": "https://www.unifr.ch/uni-info/de/", "source_reference": "https://www.unifr.ch/uni-info/de/", "title": "Home | Uni-Info | Université de Fribourg", "page_heading": "Uni-Info - Studierende", "language": "de", "parent_url": "https://www.unifr.ch/uni-info/de/armee/", "source_file": "unifr_studies_army.json", "parser": "scrapy_base_info_json", "index_variant": "base_info_semantic_v1", "section_index": 1, "section": "Aktivitäten auf dem Campus", "chunk_id": "unifr_studies_army_www_unifr_ch_uni_info_de::section::001::chunk::001", "chunk_type": "section", "next_chunk_id": "unifr_studies_army_www_unifr_ch_uni_info_de::section::002::chunk::001",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"studyplans", "returned_count": 10, "returned_programs": ["Musicology and History of Opera", "None"], "query": "How is the Teacher Trianing structured?", "query_language": "en"},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"Wie ist die Lehrerfortbildung strukturiert?", "query_language": "de"}], "returned_count": 10}}]</t>
        </is>
      </c>
      <c r="Y3" s="2" t="inlineStr">
        <is>
          <t>Bachelor_30_3e1264b4deddc91aef81c91095d05724021ab732.txt</t>
        </is>
      </c>
      <c r="Z3" s="2" t="inlineStr">
        <is>
          <t>studyplans</t>
        </is>
      </c>
      <c r="AA3" s="2" t="n">
        <v>1</v>
      </c>
      <c r="AB3" s="2" t="inlineStr">
        <is>
          <t>Section: Studienplan Bachelor</t>
        </is>
      </c>
      <c r="AC3" s="2" t="n">
        <v>0</v>
      </c>
      <c r="AD3" s="2" t="n">
        <v>0</v>
      </c>
      <c r="AE3" s="2" t="n">
        <v>0</v>
      </c>
      <c r="AF3" s="2" t="n">
        <v>0</v>
      </c>
      <c r="AG3" s="2" t="n">
        <v>0</v>
      </c>
      <c r="AH3" s="2" t="inlineStr"/>
      <c r="AI3" s="2" t="inlineStr"/>
      <c r="AJ3" s="2" t="inlineStr"/>
      <c r="AK3" s="2" t="inlineStr"/>
      <c r="AL3" s="2" t="inlineStr"/>
      <c r="AM3" s="2" t="inlineStr"/>
      <c r="AN3" s="2" t="inlineStr">
        <is>
          <t>Fill manual_relevant_ranks after reviewing retrieved_sources_ranked, e.g. 1,3,5.</t>
        </is>
      </c>
    </row>
    <row r="4">
      <c r="A4" s="2" t="inlineStr">
        <is>
          <t>2026-05-19T00:08:58</t>
        </is>
      </c>
      <c r="B4" s="2" t="n">
        <v>4</v>
      </c>
      <c r="C4" s="2" t="n">
        <v>3</v>
      </c>
      <c r="D4" s="2" t="inlineStr">
        <is>
          <t>program_overview</t>
        </is>
      </c>
      <c r="E4" s="2" t="inlineStr">
        <is>
          <t>medium</t>
        </is>
      </c>
      <c r="F4" s="2" t="inlineStr">
        <is>
          <t>en</t>
        </is>
      </c>
      <c r="G4" s="2" t="inlineStr">
        <is>
          <t>What courses are thaught in the Master of Slavic Studies?</t>
        </is>
      </c>
      <c r="H4" s="2" t="inlineStr">
        <is>
          <t>list of courses</t>
        </is>
      </c>
      <c r="I4" s="2" t="inlineStr">
        <is>
          <t xml:space="preserve">RAG  </t>
        </is>
      </c>
      <c r="J4" s="2" t="inlineStr"/>
      <c r="K4" s="2" t="inlineStr">
        <is>
          <t>study vectorstore</t>
        </is>
      </c>
      <c r="L4" s="2" t="inlineStr"/>
      <c r="M4" s="2" t="inlineStr"/>
      <c r="N4" s="2" t="n">
        <v>200</v>
      </c>
      <c r="O4" s="2" t="n">
        <v>1</v>
      </c>
      <c r="P4" s="2" t="n">
        <v>52842.4</v>
      </c>
      <c r="Q4" s="2" t="inlineStr"/>
      <c r="R4" s="2" t="n">
        <v>10</v>
      </c>
      <c r="S4" s="2" t="inlineStr"/>
      <c r="T4" s="2" t="inlineStr">
        <is>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is>
      </c>
      <c r="U4" s="2" t="inlineStr">
        <is>
          <t>studyplans; studyplans; studyplans; studyplans; studyplans; studyplans; studyplans; studyplans; studyplans; studyplans</t>
        </is>
      </c>
      <c r="V4" s="2" t="inlineStr">
        <is>
          <t>1; 1; 1; 1; 1; 1; 1; 1; 1; 1</t>
        </is>
      </c>
      <c r="W4" s="2" t="inlineStr">
        <is>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is>
      </c>
      <c r="X4" s="2" t="inlineStr">
        <is>
          <t>[{"source": null,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 {"source": null,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"detected_course_codes": [], "retrieval_mode": "metadata_first", "candidate_count_after_program_degree_ects": 163, "candidate_count_vector_filtered": 0, "source_intent": "studyplans", "returned_count": 10, "returned_programs": ["Slavic Studies"], "query": "What courses are thaught in the Master of Slavic Studies?", "query_language": "en"}], "returned_count": 10}}]</t>
        </is>
      </c>
      <c r="Y4" s="2" t="inlineStr">
        <is>
          <t>Master_90_59edacccbc814f4ca7dd2a3d388690f68f8d8f12.txt</t>
        </is>
      </c>
      <c r="Z4" s="2" t="inlineStr">
        <is>
          <t>studyplans</t>
        </is>
      </c>
      <c r="AA4" s="2" t="n">
        <v>1</v>
      </c>
      <c r="AB4" s="2" t="inlineStr">
        <is>
          <t>Section: Inhaltsverzeichnis Table rows: - 1.: 2; Gesetzliche Grundlagen ......................................................................................................... 1: Beschreibung des Programms ............................................................................................... 1 - 1.: 3; Gesetzliche Grundlagen ............</t>
        </is>
      </c>
      <c r="AC4" s="2" t="n">
        <v>0</v>
      </c>
      <c r="AD4" s="2" t="n">
        <v>0</v>
      </c>
      <c r="AE4" s="2" t="n">
        <v>0</v>
      </c>
      <c r="AF4" s="2" t="n">
        <v>0</v>
      </c>
      <c r="AG4" s="2" t="n">
        <v>0</v>
      </c>
      <c r="AH4" s="2" t="inlineStr"/>
      <c r="AI4" s="2" t="inlineStr"/>
      <c r="AJ4" s="2" t="inlineStr"/>
      <c r="AK4" s="2" t="inlineStr"/>
      <c r="AL4" s="2" t="inlineStr"/>
      <c r="AM4" s="2" t="inlineStr"/>
      <c r="AN4" s="2" t="inlineStr">
        <is>
          <t>Fill manual_relevant_ranks after reviewing retrieved_sources_ranked, e.g. 1,3,5.</t>
        </is>
      </c>
    </row>
    <row r="5">
      <c r="A5" s="2" t="inlineStr">
        <is>
          <t>2026-05-19T00:08:58</t>
        </is>
      </c>
      <c r="B5" s="2" t="n">
        <v>5</v>
      </c>
      <c r="C5" s="2" t="n">
        <v>4</v>
      </c>
      <c r="D5" s="2" t="inlineStr">
        <is>
          <t>general_uni_data</t>
        </is>
      </c>
      <c r="E5" s="2" t="inlineStr">
        <is>
          <t>easy</t>
        </is>
      </c>
      <c r="F5" s="2" t="inlineStr">
        <is>
          <t>en</t>
        </is>
      </c>
      <c r="G5" s="2" t="inlineStr">
        <is>
          <t>How many ects credits does a master program have?</t>
        </is>
      </c>
      <c r="H5" s="2" t="inlineStr">
        <is>
          <t>standard number of ects. Possibly highlighting possible deviations per faculty</t>
        </is>
      </c>
      <c r="I5" s="2" t="inlineStr">
        <is>
          <t xml:space="preserve">RAG  </t>
        </is>
      </c>
      <c r="J5" s="2" t="inlineStr"/>
      <c r="K5" s="2" t="inlineStr">
        <is>
          <t>base_data vectorstore</t>
        </is>
      </c>
      <c r="L5" s="2" t="inlineStr"/>
      <c r="M5" s="2" t="inlineStr">
        <is>
          <t>base_data</t>
        </is>
      </c>
      <c r="N5" s="2" t="n">
        <v>200</v>
      </c>
      <c r="O5" s="2" t="n">
        <v>1</v>
      </c>
      <c r="P5" s="2" t="n">
        <v>49749.69</v>
      </c>
      <c r="Q5" s="2" t="inlineStr"/>
      <c r="R5" s="2" t="n">
        <v>10</v>
      </c>
      <c r="S5" s="2" t="inlineStr"/>
      <c r="T5" s="2" t="inlineStr">
        <is>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is>
      </c>
      <c r="U5" s="2" t="inlineStr">
        <is>
          <t>studyplans; studyplans; studyplans; studyplans; studyplans; studyplans; studyplans; studyplans; studyplans; studyplans</t>
        </is>
      </c>
      <c r="V5" s="2" t="inlineStr">
        <is>
          <t>1; 1; 1; 1; 1; 1; 1; 1; 1; 1</t>
        </is>
      </c>
      <c r="W5" s="2" t="inlineStr">
        <is>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is>
      </c>
      <c r="X5" s="2" t="inlineStr">
        <is>
          <t>[{"source": null,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 {"source": null,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"detected_course_codes": [], "retrieval_mode": "metadata_first", "candidate_count_after_program_degree_ects": 4799, "candidate_count_vector_filtered": 5, "source_intent": "base_data", "returned_count": 10, "returned_programs": ["Experimental Biomedical Research"], "query": "How many ects credits does a master program have?", "query_language": "en"}], "returned_count": 10}}]</t>
        </is>
      </c>
      <c r="Y5" s="2" t="inlineStr">
        <is>
          <t>Master_120_09f4bd6a51cf2c49c32336cd4099f24000d81954.txt</t>
        </is>
      </c>
      <c r="Z5" s="2" t="inlineStr">
        <is>
          <t>studyplans</t>
        </is>
      </c>
      <c r="AA5" s="2" t="n">
        <v>1</v>
      </c>
      <c r="AB5" s="2" t="inlineStr">
        <is>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is>
      </c>
      <c r="AC5" s="2" t="n">
        <v>0</v>
      </c>
      <c r="AD5" s="2" t="n">
        <v>0</v>
      </c>
      <c r="AE5" s="2" t="n">
        <v>0</v>
      </c>
      <c r="AF5" s="2" t="n">
        <v>0</v>
      </c>
      <c r="AG5" s="2" t="n">
        <v>0</v>
      </c>
      <c r="AH5" s="2" t="inlineStr"/>
      <c r="AI5" s="2" t="inlineStr"/>
      <c r="AJ5" s="2" t="inlineStr"/>
      <c r="AK5" s="2" t="inlineStr"/>
      <c r="AL5" s="2" t="inlineStr"/>
      <c r="AM5" s="2" t="inlineStr"/>
      <c r="AN5" s="2" t="inlineStr">
        <is>
          <t>Fill manual_relevant_ranks after reviewing retrieved_sources_ranked, e.g. 1,3,5.</t>
        </is>
      </c>
    </row>
    <row r="6">
      <c r="A6" s="2" t="inlineStr">
        <is>
          <t>2026-05-19T00:08:58</t>
        </is>
      </c>
      <c r="B6" s="2" t="n">
        <v>6</v>
      </c>
      <c r="C6" s="2" t="n">
        <v>5</v>
      </c>
      <c r="D6" s="2" t="inlineStr">
        <is>
          <t>general_uni_data</t>
        </is>
      </c>
      <c r="E6" s="2" t="inlineStr">
        <is>
          <t>medium</t>
        </is>
      </c>
      <c r="F6" s="2" t="inlineStr">
        <is>
          <t>en</t>
        </is>
      </c>
      <c r="G6" s="2" t="inlineStr">
        <is>
          <t>Which faculties exist?</t>
        </is>
      </c>
      <c r="H6" s="2" t="inlineStr">
        <is>
          <t>list of faculties</t>
        </is>
      </c>
      <c r="I6" s="2" t="inlineStr">
        <is>
          <t xml:space="preserve">RAG  </t>
        </is>
      </c>
      <c r="J6" s="2" t="inlineStr"/>
      <c r="K6" s="2" t="inlineStr">
        <is>
          <t>base_data vectorstore</t>
        </is>
      </c>
      <c r="L6" s="2" t="inlineStr"/>
      <c r="M6" s="2" t="inlineStr">
        <is>
          <t>base_data</t>
        </is>
      </c>
      <c r="N6" s="2" t="n">
        <v>200</v>
      </c>
      <c r="O6" s="2" t="n">
        <v>1</v>
      </c>
      <c r="P6" s="2" t="n">
        <v>26551.07</v>
      </c>
      <c r="Q6" s="2" t="inlineStr"/>
      <c r="R6" s="2" t="n">
        <v>10</v>
      </c>
      <c r="S6" s="2" t="inlineStr"/>
      <c r="T6" s="2" t="inlineStr">
        <is>
          <t>unifr_studies_disability.json; structure_of_studies.json; unifr_elite_sports.json; unifr_elite_sports.json; unifr_elite_sports.json; languages_of_study.json; unifr_elite_sports.json; unifr_elite_sports.json; unifr_elite_sports.json; unifr_elite_sports.json</t>
        </is>
      </c>
      <c r="U6" s="2" t="inlineStr">
        <is>
          <t>base_data; base_data; base_data; base_data; base_data; base_data; base_data; base_data; base_data; base_data</t>
        </is>
      </c>
      <c r="V6" s="2" t="inlineStr">
        <is>
          <t xml:space="preserve">; ; ; ; ; ; ; ; ; </t>
        </is>
      </c>
      <c r="W6" s="2" t="inlineStr">
        <is>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unifr_elite_sports.json p. - Changes in degree or study programmes</t>
        </is>
      </c>
      <c r="X6" s="2" t="inlineStr">
        <is>
          <t>[{"source": null,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 {"source": null, "page": null, "snippet": "Changes in degree or study programmes",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"unifr_elite_sport_www_unifr_ch_studies_en_organisation_administrative_services_unifr_students_changes_degree_study_programmes_html::section::001::chunk::001", "chunk_type": "section", "next_chunk_id": "unifr_elite_sport_www_unifr_ch_studies_en_organisation_administrative_services_unifr_students_changes_degree_study_programmes_html::section::001::chunk::002", "rag_source": "base_data", "category": "base_data", "combined_retrieval_intent": "base_data", "combined_retrieval_quotas": {"base_data": {"quota": 15, "returned": 15}, "studyplans": {"quota": 5, "returned": 5}, "reglementations": {"quota": 3, "error": "AssertionError()"}}, "retrieval_debug":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"retrieval_debug": {"retrieval_mode": "metadata_and_language_aware", "requested_language": "en", "runs": [{"detected_program_name": null, "detected_program_key": null, "detected_degree": null, "detected_ects": null, "detected_year": null, "detected_course_codes": [], "retrieval_mode": "metadata_first", "candidate_count_after_program_degree_ects": 41912, "candidate_count_vector_filtered": 20, "candidate_count_global_fallback": 20, "source_intent": "base_data", "returned_count": 10, "returned_programs": ["None"], "query": "Which faculties exist?", "query_language": "en"}], "returned_count": 10}}]</t>
        </is>
      </c>
      <c r="Y6" s="2" t="inlineStr">
        <is>
          <t>unifr_studies_disability.json</t>
        </is>
      </c>
      <c r="Z6" s="2" t="inlineStr">
        <is>
          <t>base_data</t>
        </is>
      </c>
      <c r="AA6" s="2" t="inlineStr"/>
      <c r="AB6" s="2" t="inlineStr">
        <is>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is>
      </c>
      <c r="AC6" s="2" t="n">
        <v>1</v>
      </c>
      <c r="AD6" s="2" t="n">
        <v>1</v>
      </c>
      <c r="AE6" s="2" t="n">
        <v>1</v>
      </c>
      <c r="AF6" s="2" t="n">
        <v>1</v>
      </c>
      <c r="AG6" s="2" t="n">
        <v>1</v>
      </c>
      <c r="AH6" s="2" t="inlineStr"/>
      <c r="AI6" s="2" t="inlineStr"/>
      <c r="AJ6" s="2" t="inlineStr"/>
      <c r="AK6" s="2" t="inlineStr"/>
      <c r="AL6" s="2" t="inlineStr"/>
      <c r="AM6" s="2" t="inlineStr"/>
      <c r="AN6" s="2" t="inlineStr">
        <is>
          <t>Fill manual_relevant_ranks after reviewing retrieved_sources_ranked, e.g. 1,3,5.</t>
        </is>
      </c>
    </row>
    <row r="7">
      <c r="A7" s="2" t="inlineStr">
        <is>
          <t>2026-05-19T00:08:58</t>
        </is>
      </c>
      <c r="B7" s="2" t="n">
        <v>7</v>
      </c>
      <c r="C7" s="2" t="n">
        <v>6</v>
      </c>
      <c r="D7" s="2" t="inlineStr">
        <is>
          <t>program_overview</t>
        </is>
      </c>
      <c r="E7" s="2" t="inlineStr">
        <is>
          <t>hard</t>
        </is>
      </c>
      <c r="F7" s="2" t="inlineStr">
        <is>
          <t>en</t>
        </is>
      </c>
      <c r="G7" s="2" t="inlineStr">
        <is>
          <t>What is the suggested order of courses for the bachelor in business informatics 180 ects.</t>
        </is>
      </c>
      <c r="H7" s="2" t="inlineStr">
        <is>
          <t>ordered list of courses</t>
        </is>
      </c>
      <c r="I7" s="2" t="inlineStr">
        <is>
          <t xml:space="preserve">RAG  </t>
        </is>
      </c>
      <c r="J7" s="2" t="inlineStr"/>
      <c r="K7" s="2" t="inlineStr">
        <is>
          <t>study vectorstore</t>
        </is>
      </c>
      <c r="L7" s="2" t="inlineStr"/>
      <c r="M7" s="2" t="inlineStr">
        <is>
          <t>base_data</t>
        </is>
      </c>
      <c r="N7" s="2" t="n">
        <v>200</v>
      </c>
      <c r="O7" s="2" t="n">
        <v>1</v>
      </c>
      <c r="P7" s="2" t="n">
        <v>75726.64999999999</v>
      </c>
      <c r="Q7" s="2" t="inlineStr"/>
      <c r="R7" s="2" t="n">
        <v>10</v>
      </c>
      <c r="S7" s="2" t="inlineStr"/>
      <c r="T7" s="2" t="inlineStr">
        <is>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is>
      </c>
      <c r="U7" s="2" t="inlineStr">
        <is>
          <t>studyplans; studyplans; studyplans; studyplans; studyplans; studyplans; studyplans; studyplans; studyplans; studyplans</t>
        </is>
      </c>
      <c r="V7" s="2" t="inlineStr">
        <is>
          <t>1; 1; 1; 1; 1; 1; 1; 1; 1; 1</t>
        </is>
      </c>
      <c r="W7" s="2" t="inlineStr">
        <is>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is>
      </c>
      <c r="X7" s="2" t="inlineStr">
        <is>
          <t>[{"source": null,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 {"source": null,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"detected_course_codes": [], "retrieval_mode": "metadata_first", "candidate_count_after_program_degree_ects": 39, "candidate_count_vector_filtered": 0, "source_intent": "studyplans", "returned_count": 10, "returned_programs": ["Business Informatics"], "query": "What is the suggested order of courses for the bachelor in business informatics 180 ects.", "query_language": "en"}], "returned_count": 10}}]</t>
        </is>
      </c>
      <c r="Y7" s="2" t="inlineStr">
        <is>
          <t>Bachelor_180_80b173004838b5856a2ed1a73ccc60de140ce7f4.txt</t>
        </is>
      </c>
      <c r="Z7" s="2" t="inlineStr">
        <is>
          <t>studyplans</t>
        </is>
      </c>
      <c r="AA7" s="2" t="n">
        <v>1</v>
      </c>
      <c r="AB7" s="2" t="inlineStr">
        <is>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is>
      </c>
      <c r="AC7" s="2" t="n">
        <v>0</v>
      </c>
      <c r="AD7" s="2" t="n">
        <v>0</v>
      </c>
      <c r="AE7" s="2" t="n">
        <v>0</v>
      </c>
      <c r="AF7" s="2" t="n">
        <v>0</v>
      </c>
      <c r="AG7" s="2" t="n">
        <v>0</v>
      </c>
      <c r="AH7" s="2" t="inlineStr"/>
      <c r="AI7" s="2" t="inlineStr"/>
      <c r="AJ7" s="2" t="inlineStr"/>
      <c r="AK7" s="2" t="inlineStr"/>
      <c r="AL7" s="2" t="inlineStr"/>
      <c r="AM7" s="2" t="inlineStr"/>
      <c r="AN7" s="2" t="inlineStr">
        <is>
          <t>Fill manual_relevant_ranks after reviewing retrieved_sources_ranked, e.g. 1,3,5.</t>
        </is>
      </c>
    </row>
    <row r="8">
      <c r="A8" s="2" t="inlineStr">
        <is>
          <t>2026-05-19T00:08:58</t>
        </is>
      </c>
      <c r="B8" s="2" t="n">
        <v>8</v>
      </c>
      <c r="C8" s="2" t="n">
        <v>7</v>
      </c>
      <c r="D8" s="2" t="inlineStr">
        <is>
          <t>program_overview</t>
        </is>
      </c>
      <c r="E8" s="2" t="inlineStr">
        <is>
          <t>medium</t>
        </is>
      </c>
      <c r="F8" s="2" t="inlineStr">
        <is>
          <t>en</t>
        </is>
      </c>
      <c r="G8" s="2" t="inlineStr">
        <is>
          <t>What profile does a student of management have?</t>
        </is>
      </c>
      <c r="H8" s="2" t="inlineStr">
        <is>
          <t>summary of program leanings and obtained profile</t>
        </is>
      </c>
      <c r="I8" s="2" t="inlineStr">
        <is>
          <t xml:space="preserve">RAG  </t>
        </is>
      </c>
      <c r="J8" s="2" t="inlineStr"/>
      <c r="K8" s="2" t="inlineStr">
        <is>
          <t>study vectorstore</t>
        </is>
      </c>
      <c r="L8" s="2" t="inlineStr"/>
      <c r="M8" s="2" t="inlineStr"/>
      <c r="N8" s="2" t="n">
        <v>200</v>
      </c>
      <c r="O8" s="2" t="n">
        <v>1</v>
      </c>
      <c r="P8" s="2" t="n">
        <v>35373.34</v>
      </c>
      <c r="Q8" s="2" t="inlineStr"/>
      <c r="R8" s="2" t="n">
        <v>10</v>
      </c>
      <c r="S8" s="2" t="inlineStr"/>
      <c r="T8" s="2" t="inlineStr">
        <is>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is>
      </c>
      <c r="U8" s="2" t="inlineStr">
        <is>
          <t>studyplans; studyplans; studyplans; studyplans; studyplans; studyplans; studyplans; studyplans; studyplans; studyplans</t>
        </is>
      </c>
      <c r="V8" s="2" t="inlineStr">
        <is>
          <t>1; 1; 1; 1; 1; 1; 1; 1; 1; 1</t>
        </is>
      </c>
      <c r="W8" s="2" t="inlineStr">
        <is>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is>
      </c>
      <c r="X8" s="2" t="inlineStr">
        <is>
          <t>[{"source": null,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"a11887e2ddf0e048b0446c6bb3c79526bf350234::semantic_table::chunk::0014", "chunk_type": "table", "section": "Stand des Kursangebots", "page_start": 1, "page_end": 1, "chunk_pages": [1], "contains_table": true, "block_kinds": ["table"], "prev_chunk_id": "a11887e2ddf0e048b0446c6bb3c79526bf350234::semantic_table::chunk::0013", "next_chunk_id": "a11887e2ddf0e048b0446c6bb3c79526bf350234::semantic_table::chunk::0015",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"EGE.00194 | Intercultural Management | Davoine | HS-2025 | MA | en | Schriftliche Prüfung | 4.5 |\n| EGE.00045 | Organization Behavior | von Wittich | HS-2025 | MA | en | Fortlaufende | 4.5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"a11887e2ddf0e048b0446c6bb3c79526bf350234::semantic_table::chunk::0015", "chunk_type": "table", "section": "Stand des Kursangebots", "page_start": 1, "page_end": 1, "chunk_pages": [1], "contains_table": true, "block_kinds": ["table"], "prev_chunk_id": "a11887e2ddf0e048b0446c6bb3c79526bf350234::semantic_table::chunk::0014", "next_chunk_id": "a11887e2ddf0e048b0446c6bb3c79526bf350234::semantic_table::chunk::0016",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"Section: Stand des Kursangebots\n\nTable rows:\n- Code: EGE.00257; Lehreinheit: Winning Consulting Projects; Lehrer(innen): Thom; Semester: FS-2026; Niveau: MA; Sprache: en; Bewertung: Fortlaufende Evaluation; ECTS: 3\n- Code: EEP.00127; Lehreinheit: Business and Human Rights; Lehrer(innen): Umlas; Semester: HS-2025; Niveau: MA; Sprache: en; Bewertung: Fortlaufende Evaluation; ECTS: 3\n- Code: EGE.00282; Lehreinheit: MAN05D: Human Resource Management; Lehrer(innen): Gmür; Semester: HS-2025; Niveau: B",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"a11887e2ddf0e048b0446c6bb3c79526bf350234::semantic_table::chunk::0017", "chunk_type": "table", "section": "Stand des Kursangebots", "page_start": 1, "page_end": 1, "chunk_pages": [1], "contains_table": true, "block_kinds": ["table"], "prev_chunk_id": "a11887e2ddf0e048b0446c6bb3c79526bf350234::semantic_table::chunk::0016", "next_chunk_id": "a11887e2ddf0e048b0446c6bb3c79526bf350234::semantic_table::chunk::0018",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 {"source": null, "page": 1, "snippet": "einheit: Management des ressources humaines et matérielles dans les organisations à but non lucratif; Lehrer(innen): Gmür; Semester: HS-2025; Niveau: MA; Sprache: fr; Bewertung: Fortlaufende Evaluation und schriftliche Prüfung; ECTS: 4.5\n- Code: EGE.00483; Lehreinheit: Ethical Leadership and Organizational Culture; Lehrer(innen): Gonin; Semester: FS-2026; Niveau: MA; Sprache: en; Bewertung: Fortlaufende Evaluation; ECTS: 4.5\n- Code: EGE.00487; Lehreinheit: Organizational Resilience of Multinatio",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"a11887e2ddf0e048b0446c6bb3c79526bf350234::semantic_table::chunk::0018", "chunk_type": "table", "section": "Stand des Kursangebots", "page_start": 1, "page_end": 1, "chunk_pages": [1], "contains_table": true, "block_kinds": ["table"], "prev_chunk_id": "a11887e2ddf0e048b0446c6bb3c79526bf350234::semantic_table::chunk::0017", "next_chunk_id": "a11887e2ddf0e048b0446c6bb3c79526bf350234::semantic_table::chunk::0019", "rag_source": "studyplans", "category": "studyplans", "retrieval_debug":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"retrieval_debug": {"retrieval_mode": "metadata_and_language_aware", "requested_language": "en", "runs": [{"detected_program_name": "Management", "detected_program_key": null, "detected_degree": "Master", "detected_ects": null, "detected_year": null, "detected_course_codes": [], "retrieval_mode": "metadata_first", "candidate_count_after_program_degree_ects": 46, "candidate_count_vector_filtered": 0, "source_intent": "studyplans", "returned_count": 10, "returned_programs": ["Management"], "query": "What profile does a student of management have?", "query_language": "en"}], "returned_count": 10}}]</t>
        </is>
      </c>
      <c r="Y8" s="2" t="inlineStr">
        <is>
          <t>Master_30_a11887e2ddf0e048b0446c6bb3c79526bf350234.txt</t>
        </is>
      </c>
      <c r="Z8" s="2" t="inlineStr">
        <is>
          <t>studyplans</t>
        </is>
      </c>
      <c r="AA8" s="2" t="n">
        <v>1</v>
      </c>
      <c r="AB8" s="2" t="inlineStr">
        <is>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is>
      </c>
      <c r="AC8" s="2" t="n">
        <v>0</v>
      </c>
      <c r="AD8" s="2" t="n">
        <v>0</v>
      </c>
      <c r="AE8" s="2" t="n">
        <v>0</v>
      </c>
      <c r="AF8" s="2" t="n">
        <v>0</v>
      </c>
      <c r="AG8" s="2" t="n">
        <v>0</v>
      </c>
      <c r="AH8" s="2" t="inlineStr"/>
      <c r="AI8" s="2" t="inlineStr"/>
      <c r="AJ8" s="2" t="inlineStr"/>
      <c r="AK8" s="2" t="inlineStr"/>
      <c r="AL8" s="2" t="inlineStr"/>
      <c r="AM8" s="2" t="inlineStr"/>
      <c r="AN8" s="2" t="inlineStr">
        <is>
          <t>Fill manual_relevant_ranks after reviewing retrieved_sources_ranked, e.g. 1,3,5.</t>
        </is>
      </c>
    </row>
    <row r="9">
      <c r="A9" s="2" t="inlineStr">
        <is>
          <t>2026-05-19T00:08:58</t>
        </is>
      </c>
      <c r="B9" s="2" t="n">
        <v>9</v>
      </c>
      <c r="C9" s="2" t="n">
        <v>8</v>
      </c>
      <c r="D9" s="2" t="inlineStr">
        <is>
          <t>program_overview</t>
        </is>
      </c>
      <c r="E9" s="2" t="inlineStr">
        <is>
          <t>medium</t>
        </is>
      </c>
      <c r="F9" s="2" t="inlineStr">
        <is>
          <t>en</t>
        </is>
      </c>
      <c r="G9" s="2" t="inlineStr">
        <is>
          <t>What skills are learned in the Mathmatics program?</t>
        </is>
      </c>
      <c r="H9" s="2" t="inlineStr">
        <is>
          <t>summary/list of skills earned</t>
        </is>
      </c>
      <c r="I9" s="2" t="inlineStr">
        <is>
          <t xml:space="preserve">RAG  </t>
        </is>
      </c>
      <c r="J9" s="2" t="inlineStr"/>
      <c r="K9" s="2" t="inlineStr">
        <is>
          <t>study vectorstore</t>
        </is>
      </c>
      <c r="L9" s="2" t="inlineStr"/>
      <c r="M9" s="2" t="inlineStr"/>
      <c r="N9" s="2" t="n">
        <v>200</v>
      </c>
      <c r="O9" s="2" t="n">
        <v>1</v>
      </c>
      <c r="P9" s="2" t="n">
        <v>37796.38</v>
      </c>
      <c r="Q9" s="2" t="inlineStr"/>
      <c r="R9" s="2" t="n">
        <v>10</v>
      </c>
      <c r="S9" s="2" t="inlineStr"/>
      <c r="T9" s="2" t="inlineStr">
        <is>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is>
      </c>
      <c r="U9" s="2" t="inlineStr">
        <is>
          <t>studyplans; studyplans; studyplans; studyplans; studyplans; studyplans; studyplans; studyplans; studyplans; studyplans</t>
        </is>
      </c>
      <c r="V9" s="2" t="inlineStr">
        <is>
          <t>1; 1; 1; 1; 1; 1; 1; 1; 1; 1</t>
        </is>
      </c>
      <c r="W9" s="2" t="inlineStr">
        <is>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is>
      </c>
      <c r="X9" s="2" t="inlineStr">
        <is>
          <t>[{"source": null,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 {"source": null,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"detected_course_codes": [], "retrieval_mode": "metadata_first", "candidate_count_after_program_degree_ects": 34, "candidate_count_vector_filtered": 1, "source_intent": "studyplans", "returned_count": 10, "returned_programs": ["Data Analytics &amp; Economics"], "query": "What skills are learned in the Mathmatics program?", "query_language": "en"}], "returned_count": 10}}]</t>
        </is>
      </c>
      <c r="Y9" s="2" t="inlineStr">
        <is>
          <t>Master_90_ac63854b237749c8e734fb8a94f0c163a11510d8.txt</t>
        </is>
      </c>
      <c r="Z9" s="2" t="inlineStr">
        <is>
          <t>studyplans</t>
        </is>
      </c>
      <c r="AA9" s="2" t="n">
        <v>1</v>
      </c>
      <c r="AB9" s="2" t="inlineStr">
        <is>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is>
      </c>
      <c r="AC9" s="2" t="n">
        <v>0</v>
      </c>
      <c r="AD9" s="2" t="n">
        <v>0</v>
      </c>
      <c r="AE9" s="2" t="n">
        <v>0</v>
      </c>
      <c r="AF9" s="2" t="n">
        <v>0</v>
      </c>
      <c r="AG9" s="2" t="n">
        <v>0</v>
      </c>
      <c r="AH9" s="2" t="inlineStr"/>
      <c r="AI9" s="2" t="inlineStr"/>
      <c r="AJ9" s="2" t="inlineStr"/>
      <c r="AK9" s="2" t="inlineStr"/>
      <c r="AL9" s="2" t="inlineStr"/>
      <c r="AM9" s="2" t="inlineStr"/>
      <c r="AN9" s="2" t="inlineStr">
        <is>
          <t>Fill manual_relevant_ranks after reviewing retrieved_sources_ranked, e.g. 1,3,5.</t>
        </is>
      </c>
    </row>
    <row r="10">
      <c r="A10" s="2" t="inlineStr">
        <is>
          <t>2026-05-19T00:08:58</t>
        </is>
      </c>
      <c r="B10" s="2" t="n">
        <v>10</v>
      </c>
      <c r="C10" s="2" t="n">
        <v>9</v>
      </c>
      <c r="D10" s="2" t="inlineStr">
        <is>
          <t>program_overview</t>
        </is>
      </c>
      <c r="E10" s="2" t="inlineStr">
        <is>
          <t>medium</t>
        </is>
      </c>
      <c r="F10" s="2" t="inlineStr">
        <is>
          <t>de</t>
        </is>
      </c>
      <c r="G10" s="2" t="inlineStr">
        <is>
          <t>Welche Kurse sind im Studienprogramm Philosophie enthalten?</t>
        </is>
      </c>
      <c r="H10" s="2" t="inlineStr">
        <is>
          <t>list of courses</t>
        </is>
      </c>
      <c r="I10" s="2" t="inlineStr">
        <is>
          <t xml:space="preserve">RAG  </t>
        </is>
      </c>
      <c r="J10" s="2" t="inlineStr"/>
      <c r="K10" s="2" t="inlineStr">
        <is>
          <t>study vectorstore</t>
        </is>
      </c>
      <c r="L10" s="2" t="inlineStr"/>
      <c r="M10" s="2" t="inlineStr"/>
      <c r="N10" s="2" t="n">
        <v>200</v>
      </c>
      <c r="O10" s="2" t="n">
        <v>1</v>
      </c>
      <c r="P10" s="2" t="n">
        <v>70619.28999999999</v>
      </c>
      <c r="Q10" s="2" t="inlineStr"/>
      <c r="R10" s="2" t="n">
        <v>10</v>
      </c>
      <c r="S10" s="2" t="inlineStr"/>
      <c r="T10" s="2" t="inlineStr">
        <is>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is>
      </c>
      <c r="U10" s="2" t="inlineStr">
        <is>
          <t>studyplans; studyplans; studyplans; studyplans; studyplans; studyplans; studyplans; studyplans; studyplans; studyplans</t>
        </is>
      </c>
      <c r="V10" s="2" t="inlineStr">
        <is>
          <t>1; 1; 1; 1; 1; 1; 1; 1; 1; 1</t>
        </is>
      </c>
      <c r="W10" s="2" t="inlineStr">
        <is>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is>
      </c>
      <c r="X10" s="2" t="inlineStr">
        <is>
          <t>[{"source": null,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 {"source": null,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"retrieval_debug": {"retrieval_mode": "metadata_and_language_aware", "requested_language": "de", "runs": [{"detected_program_name": "Classics", "detected_program_key": null, "detected_degree": null, "detected_ects": null, "detected_year": null, "detected_course_codes": [], "retrieval_mode": "metadata_first", "candidate_count_after_program_degree_ects": 33, "candidate_count_vector_filtered": 0, "source_intent": "studyplans", "returned_count": 10, "returned_programs": ["Classics"], "query": "Welche Kurse sind im Studienprogramm Philosophie enthalten?", "query_language": "de"}], "returned_count": 10}}]</t>
        </is>
      </c>
      <c r="Y10" s="2" t="inlineStr">
        <is>
          <t>Bachelor_120_991e33011e85c80ce74b56fe4592b6869e64c6fb.txt</t>
        </is>
      </c>
      <c r="Z10" s="2" t="inlineStr">
        <is>
          <t>studyplans</t>
        </is>
      </c>
      <c r="AA10" s="2" t="n">
        <v>1</v>
      </c>
      <c r="AB10" s="2" t="inlineStr">
        <is>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is>
      </c>
      <c r="AC10" s="2" t="n">
        <v>0</v>
      </c>
      <c r="AD10" s="2" t="n">
        <v>0</v>
      </c>
      <c r="AE10" s="2" t="n">
        <v>0</v>
      </c>
      <c r="AF10" s="2" t="n">
        <v>0</v>
      </c>
      <c r="AG10" s="2" t="n">
        <v>0</v>
      </c>
      <c r="AH10" s="2" t="inlineStr"/>
      <c r="AI10" s="2" t="inlineStr"/>
      <c r="AJ10" s="2" t="inlineStr"/>
      <c r="AK10" s="2" t="inlineStr"/>
      <c r="AL10" s="2" t="inlineStr"/>
      <c r="AM10" s="2" t="inlineStr"/>
      <c r="AN10" s="2" t="inlineStr">
        <is>
          <t>Fill manual_relevant_ranks after reviewing retrieved_sources_ranked, e.g. 1,3,5.</t>
        </is>
      </c>
    </row>
    <row r="11">
      <c r="A11" s="2" t="inlineStr">
        <is>
          <t>2026-05-19T00:08:58</t>
        </is>
      </c>
      <c r="B11" s="2" t="n">
        <v>11</v>
      </c>
      <c r="C11" s="2" t="n">
        <v>10</v>
      </c>
      <c r="D11" s="2" t="inlineStr">
        <is>
          <t>program_overview</t>
        </is>
      </c>
      <c r="E11" s="2" t="inlineStr">
        <is>
          <t>easy</t>
        </is>
      </c>
      <c r="F11" s="2" t="inlineStr">
        <is>
          <t>fr</t>
        </is>
      </c>
      <c r="G11" s="2" t="inlineStr">
        <is>
          <t>Quel est la langue d'enseignement du bachelor en informatique de gestion?</t>
        </is>
      </c>
      <c r="H11" s="2" t="inlineStr">
        <is>
          <t xml:space="preserve">explanation of bilingualism </t>
        </is>
      </c>
      <c r="I11" s="2" t="inlineStr">
        <is>
          <t xml:space="preserve">RAG  </t>
        </is>
      </c>
      <c r="J11" s="2" t="inlineStr"/>
      <c r="K11" s="2" t="inlineStr">
        <is>
          <t>study vectorstore</t>
        </is>
      </c>
      <c r="L11" s="2" t="inlineStr"/>
      <c r="M11" s="2" t="inlineStr"/>
      <c r="N11" s="2" t="n"/>
      <c r="O11" s="2" t="n">
        <v>0</v>
      </c>
      <c r="P11" s="2" t="n">
        <v>120079.63</v>
      </c>
      <c r="Q11" s="2" t="inlineStr"/>
      <c r="R11" s="2" t="n">
        <v>0</v>
      </c>
      <c r="S11" s="2" t="inlineStr">
        <is>
          <t>HTTPConnectionPool(host='localhost', port=8000): Read timed out. (read timeout=120)</t>
        </is>
      </c>
      <c r="T11" s="2" t="inlineStr"/>
      <c r="U11" s="2" t="inlineStr"/>
      <c r="V11" s="2" t="inlineStr"/>
      <c r="W11" s="2" t="inlineStr"/>
      <c r="X11" s="2" t="inlineStr">
        <is>
          <t>[]</t>
        </is>
      </c>
      <c r="Y11" s="2" t="inlineStr"/>
      <c r="Z11" s="2" t="inlineStr"/>
      <c r="AA11" s="2" t="inlineStr"/>
      <c r="AB11" s="2" t="inlineStr"/>
      <c r="AC11" s="2" t="n">
        <v>0</v>
      </c>
      <c r="AD11" s="2" t="n">
        <v>0</v>
      </c>
      <c r="AE11" s="2" t="n">
        <v>0</v>
      </c>
      <c r="AF11" s="2" t="n">
        <v>0</v>
      </c>
      <c r="AG11" s="2" t="n">
        <v>0</v>
      </c>
      <c r="AH11" s="2" t="inlineStr"/>
      <c r="AI11" s="2" t="inlineStr"/>
      <c r="AJ11" s="2" t="inlineStr"/>
      <c r="AK11" s="2" t="inlineStr"/>
      <c r="AL11" s="2" t="inlineStr"/>
      <c r="AM11" s="2" t="inlineStr"/>
      <c r="AN11" s="2" t="inlineStr">
        <is>
          <t>Fill manual_relevant_ranks after reviewing retrieved_sources_ranked, e.g. 1,3,5.</t>
        </is>
      </c>
    </row>
    <row r="12">
      <c r="A12" s="2" t="inlineStr">
        <is>
          <t>2026-05-19T00:08:58</t>
        </is>
      </c>
      <c r="B12" s="2" t="n">
        <v>12</v>
      </c>
      <c r="C12" s="2" t="n">
        <v>11</v>
      </c>
      <c r="D12" s="2" t="inlineStr">
        <is>
          <t>reglementation</t>
        </is>
      </c>
      <c r="E12" s="2" t="inlineStr">
        <is>
          <t>easy</t>
        </is>
      </c>
      <c r="F12" s="2" t="inlineStr">
        <is>
          <t>en</t>
        </is>
      </c>
      <c r="G12" s="2" t="inlineStr">
        <is>
          <t>What does the reglementation say about quality assurance at the university of friburg?</t>
        </is>
      </c>
      <c r="H12" s="2" t="inlineStr">
        <is>
          <t>summary of https://webapps.unifr.ch/legal/de/110.000</t>
        </is>
      </c>
      <c r="I12" s="2" t="inlineStr">
        <is>
          <t>RAG</t>
        </is>
      </c>
      <c r="J12" s="2" t="inlineStr"/>
      <c r="K12" s="2" t="inlineStr">
        <is>
          <t>regl vectorstore</t>
        </is>
      </c>
      <c r="L12" s="2" t="inlineStr"/>
      <c r="M12" s="2" t="inlineStr">
        <is>
          <t>reglementations</t>
        </is>
      </c>
      <c r="N12" s="2" t="n"/>
      <c r="O12" s="2" t="n">
        <v>0</v>
      </c>
      <c r="P12" s="2" t="n">
        <v>120033.52</v>
      </c>
      <c r="Q12" s="2" t="inlineStr"/>
      <c r="R12" s="2" t="n">
        <v>0</v>
      </c>
      <c r="S12" s="2" t="inlineStr">
        <is>
          <t>HTTPConnectionPool(host='localhost', port=8000): Read timed out. (read timeout=120)</t>
        </is>
      </c>
      <c r="T12" s="2" t="inlineStr"/>
      <c r="U12" s="2" t="inlineStr"/>
      <c r="V12" s="2" t="inlineStr"/>
      <c r="W12" s="2" t="inlineStr"/>
      <c r="X12" s="2" t="inlineStr">
        <is>
          <t>[]</t>
        </is>
      </c>
      <c r="Y12" s="2" t="inlineStr"/>
      <c r="Z12" s="2" t="inlineStr"/>
      <c r="AA12" s="2" t="inlineStr"/>
      <c r="AB12" s="2" t="inlineStr"/>
      <c r="AC12" s="2" t="n">
        <v>0</v>
      </c>
      <c r="AD12" s="2" t="n">
        <v>0</v>
      </c>
      <c r="AE12" s="2" t="n">
        <v>0</v>
      </c>
      <c r="AF12" s="2" t="n">
        <v>0</v>
      </c>
      <c r="AG12" s="2" t="n">
        <v>0</v>
      </c>
      <c r="AH12" s="2" t="inlineStr"/>
      <c r="AI12" s="2" t="inlineStr"/>
      <c r="AJ12" s="2" t="inlineStr"/>
      <c r="AK12" s="2" t="inlineStr"/>
      <c r="AL12" s="2" t="inlineStr"/>
      <c r="AM12" s="2" t="inlineStr"/>
      <c r="AN12" s="2" t="inlineStr">
        <is>
          <t>Fill manual_relevant_ranks after reviewing retrieved_sources_ranked, e.g. 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Metric</t>
        </is>
      </c>
      <c r="B1" s="1" t="inlineStr">
        <is>
          <t>Formula / Meaning</t>
        </is>
      </c>
      <c r="C1" s="1" t="inlineStr">
        <is>
          <t>Value</t>
        </is>
      </c>
    </row>
    <row r="2">
      <c r="A2" s="2" t="inlineStr">
        <is>
          <t>Questions evaluated</t>
        </is>
      </c>
      <c r="B2" s="2" t="inlineStr">
        <is>
          <t>Number of rows in retrieval sheet</t>
        </is>
      </c>
      <c r="C2" s="2">
        <f>COUNTA('RAG_Retrieval_Only'!G:G)-1</f>
        <v/>
      </c>
    </row>
    <row r="3">
      <c r="A3" s="2" t="inlineStr">
        <is>
          <t>Success rate</t>
        </is>
      </c>
      <c r="B3" s="2" t="inlineStr">
        <is>
          <t>Successful debug retrieval requests / all requests</t>
        </is>
      </c>
      <c r="C3" s="2">
        <f>AVERAGE('RAG_Retrieval_Only'!O:O)</f>
        <v/>
      </c>
    </row>
    <row r="4">
      <c r="A4" s="2" t="inlineStr">
        <is>
          <t>Mean retrieval time ms</t>
        </is>
      </c>
      <c r="B4" s="2" t="inlineStr">
        <is>
          <t>Average /debug/retrieve client time</t>
        </is>
      </c>
      <c r="C4" s="2">
        <f>AVERAGE('RAG_Retrieval_Only'!P:P)</f>
        <v/>
      </c>
    </row>
    <row r="5">
      <c r="A5" s="2" t="inlineStr">
        <is>
          <t>Median retrieval time ms</t>
        </is>
      </c>
      <c r="B5" s="2" t="inlineStr">
        <is>
          <t>Median /debug/retrieve client time</t>
        </is>
      </c>
      <c r="C5" s="2">
        <f>MEDIAN('RAG_Retrieval_Only'!P:P)</f>
        <v/>
      </c>
    </row>
    <row r="6">
      <c r="A6" s="2" t="inlineStr">
        <is>
          <t>Mean retrieved sources count</t>
        </is>
      </c>
      <c r="B6" s="2" t="inlineStr">
        <is>
          <t>Average number of retrieved chunks</t>
        </is>
      </c>
      <c r="C6" s="2">
        <f>AVERAGE('RAG_Retrieval_Only'!R:R)</f>
        <v/>
      </c>
    </row>
    <row r="7">
      <c r="A7" s="2" t="inlineStr">
        <is>
          <t>Category Recall@1</t>
        </is>
      </c>
      <c r="B7" s="2" t="inlineStr">
        <is>
          <t>Expected source category appears at rank 1</t>
        </is>
      </c>
      <c r="C7" s="2">
        <f>AVERAGE('RAG_Retrieval_Only'!AC:AC)</f>
        <v/>
      </c>
    </row>
    <row r="8">
      <c r="A8" s="2" t="inlineStr">
        <is>
          <t>Category Recall@3</t>
        </is>
      </c>
      <c r="B8" s="2" t="inlineStr">
        <is>
          <t>Expected source category appears in top 3</t>
        </is>
      </c>
      <c r="C8" s="2">
        <f>AVERAGE('RAG_Retrieval_Only'!AD:AD)</f>
        <v/>
      </c>
    </row>
    <row r="9">
      <c r="A9" s="2" t="inlineStr">
        <is>
          <t>Category Recall@5</t>
        </is>
      </c>
      <c r="B9" s="2" t="inlineStr">
        <is>
          <t>Expected source category appears in top 5</t>
        </is>
      </c>
      <c r="C9" s="2">
        <f>AVERAGE('RAG_Retrieval_Only'!AE:AE)</f>
        <v/>
      </c>
    </row>
    <row r="10">
      <c r="A10" s="2" t="inlineStr">
        <is>
          <t>Category Precision@5</t>
        </is>
      </c>
      <c r="B10" s="2" t="inlineStr">
        <is>
          <t>Share of top 5 chunks with expected source category</t>
        </is>
      </c>
      <c r="C10" s="2">
        <f>AVERAGE('RAG_Retrieval_Only'!AF:AF)</f>
        <v/>
      </c>
    </row>
    <row r="11">
      <c r="A11" s="2" t="inlineStr">
        <is>
          <t>Category MRR</t>
        </is>
      </c>
      <c r="B11" s="2" t="inlineStr">
        <is>
          <t>Reciprocal rank of first expected-category chunk</t>
        </is>
      </c>
      <c r="C11" s="2">
        <f>AVERAGE('RAG_Retrieval_Only'!AG:AG)</f>
        <v/>
      </c>
    </row>
    <row r="12">
      <c r="A12" s="2" t="inlineStr">
        <is>
          <t>Manual Recall@1</t>
        </is>
      </c>
      <c r="B12" s="2" t="inlineStr">
        <is>
          <t>Based on manual_relevant_ranks</t>
        </is>
      </c>
      <c r="C12" s="2">
        <f>AVERAGE('RAG_Retrieval_Only'!AI:AI)</f>
        <v/>
      </c>
    </row>
    <row r="13">
      <c r="A13" s="2" t="inlineStr">
        <is>
          <t>Manual Recall@3</t>
        </is>
      </c>
      <c r="B13" s="2" t="inlineStr">
        <is>
          <t>Based on manual_relevant_ranks</t>
        </is>
      </c>
      <c r="C13" s="2">
        <f>AVERAGE('RAG_Retrieval_Only'!AJ:AJ)</f>
        <v/>
      </c>
    </row>
    <row r="14">
      <c r="A14" s="2" t="inlineStr">
        <is>
          <t>Manual Recall@5</t>
        </is>
      </c>
      <c r="B14" s="2" t="inlineStr">
        <is>
          <t>Based on manual_relevant_ranks</t>
        </is>
      </c>
      <c r="C14" s="2">
        <f>AVERAGE('RAG_Retrieval_Only'!AK:AK)</f>
        <v/>
      </c>
    </row>
    <row r="15">
      <c r="A15" s="2" t="inlineStr">
        <is>
          <t>Manual Precision@5</t>
        </is>
      </c>
      <c r="B15" s="2" t="inlineStr">
        <is>
          <t>Based on manual_relevant_ranks</t>
        </is>
      </c>
      <c r="C15" s="2">
        <f>AVERAGE('RAG_Retrieval_Only'!AL:AL)</f>
        <v/>
      </c>
    </row>
    <row r="16">
      <c r="A16" s="2" t="inlineStr">
        <is>
          <t>Manual MRR</t>
        </is>
      </c>
      <c r="B16" s="2" t="inlineStr">
        <is>
          <t>Based on manual_relevant_ranks</t>
        </is>
      </c>
      <c r="C16" s="2">
        <f>AVERAGE('RAG_Retrieval_Only'!AM:AM)</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2026-05-18T22:08:58Z</dcterms:created>
  <dcterms:modified xsi:type="dcterms:W3CDTF">2026-05-18T22:21:23Z</dcterms:modified>
</cp:coreProperties>
</file>